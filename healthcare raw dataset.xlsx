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7a22754a8342f/Documents/"/>
    </mc:Choice>
  </mc:AlternateContent>
  <xr:revisionPtr revIDLastSave="173" documentId="8_{450BBF4B-64D0-41B4-85D2-91B46026257F}" xr6:coauthVersionLast="47" xr6:coauthVersionMax="47" xr10:uidLastSave="{96BADECA-1CDC-403D-A968-A3C224C06665}"/>
  <bookViews>
    <workbookView xWindow="-108" yWindow="-108" windowWidth="23256" windowHeight="12456" xr2:uid="{C211FB8E-68BC-4FFD-8CAE-28B9DFCAE1DA}"/>
  </bookViews>
  <sheets>
    <sheet name="healthcare_dataset" sheetId="1" r:id="rId1"/>
    <sheet name="pivot tables" sheetId="2" r:id="rId2"/>
  </sheets>
  <definedNames>
    <definedName name="_xlnm._FilterDatabase" localSheetId="0" hidden="1">healthcare_dataset!$A$1:$O$1828</definedName>
    <definedName name="ExternalData_1" localSheetId="0" hidden="1">healthcare_dataset!#REF!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2E85D6-280F-4B43-9B70-25B65CD7B650}" keepAlive="1" name="Query - healthacare_db" description="Connection to the 'healthacare_db' query in the workbook." type="5" refreshedVersion="8" background="1" saveData="1">
    <dbPr connection="Provider=Microsoft.Mashup.OleDb.1;Data Source=$Workbook$;Location=healthacare_db;Extended Properties=&quot;&quot;" command="SELECT * FROM [healthacare_db]"/>
  </connection>
</connections>
</file>

<file path=xl/sharedStrings.xml><?xml version="1.0" encoding="utf-8"?>
<sst xmlns="http://schemas.openxmlformats.org/spreadsheetml/2006/main" count="18354" uniqueCount="5482">
  <si>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</si>
  <si>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</si>
  <si>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</si>
  <si>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</si>
  <si>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</si>
  <si>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</si>
  <si>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</si>
  <si>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</si>
  <si>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</si>
  <si>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</si>
  <si>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</si>
  <si>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</si>
  <si>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</si>
  <si>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</si>
  <si>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</si>
  <si>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</si>
  <si>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</si>
  <si>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</si>
  <si>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</si>
  <si>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</si>
  <si>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</si>
  <si>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</si>
  <si>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</si>
  <si>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</si>
  <si>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</si>
  <si>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</si>
  <si>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</si>
  <si>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</si>
  <si>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</si>
  <si>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</si>
  <si>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</si>
  <si>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</si>
  <si>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</si>
  <si>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</si>
  <si>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</si>
  <si>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</si>
  <si>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</si>
  <si>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</si>
  <si>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</si>
  <si>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</si>
  <si>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</si>
  <si>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</si>
  <si>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</si>
  <si>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</si>
  <si>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</si>
  <si>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</si>
  <si>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</si>
  <si>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</si>
  <si>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</si>
  <si>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</si>
  <si>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</si>
  <si>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</si>
  <si>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</si>
  <si>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</si>
  <si>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</si>
  <si>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</si>
  <si>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</si>
  <si>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</si>
  <si>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</si>
  <si>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</si>
  <si>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</si>
  <si>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</si>
  <si>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</si>
  <si>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</si>
  <si>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</si>
  <si>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</si>
  <si>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</si>
  <si>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</si>
  <si>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</si>
  <si>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</si>
  <si>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</si>
  <si>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</si>
  <si>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</si>
  <si>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</si>
  <si>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</si>
  <si>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</si>
  <si>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</si>
  <si>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</si>
  <si>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</si>
  <si>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</si>
  <si>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</si>
  <si>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</si>
  <si>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</si>
  <si>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</si>
  <si>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</si>
  <si>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</si>
  <si>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</si>
  <si>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</si>
  <si>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</si>
  <si>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</si>
  <si>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</si>
  <si>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</si>
  <si>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</si>
  <si>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</si>
  <si>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</si>
  <si>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</si>
  <si>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</si>
  <si>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</si>
  <si>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</si>
  <si>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</si>
  <si>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</si>
  <si>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</si>
  <si>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</si>
  <si>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</si>
  <si>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</si>
  <si>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</si>
  <si>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</si>
  <si>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</si>
  <si>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</si>
  <si>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</si>
  <si>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</si>
  <si>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</si>
  <si>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</si>
  <si>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</si>
  <si>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</si>
  <si>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</si>
  <si>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</si>
  <si>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</si>
  <si>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</si>
  <si>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</si>
  <si>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</si>
  <si>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</si>
  <si>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</si>
  <si>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</si>
  <si>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</si>
  <si>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</si>
  <si>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</si>
  <si>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</si>
  <si>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</si>
  <si>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</si>
  <si>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</si>
  <si>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</si>
  <si>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</si>
  <si>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</si>
  <si>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</si>
  <si>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</si>
  <si>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</si>
  <si>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</si>
  <si>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</si>
  <si>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</si>
  <si>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</si>
  <si>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</si>
  <si>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</si>
  <si>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</si>
  <si>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</si>
  <si>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</si>
  <si>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</si>
  <si>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</si>
  <si>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</si>
  <si>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</si>
  <si>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</si>
  <si>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</si>
  <si>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</si>
  <si>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</si>
  <si>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</si>
  <si>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</si>
  <si>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</si>
  <si>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</si>
  <si>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</si>
  <si>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</si>
  <si>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</si>
  <si>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</si>
  <si>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</si>
  <si>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</si>
  <si>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</si>
  <si>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</si>
  <si>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</si>
  <si>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</si>
  <si>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</si>
  <si>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</si>
  <si>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</si>
  <si>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</si>
  <si>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</si>
  <si>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</si>
  <si>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</si>
  <si>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</si>
  <si>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</si>
  <si>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</si>
  <si>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</si>
  <si>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</si>
  <si>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</si>
  <si>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</si>
  <si>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</si>
  <si>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</si>
  <si>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</si>
  <si>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</si>
  <si>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</si>
  <si>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</si>
  <si>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</si>
  <si>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</si>
  <si>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</si>
  <si>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</si>
  <si>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</si>
  <si>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</si>
  <si>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</si>
  <si>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</si>
  <si>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</si>
  <si>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</si>
  <si>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</si>
  <si>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</si>
  <si>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</si>
  <si>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</si>
  <si>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</si>
  <si>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</si>
  <si>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</si>
  <si>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</si>
  <si>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</si>
  <si>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</si>
  <si>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</si>
  <si>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</si>
  <si>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</si>
  <si>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</si>
  <si>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</si>
  <si>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</si>
  <si>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</si>
  <si>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</si>
  <si>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</si>
  <si>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</si>
  <si>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</si>
  <si>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</si>
  <si>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</si>
  <si>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</si>
  <si>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</si>
  <si>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</si>
  <si>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</si>
  <si>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</si>
  <si>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</si>
  <si>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</si>
  <si>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</si>
  <si>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</si>
  <si>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</si>
  <si>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</si>
  <si>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</si>
  <si>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</si>
  <si>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</si>
  <si>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</si>
  <si>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</si>
  <si>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</si>
  <si>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</si>
  <si>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</si>
  <si>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</si>
  <si>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</si>
  <si>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</si>
  <si>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</si>
  <si>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</si>
  <si>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jOhN hARTmAN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</si>
  <si>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</si>
  <si>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</si>
  <si>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</si>
  <si>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</si>
  <si>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</si>
  <si>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</si>
  <si>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</si>
  <si>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</si>
  <si>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</si>
  <si>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</si>
  <si>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</si>
  <si>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</si>
  <si>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</si>
  <si>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</si>
  <si>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</si>
  <si>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</si>
  <si>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</si>
  <si>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</si>
  <si>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</si>
  <si>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</si>
  <si>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</si>
  <si>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</si>
  <si>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</si>
  <si>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</si>
  <si>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</si>
  <si>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</si>
  <si>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</si>
  <si>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</si>
  <si>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</si>
  <si>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</si>
  <si>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</si>
  <si>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</si>
  <si>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</si>
  <si>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</si>
  <si>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</si>
  <si>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</si>
  <si>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</si>
  <si>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</si>
  <si>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</si>
  <si>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</si>
  <si>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</si>
  <si>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</si>
  <si>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</si>
  <si>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</si>
  <si>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</si>
  <si>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</si>
  <si>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</si>
  <si>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</si>
  <si>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</si>
  <si>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</si>
  <si>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</si>
  <si>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</si>
  <si>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</si>
  <si>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</si>
  <si>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</si>
  <si>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</si>
  <si>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</si>
  <si>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</si>
  <si>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</si>
  <si>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</si>
  <si>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</si>
  <si>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</si>
  <si>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</si>
  <si>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</si>
  <si>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</si>
  <si>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</si>
  <si>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</si>
  <si>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</si>
  <si>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</si>
  <si>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</si>
  <si>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</si>
  <si>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</si>
  <si>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</si>
  <si>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</si>
  <si>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</si>
  <si>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</si>
  <si>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</si>
  <si>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</si>
  <si>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</si>
  <si>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</si>
  <si>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</si>
  <si>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</si>
  <si>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</si>
  <si>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</si>
  <si>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</si>
  <si>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</si>
  <si>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</si>
  <si>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</si>
  <si>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</si>
  <si>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</si>
  <si>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</si>
  <si>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</si>
  <si>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</si>
  <si>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</si>
  <si>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</si>
  <si>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</si>
  <si>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</si>
  <si>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</si>
  <si>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</si>
  <si>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</si>
  <si>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</si>
  <si>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</si>
  <si>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</si>
  <si>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</si>
  <si>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</si>
  <si>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</si>
  <si>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</si>
  <si>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</si>
  <si>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</si>
  <si>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</si>
  <si>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</si>
  <si>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</si>
  <si>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</si>
  <si>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</si>
  <si>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</si>
  <si>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</si>
  <si>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</si>
  <si>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</si>
  <si>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</si>
  <si>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chrisTiNa SChMitt</t>
  </si>
  <si>
    <t>Samuel Robles</t>
  </si>
  <si>
    <t>Cruz Ltd</t>
  </si>
  <si>
    <t>coLtoN stRONg</t>
  </si>
  <si>
    <t>Benjamin Webb</t>
  </si>
  <si>
    <t>Stewart Sons and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</si>
  <si>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</si>
  <si>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</si>
  <si>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</si>
  <si>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</si>
  <si>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</si>
  <si>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</si>
  <si>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</si>
  <si>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</si>
  <si>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</si>
  <si>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</si>
  <si>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</si>
  <si>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</si>
  <si>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</si>
  <si>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</si>
  <si>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</si>
  <si>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</si>
  <si>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</si>
  <si>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</si>
  <si>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</si>
  <si>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</si>
  <si>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</si>
  <si>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</si>
  <si>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</si>
  <si>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</si>
  <si>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</si>
  <si>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</si>
  <si>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</si>
  <si>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</si>
  <si>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</si>
  <si>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</si>
  <si>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</si>
  <si>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</si>
  <si>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</si>
  <si>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</si>
  <si>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</si>
  <si>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</si>
  <si>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</si>
  <si>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</si>
  <si>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</si>
  <si>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</si>
  <si>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</si>
  <si>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</si>
  <si>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</si>
  <si>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</si>
  <si>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</si>
  <si>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</si>
  <si>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</si>
  <si>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</si>
  <si>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</si>
  <si>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</si>
  <si>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</si>
  <si>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</si>
  <si>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</si>
  <si>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</si>
  <si>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</si>
  <si>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</si>
  <si>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</si>
  <si>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</si>
  <si>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</si>
  <si>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</si>
  <si>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</si>
  <si>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</si>
  <si>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</si>
  <si>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</si>
  <si>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</si>
  <si>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</si>
  <si>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</si>
  <si>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</si>
  <si>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</si>
  <si>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</si>
  <si>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</si>
  <si>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</si>
  <si>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</si>
  <si>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</si>
  <si>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</si>
  <si>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</si>
  <si>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</si>
  <si>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</si>
  <si>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</si>
  <si>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</si>
  <si>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</si>
  <si>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</si>
  <si>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</si>
  <si>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</si>
  <si>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</si>
  <si>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</si>
  <si>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</si>
  <si>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</si>
  <si>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</si>
  <si>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</si>
  <si>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</si>
  <si>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</si>
  <si>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</si>
  <si>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</si>
  <si>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</si>
  <si>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</si>
  <si>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</si>
  <si>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</si>
  <si>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</si>
  <si>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</si>
  <si>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</si>
  <si>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</si>
  <si>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</si>
  <si>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</si>
  <si>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</si>
  <si>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</si>
  <si>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</si>
  <si>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</si>
  <si>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</si>
  <si>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</si>
  <si>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</si>
  <si>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</si>
  <si>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</si>
  <si>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</si>
  <si>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</si>
  <si>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</si>
  <si>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</si>
  <si>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</si>
  <si>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</si>
  <si>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</si>
  <si>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</si>
  <si>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</si>
  <si>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</si>
  <si>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</si>
  <si>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</si>
  <si>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</si>
  <si>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</si>
  <si>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</si>
  <si>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</si>
  <si>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</si>
  <si>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</si>
  <si>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</si>
  <si>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</si>
  <si>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</si>
  <si>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</si>
  <si>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</si>
  <si>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</si>
  <si>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</si>
  <si>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</si>
  <si>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</si>
  <si>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</si>
  <si>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</si>
  <si>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</si>
  <si>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</si>
  <si>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</si>
  <si>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</si>
  <si>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</si>
  <si>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</si>
  <si>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</si>
  <si>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</si>
  <si>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</si>
  <si>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</si>
  <si>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</si>
  <si>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</si>
  <si>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</si>
  <si>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</si>
  <si>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</si>
  <si>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</si>
  <si>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</si>
  <si>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</si>
  <si>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</si>
  <si>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</si>
  <si>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</si>
  <si>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</si>
  <si>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</si>
  <si>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</si>
  <si>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</si>
  <si>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</si>
  <si>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</si>
  <si>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</si>
  <si>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</si>
  <si>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</si>
  <si>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</si>
  <si>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</si>
  <si>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</si>
  <si>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</si>
  <si>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</si>
  <si>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</si>
  <si>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</si>
  <si>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</si>
  <si>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</si>
  <si>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</si>
  <si>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</si>
  <si>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</si>
  <si>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</si>
  <si>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</si>
  <si>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</si>
  <si>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</si>
  <si>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</si>
  <si>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</si>
  <si>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</si>
  <si>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</si>
  <si>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tanya SOto</t>
  </si>
  <si>
    <t>Adam Ross</t>
  </si>
  <si>
    <t>Stokes Chambers and Martin,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</si>
  <si>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</si>
  <si>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</si>
  <si>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</si>
  <si>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</si>
  <si>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</si>
  <si>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</si>
  <si>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</si>
  <si>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</si>
  <si>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</si>
  <si>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</si>
  <si>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</si>
  <si>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</si>
  <si>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</si>
  <si>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</si>
  <si>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</si>
  <si>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</si>
  <si>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</si>
  <si>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</si>
  <si>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</si>
  <si>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</si>
  <si>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</si>
  <si>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</si>
  <si>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</si>
  <si>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</si>
  <si>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</si>
  <si>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</si>
  <si>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</si>
  <si>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</si>
  <si>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</si>
  <si>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</si>
  <si>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</si>
  <si>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</si>
  <si>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</si>
  <si>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</si>
  <si>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</si>
  <si>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</si>
  <si>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</si>
  <si>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</si>
  <si>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</si>
  <si>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</si>
  <si>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</si>
  <si>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</si>
  <si>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</si>
  <si>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</si>
  <si>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</si>
  <si>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</si>
  <si>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</si>
  <si>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</si>
  <si>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</si>
  <si>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</si>
  <si>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</si>
  <si>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</si>
  <si>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</si>
  <si>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</si>
  <si>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</si>
  <si>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</si>
  <si>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</si>
  <si>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</si>
  <si>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</si>
  <si>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</si>
  <si>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</si>
  <si>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</si>
  <si>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</si>
  <si>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</si>
  <si>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</si>
  <si>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</si>
  <si>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</si>
  <si>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</si>
  <si>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</si>
  <si>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</si>
  <si>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</si>
  <si>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</si>
  <si>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</si>
  <si>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</si>
  <si>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</si>
  <si>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</si>
  <si>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</si>
  <si>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</si>
  <si>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</si>
  <si>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</si>
  <si>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</si>
  <si>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</si>
  <si>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</si>
  <si>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</si>
  <si>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</si>
  <si>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</si>
  <si>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</si>
  <si>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</si>
  <si>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</si>
  <si>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</si>
  <si>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</si>
  <si>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</si>
  <si>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</si>
  <si>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</si>
  <si>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</si>
  <si>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</si>
  <si>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</si>
  <si>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</si>
  <si>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</si>
  <si>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</si>
  <si>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</si>
  <si>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</si>
  <si>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</si>
  <si>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</si>
  <si>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</si>
  <si>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</si>
  <si>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Heather Miller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</si>
  <si>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</si>
  <si>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</si>
  <si>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</si>
  <si>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</si>
  <si>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</si>
  <si>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</si>
  <si>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</si>
  <si>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</si>
  <si>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</si>
  <si>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</si>
  <si>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</si>
  <si>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</si>
  <si>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</si>
  <si>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</si>
  <si>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</si>
  <si>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</si>
  <si>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</si>
  <si>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</si>
  <si>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</si>
  <si>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</si>
  <si>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</si>
  <si>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</si>
  <si>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</si>
  <si>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</si>
  <si>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</si>
  <si>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</si>
  <si>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</si>
  <si>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</si>
  <si>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</si>
  <si>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</si>
  <si>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</si>
  <si>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</si>
  <si>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</si>
  <si>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</si>
  <si>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</si>
  <si>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</si>
  <si>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</si>
  <si>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</si>
  <si>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</si>
  <si>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</si>
  <si>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</si>
  <si>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</si>
  <si>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</si>
  <si>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</si>
  <si>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</si>
  <si>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joHN peReZ</t>
  </si>
  <si>
    <t>Felicia Morrison</t>
  </si>
  <si>
    <t>Group Crosby</t>
  </si>
  <si>
    <t>Timothy jAcobS</t>
  </si>
  <si>
    <t>Crystal Schultz</t>
  </si>
  <si>
    <t>Cook Ltd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</si>
  <si>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</si>
  <si>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</si>
  <si>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</si>
  <si>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</si>
  <si>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</si>
  <si>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</si>
  <si>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</si>
  <si>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</si>
  <si>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</si>
  <si>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</si>
  <si>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</si>
  <si>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</si>
  <si>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</si>
  <si>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</si>
  <si>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</si>
  <si>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</si>
  <si>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</si>
  <si>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</si>
  <si>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</si>
  <si>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</si>
  <si>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</si>
  <si>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</si>
  <si>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</si>
  <si>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</si>
  <si>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</si>
  <si>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</si>
  <si>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</si>
  <si>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</si>
  <si>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</si>
  <si>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</si>
  <si>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</si>
  <si>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</si>
  <si>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</si>
  <si>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</si>
  <si>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</si>
  <si>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</si>
  <si>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</si>
  <si>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</si>
  <si>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</si>
  <si>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</si>
  <si>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</si>
  <si>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</si>
  <si>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</si>
  <si>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</si>
  <si>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</si>
  <si>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</si>
  <si>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</si>
  <si>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</si>
  <si>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</si>
  <si>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</si>
  <si>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</si>
  <si>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</si>
  <si>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</si>
  <si>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</si>
  <si>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</si>
  <si>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</si>
  <si>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</si>
  <si>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</si>
  <si>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</si>
  <si>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</si>
  <si>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</si>
  <si>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</si>
  <si>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</si>
  <si>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</si>
  <si>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</si>
  <si>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</si>
  <si>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</si>
  <si>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</si>
  <si>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</si>
  <si>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eric duNCan</t>
  </si>
  <si>
    <t>Jennifer Freeman</t>
  </si>
  <si>
    <t>Tyler PLC</t>
  </si>
  <si>
    <t>raChel roMERo</t>
  </si>
  <si>
    <t>Reginald Becker</t>
  </si>
  <si>
    <t>Velazquez-Patton</t>
  </si>
  <si>
    <t>Charles Webb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</si>
  <si>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</si>
  <si>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</si>
  <si>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</si>
  <si>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</si>
  <si>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</si>
  <si>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</si>
  <si>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</si>
  <si>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</si>
  <si>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</si>
  <si>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</si>
  <si>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</si>
  <si>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</si>
  <si>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</si>
  <si>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</si>
  <si>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</si>
  <si>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</si>
  <si>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</si>
  <si>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</si>
  <si>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</si>
  <si>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</si>
  <si>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</si>
  <si>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</si>
  <si>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</si>
  <si>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</si>
  <si>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</si>
  <si>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</si>
  <si>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</si>
  <si>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</si>
  <si>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</si>
  <si>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</si>
  <si>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</si>
  <si>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</si>
  <si>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</si>
  <si>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</si>
  <si>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</si>
  <si>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</si>
  <si>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</si>
  <si>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</si>
  <si>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</si>
  <si>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</si>
  <si>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</si>
  <si>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</si>
  <si>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</si>
  <si>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</si>
  <si>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</si>
  <si>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</si>
  <si>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</si>
  <si>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</si>
  <si>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</si>
  <si>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</si>
  <si>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</si>
  <si>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</si>
  <si>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</si>
  <si>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</si>
  <si>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</si>
  <si>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</si>
  <si>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</si>
  <si>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</si>
  <si>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</si>
  <si>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</si>
  <si>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</si>
  <si>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</si>
  <si>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</si>
  <si>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</si>
  <si>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</si>
  <si>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</si>
  <si>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</si>
  <si>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</si>
  <si>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</si>
  <si>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</si>
  <si>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</si>
  <si>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</si>
  <si>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</si>
  <si>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</si>
  <si>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</si>
  <si>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</si>
  <si>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</si>
  <si>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</si>
  <si>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</si>
  <si>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</si>
  <si>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</si>
  <si>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</si>
  <si>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</si>
  <si>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</si>
  <si>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</si>
  <si>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</si>
  <si>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</si>
  <si>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</si>
  <si>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</si>
  <si>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</si>
  <si>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</si>
  <si>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</si>
  <si>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</si>
  <si>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</si>
  <si>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</si>
  <si>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</si>
  <si>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</si>
  <si>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</si>
  <si>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</si>
  <si>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</si>
  <si>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</si>
  <si>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</si>
  <si>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</si>
  <si>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</si>
  <si>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</si>
  <si>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</si>
  <si>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</si>
  <si>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</si>
  <si>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</si>
  <si>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</si>
  <si>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</si>
  <si>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</si>
  <si>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</si>
  <si>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</si>
  <si>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</si>
  <si>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</si>
  <si>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</si>
  <si>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</si>
  <si>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</si>
  <si>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</si>
  <si>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</si>
  <si>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</si>
  <si>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David Gonzalez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</si>
  <si>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</si>
  <si>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</si>
  <si>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</si>
  <si>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</si>
  <si>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</si>
  <si>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</si>
  <si>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</si>
  <si>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</si>
  <si>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</si>
  <si>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</si>
  <si>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</si>
  <si>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</si>
  <si>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</si>
  <si>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</si>
  <si>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</si>
  <si>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</si>
  <si>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</si>
  <si>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</si>
  <si>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</si>
  <si>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</si>
  <si>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</si>
  <si>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</si>
  <si>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</si>
  <si>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</si>
  <si>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</si>
  <si>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</si>
  <si>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</si>
  <si>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</si>
  <si>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</si>
  <si>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</si>
  <si>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</si>
  <si>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</si>
  <si>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</si>
  <si>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</si>
  <si>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</si>
  <si>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</si>
  <si>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</si>
  <si>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</si>
  <si>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</si>
  <si>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</si>
  <si>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</si>
  <si>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</si>
  <si>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</si>
  <si>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</si>
  <si>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</si>
  <si>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</si>
  <si>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</si>
  <si>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</si>
  <si>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</si>
  <si>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</si>
  <si>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</si>
  <si>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</si>
  <si>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</si>
  <si>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</si>
  <si>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</si>
  <si>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</si>
  <si>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</si>
  <si>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</si>
  <si>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</si>
  <si>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</si>
  <si>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</si>
  <si>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</si>
  <si>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</si>
  <si>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</si>
  <si>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</si>
  <si>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</si>
  <si>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</si>
  <si>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</si>
  <si>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</si>
  <si>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</si>
  <si>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Tina Griffin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</si>
  <si>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</si>
  <si>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</si>
  <si>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</si>
  <si>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</si>
  <si>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</si>
  <si>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</si>
  <si>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</si>
  <si>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</si>
  <si>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</si>
  <si>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</si>
  <si>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</si>
  <si>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</si>
  <si>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</si>
  <si>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</si>
  <si>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</si>
  <si>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</si>
  <si>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</si>
  <si>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</si>
  <si>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</si>
  <si>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</si>
  <si>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</si>
  <si>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</si>
  <si>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</si>
  <si>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</si>
  <si>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</si>
  <si>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</si>
  <si>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</si>
  <si>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</si>
  <si>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</si>
  <si>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</si>
  <si>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</si>
  <si>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</si>
  <si>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</si>
  <si>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</si>
  <si>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</si>
  <si>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</si>
  <si>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</si>
  <si>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</si>
  <si>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</si>
  <si>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</si>
  <si>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</si>
  <si>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</si>
  <si>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</si>
  <si>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</si>
  <si>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</si>
  <si>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</si>
  <si>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</si>
  <si>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</si>
  <si>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</si>
  <si>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</si>
  <si>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</si>
  <si>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</si>
  <si>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</si>
  <si>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</si>
  <si>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</si>
  <si>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</si>
  <si>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</si>
  <si>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</si>
  <si>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</si>
  <si>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</si>
  <si>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</si>
  <si>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</si>
  <si>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</si>
  <si>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</si>
  <si>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</si>
  <si>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</si>
  <si>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</si>
  <si>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</si>
  <si>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</si>
  <si>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</si>
  <si>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</si>
  <si>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</si>
  <si>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</si>
  <si>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</si>
  <si>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</si>
  <si>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</si>
  <si>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</si>
  <si>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</si>
  <si>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</si>
  <si>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</si>
  <si>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</si>
  <si>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</si>
  <si>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</si>
  <si>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</si>
  <si>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</si>
  <si>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</si>
  <si>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</si>
  <si>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</si>
  <si>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</si>
  <si>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</si>
  <si>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</si>
  <si>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</si>
  <si>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</si>
  <si>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</si>
  <si>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</si>
  <si>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</si>
  <si>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</si>
  <si>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</si>
  <si>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</si>
  <si>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</si>
  <si>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</si>
  <si>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</si>
  <si>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</si>
  <si>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</si>
  <si>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</si>
  <si>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</si>
  <si>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</si>
  <si>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</si>
  <si>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</si>
  <si>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</si>
  <si>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</si>
  <si>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</si>
  <si>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</si>
  <si>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</si>
  <si>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</si>
  <si>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</si>
  <si>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</si>
  <si>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</si>
  <si>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</si>
  <si>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</si>
  <si>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</si>
  <si>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</si>
  <si>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</si>
  <si>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</si>
  <si>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</si>
  <si>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</si>
  <si>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</si>
  <si>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</si>
  <si>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</si>
  <si>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</si>
  <si>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</si>
  <si>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</si>
  <si>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brADLeY MIraNdA</t>
  </si>
  <si>
    <t>Devin Pratt</t>
  </si>
  <si>
    <t>Wilson and Brown, Ortiz</t>
  </si>
  <si>
    <t>dan PINEDA</t>
  </si>
  <si>
    <t>Phyllis Nguyen</t>
  </si>
  <si>
    <t>Gilbert Ltd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</si>
  <si>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</si>
  <si>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</si>
  <si>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</si>
  <si>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</si>
  <si>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</si>
  <si>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</si>
  <si>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</si>
  <si>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</si>
  <si>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</si>
  <si>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</si>
  <si>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</si>
  <si>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</si>
  <si>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</si>
  <si>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</si>
  <si>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</si>
  <si>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</si>
  <si>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</si>
  <si>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</si>
  <si>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</si>
  <si>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</si>
  <si>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</si>
  <si>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</si>
  <si>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</si>
  <si>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</si>
  <si>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</si>
  <si>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</si>
  <si>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HecTOR jonES</t>
  </si>
  <si>
    <t>Diane Griffin</t>
  </si>
  <si>
    <t>Anderson PLC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</si>
  <si>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</si>
  <si>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</si>
  <si>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</si>
  <si>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</si>
  <si>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</si>
  <si>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</si>
  <si>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</si>
  <si>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</si>
  <si>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</si>
  <si>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</si>
  <si>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</si>
  <si>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</si>
  <si>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</si>
  <si>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</si>
  <si>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</si>
  <si>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</si>
  <si>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Michael Miller</t>
  </si>
  <si>
    <t>Paul Richardson Haynes, and</t>
  </si>
  <si>
    <t>alexAnDER GArcia</t>
  </si>
  <si>
    <t>Amber Gordon</t>
  </si>
  <si>
    <t>and Yang Fox Scott,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</si>
  <si>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</si>
  <si>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</si>
  <si>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</si>
  <si>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</si>
  <si>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</si>
  <si>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</si>
  <si>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</si>
  <si>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</si>
  <si>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</si>
  <si>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</si>
  <si>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</si>
  <si>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</si>
  <si>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</si>
  <si>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</si>
  <si>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</si>
  <si>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</si>
  <si>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</si>
  <si>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</si>
  <si>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</si>
  <si>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</si>
  <si>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</si>
  <si>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</si>
  <si>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</si>
  <si>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</si>
  <si>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</si>
  <si>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</si>
  <si>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</si>
  <si>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</si>
  <si>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</si>
  <si>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</si>
  <si>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</si>
  <si>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</si>
  <si>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</si>
  <si>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</si>
  <si>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</si>
  <si>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</si>
  <si>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</si>
  <si>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</si>
  <si>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</si>
  <si>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</si>
  <si>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</si>
  <si>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</si>
  <si>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</si>
  <si>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</si>
  <si>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</si>
  <si>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</si>
  <si>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</si>
  <si>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</si>
  <si>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</si>
  <si>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</si>
  <si>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</si>
  <si>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</si>
  <si>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</si>
  <si>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</si>
  <si>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</si>
  <si>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</si>
  <si>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</si>
  <si>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</si>
  <si>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</si>
  <si>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</si>
  <si>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</si>
  <si>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</si>
  <si>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</si>
  <si>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</si>
  <si>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</si>
  <si>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</si>
  <si>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</si>
  <si>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</si>
  <si>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</si>
  <si>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</si>
  <si>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</si>
  <si>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</si>
  <si>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</si>
  <si>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</si>
  <si>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</si>
  <si>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</si>
  <si>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</si>
  <si>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</si>
  <si>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</si>
  <si>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</si>
  <si>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</si>
  <si>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</si>
  <si>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</si>
  <si>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</si>
  <si>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</si>
  <si>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</si>
  <si>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</si>
  <si>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</si>
  <si>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</si>
  <si>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</si>
  <si>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</si>
  <si>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</si>
  <si>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</si>
  <si>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amY RAMos</t>
  </si>
  <si>
    <t>Dustin Alvarez</t>
  </si>
  <si>
    <t>Nelson Baldwin, Boyd and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</si>
  <si>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</si>
  <si>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</si>
  <si>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</si>
  <si>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</si>
  <si>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</si>
  <si>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</si>
  <si>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</si>
  <si>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</si>
  <si>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</si>
  <si>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</si>
  <si>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</si>
  <si>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</si>
  <si>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</si>
  <si>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</si>
  <si>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</si>
  <si>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</si>
  <si>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</si>
  <si>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</si>
  <si>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</si>
  <si>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</si>
  <si>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</si>
  <si>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</si>
  <si>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</si>
  <si>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</si>
  <si>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</si>
  <si>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</si>
  <si>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</si>
  <si>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</si>
  <si>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</si>
  <si>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</si>
  <si>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</si>
  <si>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</si>
  <si>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</si>
  <si>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</si>
  <si>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</si>
  <si>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</si>
  <si>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</si>
  <si>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</si>
  <si>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</si>
  <si>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cORY PIERCe</t>
  </si>
  <si>
    <t>Brandon Montoya</t>
  </si>
  <si>
    <t>Reid-Simmons</t>
  </si>
  <si>
    <t>ANn dUNCAN</t>
  </si>
  <si>
    <t>Daniel Sanders</t>
  </si>
  <si>
    <t>Inc Cherry</t>
  </si>
  <si>
    <t>Sarah pOrTEr</t>
  </si>
  <si>
    <t>Jeremiah Nunez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</si>
  <si>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</si>
  <si>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</si>
  <si>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</si>
  <si>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</si>
  <si>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</si>
  <si>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</si>
  <si>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</si>
  <si>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</si>
  <si>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</si>
  <si>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</si>
  <si>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</si>
  <si>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</si>
  <si>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</si>
  <si>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</si>
  <si>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</si>
  <si>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</si>
  <si>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</si>
  <si>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</si>
  <si>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</si>
  <si>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cAiTLIN bEndEr</t>
  </si>
  <si>
    <t>Timothy Aguilar</t>
  </si>
  <si>
    <t>Oliver Mcdonald, and Johnson</t>
  </si>
  <si>
    <t>bRENda fULleR</t>
  </si>
  <si>
    <t>Cynthia Stanton MD</t>
  </si>
  <si>
    <t>Lara-Allen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</si>
  <si>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</si>
  <si>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</si>
  <si>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</si>
  <si>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</si>
  <si>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</si>
  <si>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</si>
  <si>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</si>
  <si>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</si>
  <si>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</si>
  <si>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</si>
  <si>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Michael Hogan</t>
  </si>
  <si>
    <t>Inc Pace</t>
  </si>
  <si>
    <t>GEORgE woodwARd</t>
  </si>
  <si>
    <t>William Bailey</t>
  </si>
  <si>
    <t>Snow-Day</t>
  </si>
  <si>
    <t>KErRY HaWkiNs</t>
  </si>
  <si>
    <t>Willie Lowery</t>
  </si>
  <si>
    <t>Irwin-Kaufman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</si>
  <si>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</si>
  <si>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</si>
  <si>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</si>
  <si>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</si>
  <si>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</si>
  <si>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</si>
  <si>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Group Schneider</t>
  </si>
  <si>
    <t>SHeILA bAXtEr</t>
  </si>
  <si>
    <t>Robert Lester</t>
  </si>
  <si>
    <t>Lopez-Brooks</t>
  </si>
  <si>
    <t>DAVE PaRrISH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</si>
  <si>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</si>
  <si>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</si>
  <si>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</si>
  <si>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</si>
  <si>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</si>
  <si>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</si>
  <si>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</si>
  <si>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</si>
  <si>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</si>
  <si>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Mercedes Harris</t>
  </si>
  <si>
    <t>Moore and Rhodes Lang,</t>
  </si>
  <si>
    <t>rObErT CLArk</t>
  </si>
  <si>
    <t>Gregory Chung</t>
  </si>
  <si>
    <t>Poole LLC</t>
  </si>
  <si>
    <t>marisa GOlDEN</t>
  </si>
  <si>
    <t>James Young</t>
  </si>
  <si>
    <t>Hansen-Torres</t>
  </si>
  <si>
    <t>NanCy HaMIltOn</t>
  </si>
  <si>
    <t>Carla Combs</t>
  </si>
  <si>
    <t>Park-Douglas</t>
  </si>
  <si>
    <t>NIColE mArTIN</t>
  </si>
  <si>
    <t>Christopher Spears</t>
  </si>
  <si>
    <t>and Rodriguez Gallegos Henry,</t>
  </si>
  <si>
    <t>TOM BRoWN</t>
  </si>
  <si>
    <t>Tina Ray</t>
  </si>
  <si>
    <t>Turner Bradford and Allison,</t>
  </si>
  <si>
    <t>TODD gROSS</t>
  </si>
  <si>
    <t>Anthony Ortiz</t>
  </si>
  <si>
    <t>Carrillo-Price</t>
  </si>
  <si>
    <t>sTEphAnie cHung</t>
  </si>
  <si>
    <t>Jason Stewart</t>
  </si>
  <si>
    <t>and Sons Lee</t>
  </si>
  <si>
    <t>KayLA PeREZ</t>
  </si>
  <si>
    <t>Derek Dorsey</t>
  </si>
  <si>
    <t>Rogers-Robles</t>
  </si>
  <si>
    <t>joshuA neLson</t>
  </si>
  <si>
    <t>Angel Jones</t>
  </si>
  <si>
    <t>Arias-Galvan</t>
  </si>
  <si>
    <t>JAkE COpeLand</t>
  </si>
  <si>
    <t>Christopher Fowler</t>
  </si>
  <si>
    <t>Scott-Moore</t>
  </si>
  <si>
    <t>pETeR ramSey</t>
  </si>
  <si>
    <t>Angela Cook</t>
  </si>
  <si>
    <t>Quinn, Bentley and Allen</t>
  </si>
  <si>
    <t>LaURA rYan</t>
  </si>
  <si>
    <t>Bradley Holt</t>
  </si>
  <si>
    <t>Blair-Bell</t>
  </si>
  <si>
    <t>TiMoThY lOpeZ</t>
  </si>
  <si>
    <t>Sandra Powers</t>
  </si>
  <si>
    <t>Lester-Fletcher</t>
  </si>
  <si>
    <t>ANThoNy gUZmAn</t>
  </si>
  <si>
    <t>Evan Campbell</t>
  </si>
  <si>
    <t>Rodriguez LLC</t>
  </si>
  <si>
    <t>MIChael ShaRP</t>
  </si>
  <si>
    <t>Sylvia Villarreal</t>
  </si>
  <si>
    <t>LLC Baldwin</t>
  </si>
  <si>
    <t>daVId CarrOlL</t>
  </si>
  <si>
    <t>Matthew Hopkins</t>
  </si>
  <si>
    <t>Riley PLC</t>
  </si>
  <si>
    <t>AnGElA SCOtT</t>
  </si>
  <si>
    <t>Charles Palmer</t>
  </si>
  <si>
    <t>Perez-Carlson</t>
  </si>
  <si>
    <t>DAvID ORTiz</t>
  </si>
  <si>
    <t>Michael Walters</t>
  </si>
  <si>
    <t>Richardson Mccormick, Cruz and</t>
  </si>
  <si>
    <t>paTRicK pierce</t>
  </si>
  <si>
    <t>Scott Smith</t>
  </si>
  <si>
    <t>Underwood-Mcguire</t>
  </si>
  <si>
    <t>KeiTH JohnSoN</t>
  </si>
  <si>
    <t>Nicole Jensen</t>
  </si>
  <si>
    <t>Galvan, Lopez Salazar and</t>
  </si>
  <si>
    <t>antonio smITh</t>
  </si>
  <si>
    <t>Brent Dickerson</t>
  </si>
  <si>
    <t>Fisher-Perez</t>
  </si>
  <si>
    <t>Nicole Young</t>
  </si>
  <si>
    <t>barbAra stEwarT</t>
  </si>
  <si>
    <t>Jared Kemp</t>
  </si>
  <si>
    <t>Ruiz PLC</t>
  </si>
  <si>
    <t>lArRy TaNnEr</t>
  </si>
  <si>
    <t>Dennis Gilbert</t>
  </si>
  <si>
    <t>Ltd Watts</t>
  </si>
  <si>
    <t>MAllORy diAz</t>
  </si>
  <si>
    <t>William Mcguire</t>
  </si>
  <si>
    <t>and Martinez Sons</t>
  </si>
  <si>
    <t>jOhN WILLiams</t>
  </si>
  <si>
    <t>Jesus Wagner</t>
  </si>
  <si>
    <t>Harrington-Marshall</t>
  </si>
  <si>
    <t>peter miller</t>
  </si>
  <si>
    <t>Jose Cooley</t>
  </si>
  <si>
    <t>Robbins Inc</t>
  </si>
  <si>
    <t>rYaN bUtLeR</t>
  </si>
  <si>
    <t>Andrew Clark</t>
  </si>
  <si>
    <t>and Conway George, Huff</t>
  </si>
  <si>
    <t>SaMANTHa lOwERY</t>
  </si>
  <si>
    <t>Evelyn Patterson</t>
  </si>
  <si>
    <t>TiFFAny LEe</t>
  </si>
  <si>
    <t>Maria Estes</t>
  </si>
  <si>
    <t>Rodriguez-Arnold</t>
  </si>
  <si>
    <t>cARLA walkER</t>
  </si>
  <si>
    <t>Olivia Nichols</t>
  </si>
  <si>
    <t>Morgan-Young</t>
  </si>
  <si>
    <t>SHEllEY FlEmInG</t>
  </si>
  <si>
    <t>Nathaniel Jacobson</t>
  </si>
  <si>
    <t>PLC Fox</t>
  </si>
  <si>
    <t>MARK bLakE</t>
  </si>
  <si>
    <t>Kayla Clark</t>
  </si>
  <si>
    <t>Bell Preston Washington, and</t>
  </si>
  <si>
    <t>LLC Hernandez</t>
  </si>
  <si>
    <t>JesSicA dAvis</t>
  </si>
  <si>
    <t>Lynn Benson</t>
  </si>
  <si>
    <t>Steele PLC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</si>
  <si>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</si>
  <si>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</si>
  <si>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</si>
  <si>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</si>
  <si>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</si>
  <si>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</si>
  <si>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</si>
  <si>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</si>
  <si>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</si>
  <si>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</si>
  <si>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Kristie Roberts</t>
  </si>
  <si>
    <t>Taylor-Wilson</t>
  </si>
  <si>
    <t>STEVEN SmitH</t>
  </si>
  <si>
    <t>Allison Harper</t>
  </si>
  <si>
    <t>PLC Sutton</t>
  </si>
  <si>
    <t>KAREn johnsoN</t>
  </si>
  <si>
    <t>Heather Howard</t>
  </si>
  <si>
    <t>and Sons Sanders</t>
  </si>
  <si>
    <t>anna ROgERs</t>
  </si>
  <si>
    <t>Vickie King</t>
  </si>
  <si>
    <t>Gentry and Sons</t>
  </si>
  <si>
    <t>pRiSCiLlA dEckEr</t>
  </si>
  <si>
    <t>Christopher Yoder</t>
  </si>
  <si>
    <t>Haynes-Silva</t>
  </si>
  <si>
    <t>tREVor WRiGHt</t>
  </si>
  <si>
    <t>Matthew Nelson</t>
  </si>
  <si>
    <t>Marshall, and Koch Harper</t>
  </si>
  <si>
    <t>WiLlIAm tuCKEr</t>
  </si>
  <si>
    <t>Martin Lynch</t>
  </si>
  <si>
    <t>Duffy-Jackson</t>
  </si>
  <si>
    <t>JEsSIca KElLer</t>
  </si>
  <si>
    <t>David Hall</t>
  </si>
  <si>
    <t>Brown-Diaz</t>
  </si>
  <si>
    <t>RobiN Clarke</t>
  </si>
  <si>
    <t>Tyler Adams DDS</t>
  </si>
  <si>
    <t>Lyons LLC</t>
  </si>
  <si>
    <t>jessIca gARZa</t>
  </si>
  <si>
    <t>William White</t>
  </si>
  <si>
    <t>PLC French</t>
  </si>
  <si>
    <t>stevEN VAugHaN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</si>
  <si>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</si>
  <si>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</si>
  <si>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</si>
  <si>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</si>
  <si>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</si>
  <si>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</si>
  <si>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</si>
  <si>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aMy POwEll</t>
  </si>
  <si>
    <t>Susan Hess</t>
  </si>
  <si>
    <t>White West Herman, and</t>
  </si>
  <si>
    <t>KeNNeth sMitH</t>
  </si>
  <si>
    <t>Kristen Thornton</t>
  </si>
  <si>
    <t>Inc Newton</t>
  </si>
  <si>
    <t>maTThEW WEsT</t>
  </si>
  <si>
    <t>Jerry Fisher</t>
  </si>
  <si>
    <t>Huerta-Sanchez</t>
  </si>
  <si>
    <t>ERIK MOntoyA</t>
  </si>
  <si>
    <t>Elizabeth Miller</t>
  </si>
  <si>
    <t>Snyder-Parrish</t>
  </si>
  <si>
    <t>aUSTin lEwis</t>
  </si>
  <si>
    <t>Reginald Grimes</t>
  </si>
  <si>
    <t>Inc Bryant</t>
  </si>
  <si>
    <t>KennEtH ThOmPSon</t>
  </si>
  <si>
    <t>Steven Smith</t>
  </si>
  <si>
    <t>Williams Inc</t>
  </si>
  <si>
    <t>stEphen HUdSON</t>
  </si>
  <si>
    <t>Matthew Jones</t>
  </si>
  <si>
    <t>Williams Dillon White, and</t>
  </si>
  <si>
    <t>suSAN peNA</t>
  </si>
  <si>
    <t>Kevin Kelley</t>
  </si>
  <si>
    <t>Gardner Group</t>
  </si>
  <si>
    <t>anTHoNY PerKinS</t>
  </si>
  <si>
    <t>Anthony Green</t>
  </si>
  <si>
    <t>Garcia-Blake</t>
  </si>
  <si>
    <t>bRiAn FoSTER</t>
  </si>
  <si>
    <t>James Thompson</t>
  </si>
  <si>
    <t>Kim-Ibarra</t>
  </si>
  <si>
    <t>david AYaLa</t>
  </si>
  <si>
    <t>Lucas Torres</t>
  </si>
  <si>
    <t>Cross Ltd</t>
  </si>
  <si>
    <t>gRegoRY cANnON</t>
  </si>
  <si>
    <t>Amanda Alvarado</t>
  </si>
  <si>
    <t>Group Santana</t>
  </si>
  <si>
    <t>ELIzabEtH ShIelDs</t>
  </si>
  <si>
    <t>David Maxwell</t>
  </si>
  <si>
    <t>Martin-Rice</t>
  </si>
  <si>
    <t>JessiCA sOto</t>
  </si>
  <si>
    <t>Shannon Sanchez</t>
  </si>
  <si>
    <t>Barnes-Williams</t>
  </si>
  <si>
    <t>Joseph MaddEN</t>
  </si>
  <si>
    <t>Stacey Nguyen</t>
  </si>
  <si>
    <t>Rodriguez Harris, Willis and</t>
  </si>
  <si>
    <t>RebECCa hOGAN</t>
  </si>
  <si>
    <t>Peter Wright</t>
  </si>
  <si>
    <t>Santana Garcia, Alexander and</t>
  </si>
  <si>
    <t>jUlIa muEllER</t>
  </si>
  <si>
    <t>Susan Gaines</t>
  </si>
  <si>
    <t>Brown-Clark</t>
  </si>
  <si>
    <t>KAITLyn SmItH</t>
  </si>
  <si>
    <t>Richard Harris</t>
  </si>
  <si>
    <t>Gomez-Smith</t>
  </si>
  <si>
    <t>DAnIEL KemP</t>
  </si>
  <si>
    <t>Charles Fernandez</t>
  </si>
  <si>
    <t>Hall Lee Bailey, and</t>
  </si>
  <si>
    <t>laurA mYeRs</t>
  </si>
  <si>
    <t>Kyle Williams MD</t>
  </si>
  <si>
    <t>Brennan Bentley, and Hunter</t>
  </si>
  <si>
    <t>JesSIcA caRtER</t>
  </si>
  <si>
    <t>Sarah Ibarra</t>
  </si>
  <si>
    <t>vANeSsa ScHaEFeR</t>
  </si>
  <si>
    <t>Jonathan Burns MD</t>
  </si>
  <si>
    <t>Walsh, Howell and Jennings</t>
  </si>
  <si>
    <t>MIgUeL GOmeZ</t>
  </si>
  <si>
    <t>Jennifer Miller</t>
  </si>
  <si>
    <t>Haney-Marshall</t>
  </si>
  <si>
    <t>annEtTE JAMES</t>
  </si>
  <si>
    <t>Dennis Robbins</t>
  </si>
  <si>
    <t>Johnson, and Petty Rubio</t>
  </si>
  <si>
    <t>sUSaN HuRLEY</t>
  </si>
  <si>
    <t>Sean Rodgers</t>
  </si>
  <si>
    <t>Morse, Hudson Williams and</t>
  </si>
  <si>
    <t>carOLyN Wade</t>
  </si>
  <si>
    <t>Nathan Payne</t>
  </si>
  <si>
    <t>Kane, and Dickson Schwartz</t>
  </si>
  <si>
    <t>aNgeLA DelEon</t>
  </si>
  <si>
    <t>Kristina Gray</t>
  </si>
  <si>
    <t>Inc Mccullough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</si>
  <si>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</si>
  <si>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</si>
  <si>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</si>
  <si>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</si>
  <si>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</si>
  <si>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</si>
  <si>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</si>
  <si>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</si>
  <si>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</si>
  <si>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ryaN LIU</t>
  </si>
  <si>
    <t>Vernon Diaz</t>
  </si>
  <si>
    <t>Castaneda-Young</t>
  </si>
  <si>
    <t>DenNiS MOrROw</t>
  </si>
  <si>
    <t>Luke Nunez</t>
  </si>
  <si>
    <t>and Thomas Strong, Cook</t>
  </si>
  <si>
    <t>JEnNiFEr COOpER</t>
  </si>
  <si>
    <t>Mary Williams</t>
  </si>
  <si>
    <t>Wells-Price</t>
  </si>
  <si>
    <t>JaCOB loPez</t>
  </si>
  <si>
    <t>Gina Richards</t>
  </si>
  <si>
    <t>Rios Ltd</t>
  </si>
  <si>
    <t>mIChaeL RiChArdsoN</t>
  </si>
  <si>
    <t>Greg Scott</t>
  </si>
  <si>
    <t>Brooks LLC</t>
  </si>
  <si>
    <t>EriC COOk</t>
  </si>
  <si>
    <t>Rhonda Gilbert</t>
  </si>
  <si>
    <t>Henderson Carpenter and Barrett,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</si>
  <si>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</si>
  <si>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</si>
  <si>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</si>
  <si>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</si>
  <si>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</si>
  <si>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</si>
  <si>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</si>
  <si>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</si>
  <si>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</si>
  <si>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MEGan wHEEleR</t>
  </si>
  <si>
    <t>Courtney Crane</t>
  </si>
  <si>
    <t>and Lawrence, Williams Thomas</t>
  </si>
  <si>
    <t>AaRON coX</t>
  </si>
  <si>
    <t>Eric Wallace</t>
  </si>
  <si>
    <t>Wilkerson Group</t>
  </si>
  <si>
    <t>CassanDRA MArTineZ</t>
  </si>
  <si>
    <t>Nicole Norton</t>
  </si>
  <si>
    <t>Villanueva-Garcia</t>
  </si>
  <si>
    <t>SHawn bROwn</t>
  </si>
  <si>
    <t>Angela Cunningham</t>
  </si>
  <si>
    <t>Duffy-Bowman</t>
  </si>
  <si>
    <t>jenniFeR sTephEnS</t>
  </si>
  <si>
    <t>Shari Foster</t>
  </si>
  <si>
    <t>James Inc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</si>
  <si>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</si>
  <si>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</si>
  <si>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</si>
  <si>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</si>
  <si>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</si>
  <si>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</si>
  <si>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</si>
  <si>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Wendy Rivera</t>
  </si>
  <si>
    <t>Ellison-Hayden</t>
  </si>
  <si>
    <t>nATaLiE aNdeRson</t>
  </si>
  <si>
    <t>Cindy Maxwell</t>
  </si>
  <si>
    <t>Long-Lee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</si>
  <si>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</si>
  <si>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</si>
  <si>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</si>
  <si>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</si>
  <si>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</si>
  <si>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</si>
  <si>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</si>
  <si>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</si>
  <si>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</si>
  <si>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</si>
  <si>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</si>
  <si>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</si>
  <si>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</si>
  <si>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emIly yOUNg</t>
  </si>
  <si>
    <t>Karen Jones</t>
  </si>
  <si>
    <t>Johnson-Wilson</t>
  </si>
  <si>
    <t>sANDy halL</t>
  </si>
  <si>
    <t>Seth Burnett</t>
  </si>
  <si>
    <t>Delacruz-Chavez</t>
  </si>
  <si>
    <t>Jason stEELe</t>
  </si>
  <si>
    <t>Brian Mack</t>
  </si>
  <si>
    <t>and Sons Ford</t>
  </si>
  <si>
    <t>Jennifer Johnson</t>
  </si>
  <si>
    <t>liSA JAcKsOn</t>
  </si>
  <si>
    <t>Joseph Barnes</t>
  </si>
  <si>
    <t>Wood-Herring</t>
  </si>
  <si>
    <t>HeRberT RodRIGUEZ</t>
  </si>
  <si>
    <t>Jonathan Edwards</t>
  </si>
  <si>
    <t>Brown-Henry</t>
  </si>
  <si>
    <t>OliviA pOWELl</t>
  </si>
  <si>
    <t>Adam Hardy</t>
  </si>
  <si>
    <t>Sheppard-Livingston</t>
  </si>
  <si>
    <t>SAmaNThA PERkins</t>
  </si>
  <si>
    <t>Robert Ashley</t>
  </si>
  <si>
    <t>Golden PLC</t>
  </si>
  <si>
    <t>mIchaeL POtTs</t>
  </si>
  <si>
    <t>Mary Vaughn</t>
  </si>
  <si>
    <t>and Perez, Bennett Townsend</t>
  </si>
  <si>
    <t>KeRRy HErnANDEz</t>
  </si>
  <si>
    <t>Steven Simmons</t>
  </si>
  <si>
    <t>Johnson, and Benson Harris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</si>
  <si>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</si>
  <si>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</si>
  <si>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</si>
  <si>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</si>
  <si>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</si>
  <si>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</si>
  <si>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daniel cHEn</t>
  </si>
  <si>
    <t>Anthony Malone</t>
  </si>
  <si>
    <t>Gonzalez Inc</t>
  </si>
  <si>
    <t>amandA aGUIrRE</t>
  </si>
  <si>
    <t>Frederick White</t>
  </si>
  <si>
    <t>and Vargas Reynolds Evans,</t>
  </si>
  <si>
    <t>mark hIcKs</t>
  </si>
  <si>
    <t>Lisa Ruiz</t>
  </si>
  <si>
    <t>Cantu and Tanner Rojas,</t>
  </si>
  <si>
    <t>TIMOtHy daVIS</t>
  </si>
  <si>
    <t>Cody Rice</t>
  </si>
  <si>
    <t>Thornton, Adams Mccarty and</t>
  </si>
  <si>
    <t>LONNIE DomInguEZ</t>
  </si>
  <si>
    <t>April Foster</t>
  </si>
  <si>
    <t>Cantrell-Griffith</t>
  </si>
  <si>
    <t>KIMbERLY hALE</t>
  </si>
  <si>
    <t>Justin Russell</t>
  </si>
  <si>
    <t>Martin Group</t>
  </si>
  <si>
    <t>mr. GEORGe BROwN jr.</t>
  </si>
  <si>
    <t>Emily Williamson</t>
  </si>
  <si>
    <t>Ramirez-Hill</t>
  </si>
  <si>
    <t>ALLEn cAmACho</t>
  </si>
  <si>
    <t>Veronica Christian</t>
  </si>
  <si>
    <t>Jackson-Butler</t>
  </si>
  <si>
    <t>NATHan woOdS</t>
  </si>
  <si>
    <t>Monica Odonnell</t>
  </si>
  <si>
    <t>Miller-Avila</t>
  </si>
  <si>
    <t>caTheriNe sMitH</t>
  </si>
  <si>
    <t>Cody Berger</t>
  </si>
  <si>
    <t>Reyes-Crawford</t>
  </si>
  <si>
    <t>JerRy leE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</si>
  <si>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</si>
  <si>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</si>
  <si>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</si>
  <si>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</si>
  <si>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</si>
  <si>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</si>
  <si>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</si>
  <si>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</si>
  <si>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</si>
  <si>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</si>
  <si>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</si>
  <si>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</si>
  <si>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</si>
  <si>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</si>
  <si>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sAMUEL HANSOn</t>
  </si>
  <si>
    <t>Phillip Campos</t>
  </si>
  <si>
    <t>Burch, Moore and Thompson</t>
  </si>
  <si>
    <t>BryaN phILliPS</t>
  </si>
  <si>
    <t>Billy Rodgers</t>
  </si>
  <si>
    <t>Hamilton Group</t>
  </si>
  <si>
    <t>naThaN wileY</t>
  </si>
  <si>
    <t>Sherri Campbell</t>
  </si>
  <si>
    <t>Shaw LLC</t>
  </si>
  <si>
    <t>ALiShA muRpHy</t>
  </si>
  <si>
    <t>Alex Neal</t>
  </si>
  <si>
    <t>and Day, Lewis Coleman</t>
  </si>
  <si>
    <t>AMANdA lUcEro</t>
  </si>
  <si>
    <t>Mark Martin</t>
  </si>
  <si>
    <t>Stone-Perez</t>
  </si>
  <si>
    <t>SHeIla SelLErs</t>
  </si>
  <si>
    <t>James Smith</t>
  </si>
  <si>
    <t>Ltd Foley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</si>
  <si>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</si>
  <si>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</si>
  <si>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</si>
  <si>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</si>
  <si>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</si>
  <si>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</si>
  <si>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</si>
  <si>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</si>
  <si>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sHErrI gArCia</t>
  </si>
  <si>
    <t>Marie Reed</t>
  </si>
  <si>
    <t>Inc Martinez</t>
  </si>
  <si>
    <t>MIChaEL wEber</t>
  </si>
  <si>
    <t>Philip Vaughn</t>
  </si>
  <si>
    <t>Mcmahon Ortiz, Owens and</t>
  </si>
  <si>
    <t>BETh sChwaRTZ</t>
  </si>
  <si>
    <t>Kyle Montes</t>
  </si>
  <si>
    <t>Williams-Saunders</t>
  </si>
  <si>
    <t>MArK GiLES</t>
  </si>
  <si>
    <t>Daniel Hurley</t>
  </si>
  <si>
    <t>Mathis-Schwartz</t>
  </si>
  <si>
    <t>TAmara beltRaN</t>
  </si>
  <si>
    <t>Romero-Ramsey</t>
  </si>
  <si>
    <t>JAmiE jimeNEZ</t>
  </si>
  <si>
    <t>Richard Webster</t>
  </si>
  <si>
    <t>Ltd Richardson</t>
  </si>
  <si>
    <t>chARles MUrPHY</t>
  </si>
  <si>
    <t>David Soto</t>
  </si>
  <si>
    <t>and Sons Williams</t>
  </si>
  <si>
    <t>SCOTT wERNeR</t>
  </si>
  <si>
    <t>Ashley Lane</t>
  </si>
  <si>
    <t>Gonzalez Anderson Jacobson, and</t>
  </si>
  <si>
    <t>TeRRi stEWart</t>
  </si>
  <si>
    <t>Jennifer Brown</t>
  </si>
  <si>
    <t>Miller Massey Lopez, and</t>
  </si>
  <si>
    <t>dAVId DaviS</t>
  </si>
  <si>
    <t>Kristen Aguirre</t>
  </si>
  <si>
    <t>Taylor Walsh Hawkins, and</t>
  </si>
  <si>
    <t>StEpheN HaRRIS</t>
  </si>
  <si>
    <t>Kathryn Trevino</t>
  </si>
  <si>
    <t>LLC Brown</t>
  </si>
  <si>
    <t>briDgeT Adams</t>
  </si>
  <si>
    <t>Amanda Ramos</t>
  </si>
  <si>
    <t>Nelson-Wong</t>
  </si>
  <si>
    <t>Michael Grant</t>
  </si>
  <si>
    <t>brIAN OlSOn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</si>
  <si>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</si>
  <si>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</si>
  <si>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</si>
  <si>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</si>
  <si>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</si>
  <si>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</si>
  <si>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</si>
  <si>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</si>
  <si>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</si>
  <si>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</si>
  <si>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</si>
  <si>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eDdIe rUSsO dVm</t>
  </si>
  <si>
    <t>Justin Douglas</t>
  </si>
  <si>
    <t>Ramirez-Taylor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</si>
  <si>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</si>
  <si>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</si>
  <si>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</si>
  <si>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</si>
  <si>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</si>
  <si>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</si>
  <si>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</si>
  <si>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</si>
  <si>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</si>
  <si>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</si>
  <si>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Katrina Allen</t>
  </si>
  <si>
    <t>and Sons Mcbride</t>
  </si>
  <si>
    <t>aBIGail FarmEr</t>
  </si>
  <si>
    <t>Alicia Lopez</t>
  </si>
  <si>
    <t>Sons and Chapman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</si>
  <si>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</si>
  <si>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</si>
  <si>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</si>
  <si>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</si>
  <si>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</si>
  <si>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</si>
  <si>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</si>
  <si>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Andrea Lee</t>
  </si>
  <si>
    <t>Rivera-Peck</t>
  </si>
  <si>
    <t>eRic ParK</t>
  </si>
  <si>
    <t>Olivia Anderson</t>
  </si>
  <si>
    <t>Hess-White</t>
  </si>
  <si>
    <t>dWaYNe CASTIllO</t>
  </si>
  <si>
    <t>Johnathan Mcmahon</t>
  </si>
  <si>
    <t>Johnson-Estrada</t>
  </si>
  <si>
    <t>kRIStInE mcCALl</t>
  </si>
  <si>
    <t>Deborah Lawson</t>
  </si>
  <si>
    <t>Rivera-Mosley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</si>
  <si>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</si>
  <si>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</si>
  <si>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</si>
  <si>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</si>
  <si>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</si>
  <si>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</si>
  <si>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VicToRiA WiLLiAMS</t>
  </si>
  <si>
    <t>Carla Mcneil</t>
  </si>
  <si>
    <t>and Esparza Sons</t>
  </si>
  <si>
    <t>mR. RobeRT DaVIS</t>
  </si>
  <si>
    <t>Kenneth White</t>
  </si>
  <si>
    <t>tERrY GRAvEs</t>
  </si>
  <si>
    <t>Henry Rogers</t>
  </si>
  <si>
    <t>Foster Lamb, Graham and</t>
  </si>
  <si>
    <t>tAmARA davENpOrT</t>
  </si>
  <si>
    <t>Meghan Bailey</t>
  </si>
  <si>
    <t>Fuentes Knight, Sandoval and</t>
  </si>
  <si>
    <t>JOnatHAN SiMON</t>
  </si>
  <si>
    <t>Jason Phillips</t>
  </si>
  <si>
    <t>Hudson-Williams</t>
  </si>
  <si>
    <t>rONaLd bAnKs</t>
  </si>
  <si>
    <t>Kelsey Simpson</t>
  </si>
  <si>
    <t>Mullen-Hernandez</t>
  </si>
  <si>
    <t>rYAn BRadforD DDS</t>
  </si>
  <si>
    <t>Sarah Guerra</t>
  </si>
  <si>
    <t>Herman, Liu and Hill</t>
  </si>
  <si>
    <t>jaNICE hAlL</t>
  </si>
  <si>
    <t>Tony Matthews</t>
  </si>
  <si>
    <t>Davis White, Flores and</t>
  </si>
  <si>
    <t>JaCOB mcDOnaLD</t>
  </si>
  <si>
    <t>Williams-Jones</t>
  </si>
  <si>
    <t>GlENN maSSeY</t>
  </si>
  <si>
    <t>Michael Villanueva</t>
  </si>
  <si>
    <t>Inc Holloway</t>
  </si>
  <si>
    <t>jerEmY rIcH</t>
  </si>
  <si>
    <t>David Poole</t>
  </si>
  <si>
    <t>Meadows and Nelson, Owen</t>
  </si>
  <si>
    <t>ErIn MaRtiN</t>
  </si>
  <si>
    <t>Rebecca Reed</t>
  </si>
  <si>
    <t>Davis Group</t>
  </si>
  <si>
    <t>pAul Rogers</t>
  </si>
  <si>
    <t>Bryan Wu</t>
  </si>
  <si>
    <t>Juarez-Weiss</t>
  </si>
  <si>
    <t>JEnNiFEr edWArDS</t>
  </si>
  <si>
    <t>James Quinn</t>
  </si>
  <si>
    <t>Dawson-Jones</t>
  </si>
  <si>
    <t>BRian halL</t>
  </si>
  <si>
    <t>Ryan Rich</t>
  </si>
  <si>
    <t>Hickman Group</t>
  </si>
  <si>
    <t>Gutierrez Inc</t>
  </si>
  <si>
    <t>dAniEl Wolf</t>
  </si>
  <si>
    <t>Kirk Rich II</t>
  </si>
  <si>
    <t>Dillon PLC</t>
  </si>
  <si>
    <t>RobeRT RoSS</t>
  </si>
  <si>
    <t>Andrew Neal</t>
  </si>
  <si>
    <t>Murphy, and Garcia Jones</t>
  </si>
  <si>
    <t>DOuglAS fosTEr</t>
  </si>
  <si>
    <t>Susan Silva</t>
  </si>
  <si>
    <t>Ramsey-Thomas</t>
  </si>
  <si>
    <t>LOuIS LoWERY</t>
  </si>
  <si>
    <t>Lynn York</t>
  </si>
  <si>
    <t>Miller and Sons</t>
  </si>
  <si>
    <t>JESsICA Tyler</t>
  </si>
  <si>
    <t>Ellen Bush</t>
  </si>
  <si>
    <t>Chung Herrera, and Pollard</t>
  </si>
  <si>
    <t>wiLLiAm davIES</t>
  </si>
  <si>
    <t>Anthony Smith</t>
  </si>
  <si>
    <t>and Hernandez Waters, Cruz</t>
  </si>
  <si>
    <t>dAnIEl JoneS</t>
  </si>
  <si>
    <t>Victoria Osborne</t>
  </si>
  <si>
    <t>and Carroll Orr Kelly,</t>
  </si>
  <si>
    <t>DAvId spEArS</t>
  </si>
  <si>
    <t>Craig Ray</t>
  </si>
  <si>
    <t>Odonnell-Watts</t>
  </si>
  <si>
    <t>ScoTT bErRY</t>
  </si>
  <si>
    <t>Carlos Steele</t>
  </si>
  <si>
    <t>Inc Roberts</t>
  </si>
  <si>
    <t>JaMIE bAKEr</t>
  </si>
  <si>
    <t>Shane Green</t>
  </si>
  <si>
    <t>Davis-Martin</t>
  </si>
  <si>
    <t>wILLiAm waRE</t>
  </si>
  <si>
    <t>Christopher Sharp</t>
  </si>
  <si>
    <t>Baldwin PLC</t>
  </si>
  <si>
    <t>AmBer andeRSoN</t>
  </si>
  <si>
    <t>Joseph Chandler</t>
  </si>
  <si>
    <t>Heath-Brown</t>
  </si>
  <si>
    <t>Gonzalez LLC</t>
  </si>
  <si>
    <t>chrIstOPhEr heNdERSon</t>
  </si>
  <si>
    <t>Nicole Phelps</t>
  </si>
  <si>
    <t>Colon-Leon</t>
  </si>
  <si>
    <t>jOsEPh bROWn</t>
  </si>
  <si>
    <t>Lorraine Powers</t>
  </si>
  <si>
    <t>Boyle-Woods</t>
  </si>
  <si>
    <t>KYle pEREz</t>
  </si>
  <si>
    <t>Taylor Sullivan</t>
  </si>
  <si>
    <t>Tucker-Moyer</t>
  </si>
  <si>
    <t>ErIc bUtleR</t>
  </si>
  <si>
    <t>Bruce Rivera</t>
  </si>
  <si>
    <t>Dougherty Group</t>
  </si>
  <si>
    <t>jEfFREY bROWn</t>
  </si>
  <si>
    <t>Jordan Shannon</t>
  </si>
  <si>
    <t>Morgan Zimmerman, Matthews and</t>
  </si>
  <si>
    <t>ThOmAs hAAS</t>
  </si>
  <si>
    <t>Cindy Jones</t>
  </si>
  <si>
    <t>Jimenez-Huff</t>
  </si>
  <si>
    <t>kelLY tURner</t>
  </si>
  <si>
    <t>Reginald Mckinney</t>
  </si>
  <si>
    <t>Stevenson-Chen</t>
  </si>
  <si>
    <t>lANce SiMPsOn</t>
  </si>
  <si>
    <t>Tiffany Hunt</t>
  </si>
  <si>
    <t>Parker-White</t>
  </si>
  <si>
    <t>brIanNa wiLlIaMs</t>
  </si>
  <si>
    <t>Laura Hill</t>
  </si>
  <si>
    <t>Gray-Black</t>
  </si>
  <si>
    <t>RoBerT gRavEs</t>
  </si>
  <si>
    <t>Angela Rogers</t>
  </si>
  <si>
    <t>Johnson-Garcia</t>
  </si>
  <si>
    <t>VIcToR sULLivan</t>
  </si>
  <si>
    <t>Phelps Group</t>
  </si>
  <si>
    <t>Mark BRaDShaw</t>
  </si>
  <si>
    <t>Ashley Bishop</t>
  </si>
  <si>
    <t>Fischer Ltd</t>
  </si>
  <si>
    <t>JeSSicA duNn</t>
  </si>
  <si>
    <t>Charles Harris</t>
  </si>
  <si>
    <t>Rhodes-Kelly</t>
  </si>
  <si>
    <t>KELsEy foX</t>
  </si>
  <si>
    <t>Brandon Richardson</t>
  </si>
  <si>
    <t>Tate Pierce and Jackson,</t>
  </si>
  <si>
    <t>MarY RICE</t>
  </si>
  <si>
    <t>Shane Wong</t>
  </si>
  <si>
    <t>Inc Daniel</t>
  </si>
  <si>
    <t>RACHeL jaCKSON</t>
  </si>
  <si>
    <t>Michael Oliver</t>
  </si>
  <si>
    <t>and Roberson Lee Young,</t>
  </si>
  <si>
    <t>leah FRederICk</t>
  </si>
  <si>
    <t>John Cooper</t>
  </si>
  <si>
    <t>Giles-Miller</t>
  </si>
  <si>
    <t>COnnOr ODoNNell</t>
  </si>
  <si>
    <t>Daniel Freeman</t>
  </si>
  <si>
    <t>Martinez, and Snyder Hill</t>
  </si>
  <si>
    <t>clAUdIa DoWNS</t>
  </si>
  <si>
    <t>Adriana Gould</t>
  </si>
  <si>
    <t>Barber-Page</t>
  </si>
  <si>
    <t>LIsA MORAn</t>
  </si>
  <si>
    <t>Michael Mcbride</t>
  </si>
  <si>
    <t>Johnson-Holland</t>
  </si>
  <si>
    <t>bRANdon sMith</t>
  </si>
  <si>
    <t>Ronald Edwards</t>
  </si>
  <si>
    <t>Rodriguez Diaz Daugherty, and</t>
  </si>
  <si>
    <t>jeSSiCa MURPHY</t>
  </si>
  <si>
    <t>Raymond Bowen</t>
  </si>
  <si>
    <t>Rowland-Abbott</t>
  </si>
  <si>
    <t>brAndY GEORGE</t>
  </si>
  <si>
    <t>Jennifer Pope</t>
  </si>
  <si>
    <t>Ryan-Mcneil</t>
  </si>
  <si>
    <t>ANDrea Buck</t>
  </si>
  <si>
    <t>Taylor Craig</t>
  </si>
  <si>
    <t>Ramos Miller and Moore,</t>
  </si>
  <si>
    <t>STephanIE bUrKE</t>
  </si>
  <si>
    <t>Kristy Waters</t>
  </si>
  <si>
    <t>Sons Cherry and</t>
  </si>
  <si>
    <t>Cook LLC</t>
  </si>
  <si>
    <t>sHaRON joHnsON</t>
  </si>
  <si>
    <t>Janice Jones</t>
  </si>
  <si>
    <t>Phillips Ltd</t>
  </si>
  <si>
    <t>MaTtHeW haLEY</t>
  </si>
  <si>
    <t>Joann Anderson</t>
  </si>
  <si>
    <t>Oliver Griffin Johnson, and</t>
  </si>
  <si>
    <t>SaBRInA May</t>
  </si>
  <si>
    <t>Christine Mejia</t>
  </si>
  <si>
    <t>Gregory Group</t>
  </si>
  <si>
    <t>melindA aUstiN</t>
  </si>
  <si>
    <t>Pamela Reed</t>
  </si>
  <si>
    <t>and Camacho Thomas Malone,</t>
  </si>
  <si>
    <t>angElA MonTgOmery</t>
  </si>
  <si>
    <t>William Holmes</t>
  </si>
  <si>
    <t>LLC Smith</t>
  </si>
  <si>
    <t>VAnessA MaRTiN</t>
  </si>
  <si>
    <t>Heather Bowman</t>
  </si>
  <si>
    <t>Cunningham Andrade and Butler,</t>
  </si>
  <si>
    <t>MichAEL wOLfE</t>
  </si>
  <si>
    <t>Amber Carpenter</t>
  </si>
  <si>
    <t>Ltd Smith</t>
  </si>
  <si>
    <t>bROokE TorreS</t>
  </si>
  <si>
    <t>Kimberly Castaneda</t>
  </si>
  <si>
    <t>Inc Sanchez</t>
  </si>
  <si>
    <t>vicTOr DUKE</t>
  </si>
  <si>
    <t>Jessica Vasquez</t>
  </si>
  <si>
    <t>Rice, Cooper Rivera and</t>
  </si>
  <si>
    <t>josepH gaRrETt</t>
  </si>
  <si>
    <t>Joseph Robinson</t>
  </si>
  <si>
    <t>Garcia LLC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</si>
  <si>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</si>
  <si>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</si>
  <si>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</si>
  <si>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</si>
  <si>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</si>
  <si>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</si>
  <si>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</si>
  <si>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</si>
  <si>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</si>
  <si>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lISa KELlEr</t>
  </si>
  <si>
    <t>Mark Maynard</t>
  </si>
  <si>
    <t>and Moore Sons</t>
  </si>
  <si>
    <t>jOrdAN BUSh</t>
  </si>
  <si>
    <t>Randy Graham</t>
  </si>
  <si>
    <t>and Mclaughlin Powers Stevens,</t>
  </si>
  <si>
    <t>BrEnDA yU</t>
  </si>
  <si>
    <t>Michael Jenkins</t>
  </si>
  <si>
    <t>and Anderson, Porter Becker</t>
  </si>
  <si>
    <t>JASmine sHort</t>
  </si>
  <si>
    <t>Amy Johnson</t>
  </si>
  <si>
    <t>Bailey-Hunt</t>
  </si>
  <si>
    <t>keVIN wong</t>
  </si>
  <si>
    <t>Kara Stevens</t>
  </si>
  <si>
    <t>Watson Johnson Joseph, and</t>
  </si>
  <si>
    <t>JoDy loPEZ</t>
  </si>
  <si>
    <t>Chris Green</t>
  </si>
  <si>
    <t>and Goodwin, Hernandez Andrade</t>
  </si>
  <si>
    <t>JONaTHaN wOODs</t>
  </si>
  <si>
    <t>Kurt Hamilton</t>
  </si>
  <si>
    <t>Solomon PLC</t>
  </si>
  <si>
    <t>eMMa RAY</t>
  </si>
  <si>
    <t>Richard Jones</t>
  </si>
  <si>
    <t>Flores Sons and</t>
  </si>
  <si>
    <t>waYnE SHArp</t>
  </si>
  <si>
    <t>Robert Perkins</t>
  </si>
  <si>
    <t>Lopez Keller, Williams and</t>
  </si>
  <si>
    <t>sHelby BLack</t>
  </si>
  <si>
    <t>Peter Nunez</t>
  </si>
  <si>
    <t>Brown-Wood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</si>
  <si>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</si>
  <si>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</si>
  <si>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</si>
  <si>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</si>
  <si>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</si>
  <si>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</si>
  <si>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</si>
  <si>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Michael Palmer</t>
  </si>
  <si>
    <t>Carlson-Stone</t>
  </si>
  <si>
    <t>johN becKEr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</si>
  <si>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</si>
  <si>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</si>
  <si>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</si>
  <si>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</si>
  <si>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</si>
  <si>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</si>
  <si>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</si>
  <si>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</si>
  <si>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CAROLine sWanSoN</t>
  </si>
  <si>
    <t>Richard Rodgers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</si>
  <si>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</si>
  <si>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</si>
  <si>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</si>
  <si>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</si>
  <si>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</si>
  <si>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</si>
  <si>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sHeLleY waRE</t>
  </si>
  <si>
    <t>Heather Long</t>
  </si>
  <si>
    <t>Jensen and Jackson, Greene</t>
  </si>
  <si>
    <t>MELiSSA bRADY</t>
  </si>
  <si>
    <t>Amy Hawkins</t>
  </si>
  <si>
    <t>Mathews-Lawrence</t>
  </si>
  <si>
    <t>MArIA hAll</t>
  </si>
  <si>
    <t>Victor Fowler</t>
  </si>
  <si>
    <t>Morales, Johnson and Carlson</t>
  </si>
  <si>
    <t>AnDRE sMITh</t>
  </si>
  <si>
    <t>Sharon Hall</t>
  </si>
  <si>
    <t>Wilson, Ward Taylor and</t>
  </si>
  <si>
    <t>KareN GOnZaleZ</t>
  </si>
  <si>
    <t>Jeffrey Arellano</t>
  </si>
  <si>
    <t>Torres-Johnson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</si>
  <si>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</si>
  <si>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</si>
  <si>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</si>
  <si>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</si>
  <si>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</si>
  <si>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</si>
  <si>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</si>
  <si>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</si>
  <si>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</si>
  <si>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Williams LLC</t>
  </si>
  <si>
    <t>niCOle ALVAraDO</t>
  </si>
  <si>
    <t>Adam Bowers</t>
  </si>
  <si>
    <t>Galloway-Barnett</t>
  </si>
  <si>
    <t>JeSsicA RodRiGUeZ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</si>
  <si>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</si>
  <si>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</si>
  <si>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</si>
  <si>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</si>
  <si>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</si>
  <si>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</si>
  <si>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</si>
  <si>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</si>
  <si>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COry PERry</t>
  </si>
  <si>
    <t>Shane Russell</t>
  </si>
  <si>
    <t>Fernandez Harris, and Wilson</t>
  </si>
  <si>
    <t>JeSsica BarrY</t>
  </si>
  <si>
    <t>Rhonda Miller</t>
  </si>
  <si>
    <t>Young-Myers</t>
  </si>
  <si>
    <t>cyNthIA thOmAs</t>
  </si>
  <si>
    <t>Aaron Turner</t>
  </si>
  <si>
    <t>Johnson PLC</t>
  </si>
  <si>
    <t>jUSTIn whITE</t>
  </si>
  <si>
    <t>Caitlin Jackson</t>
  </si>
  <si>
    <t>Jarvis-Craig</t>
  </si>
  <si>
    <t>reGINA sTewarT</t>
  </si>
  <si>
    <t>Jeremy Stout</t>
  </si>
  <si>
    <t>Schneider-Patton</t>
  </si>
  <si>
    <t>emmA beNNeTt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</si>
  <si>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</si>
  <si>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</si>
  <si>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</si>
  <si>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</si>
  <si>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</si>
  <si>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</si>
  <si>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</si>
  <si>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aManda morriS</t>
  </si>
  <si>
    <t>Steve Anderson</t>
  </si>
  <si>
    <t>Henry PLC</t>
  </si>
  <si>
    <t>MAtTheW cunnINGHAm</t>
  </si>
  <si>
    <t>Rhonda Lucas</t>
  </si>
  <si>
    <t>Santiago-Bush</t>
  </si>
  <si>
    <t>meliNda WIlSOn</t>
  </si>
  <si>
    <t>Scott Adams DDS</t>
  </si>
  <si>
    <t>Ltd Carroll</t>
  </si>
  <si>
    <t>NancY HaNSEn</t>
  </si>
  <si>
    <t>Jason Dixon</t>
  </si>
  <si>
    <t>Stevenson, Harding and Woods</t>
  </si>
  <si>
    <t>aMBer NiXoN</t>
  </si>
  <si>
    <t>Candice Gray</t>
  </si>
  <si>
    <t>KriStIn fRancO</t>
  </si>
  <si>
    <t>Michael Richardson</t>
  </si>
  <si>
    <t>Kidd Romero, and Douglas</t>
  </si>
  <si>
    <t>JEremIAH vAZQuEz</t>
  </si>
  <si>
    <t>Megan Allen</t>
  </si>
  <si>
    <t>and Cordova Sons</t>
  </si>
  <si>
    <t>vIcToRiA brADy</t>
  </si>
  <si>
    <t>Benjamin Cruz</t>
  </si>
  <si>
    <t>Robinson Group</t>
  </si>
  <si>
    <t>erIN cLaRk</t>
  </si>
  <si>
    <t>Tracy Marks</t>
  </si>
  <si>
    <t>Hayes Ryan, and Martinez</t>
  </si>
  <si>
    <t>hEAtHer BOyLe</t>
  </si>
  <si>
    <t>Nathan Benjamin</t>
  </si>
  <si>
    <t>Glover and Oneill Miller,</t>
  </si>
  <si>
    <t>eLiZAbeTH ShEPPARd</t>
  </si>
  <si>
    <t>Sara Cole</t>
  </si>
  <si>
    <t>Diaz Inc</t>
  </si>
  <si>
    <t>geoFFrEy DANiELs</t>
  </si>
  <si>
    <t>Stanley Moreno</t>
  </si>
  <si>
    <t>Roberts Inc</t>
  </si>
  <si>
    <t>joHN khAn</t>
  </si>
  <si>
    <t>Nina Smith</t>
  </si>
  <si>
    <t>Riley, Grimes Ruiz and</t>
  </si>
  <si>
    <t>JeNNiFER lopez</t>
  </si>
  <si>
    <t>Michele Ramos</t>
  </si>
  <si>
    <t>Gomez Inc</t>
  </si>
  <si>
    <t>LiSa fRanKLin</t>
  </si>
  <si>
    <t>Luke York</t>
  </si>
  <si>
    <t>Chan, Goodman and Gould</t>
  </si>
  <si>
    <t>KRisTIN BURtoN</t>
  </si>
  <si>
    <t>Whitney Phillips</t>
  </si>
  <si>
    <t>Russell and Randolph, Lawrence</t>
  </si>
  <si>
    <t>Daniel Johnson</t>
  </si>
  <si>
    <t>jEnNiFer KNiGht</t>
  </si>
  <si>
    <t>Donald Wagner</t>
  </si>
  <si>
    <t>Watts-Schneider</t>
  </si>
  <si>
    <t>BOnnIE WiLSon</t>
  </si>
  <si>
    <t>Lisa Fisher</t>
  </si>
  <si>
    <t>Harrell Inc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</si>
  <si>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</si>
  <si>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</si>
  <si>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</si>
  <si>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</si>
  <si>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</si>
  <si>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</si>
  <si>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</si>
  <si>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Crystal Thornton</t>
  </si>
  <si>
    <t>and Miller Prince Rodriguez,</t>
  </si>
  <si>
    <t>kRISTIN NGuYeN</t>
  </si>
  <si>
    <t>Frederick Arnold</t>
  </si>
  <si>
    <t>Mills-Petersen</t>
  </si>
  <si>
    <t>aNgEla rANdOLph</t>
  </si>
  <si>
    <t>Anna Atkinson</t>
  </si>
  <si>
    <t>Smith Anderson and Hunt,</t>
  </si>
  <si>
    <t>mEAGAN MIranDA</t>
  </si>
  <si>
    <t>Dorothy Garcia</t>
  </si>
  <si>
    <t>Williams Reynolds and Rangel,</t>
  </si>
  <si>
    <t>stAcY GIlLEspiE</t>
  </si>
  <si>
    <t>Karen Lynn</t>
  </si>
  <si>
    <t>Roberts Ltd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</si>
  <si>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</si>
  <si>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</si>
  <si>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</si>
  <si>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</si>
  <si>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</si>
  <si>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</si>
  <si>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</si>
  <si>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</si>
  <si>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</si>
  <si>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</si>
  <si>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</si>
  <si>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</si>
  <si>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</si>
  <si>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</si>
  <si>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</si>
  <si>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</si>
  <si>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</si>
  <si>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</si>
  <si>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LLC Johnson</t>
  </si>
  <si>
    <t>LANce TORREs</t>
  </si>
  <si>
    <t>John Rodriguez MD</t>
  </si>
  <si>
    <t>Barajas and Byrd, Wolf</t>
  </si>
  <si>
    <t>tImotHy TErrY</t>
  </si>
  <si>
    <t>Ashley Jackson</t>
  </si>
  <si>
    <t>Salazar Newman White, and</t>
  </si>
  <si>
    <t>joHn MOorE</t>
  </si>
  <si>
    <t>Samuel Hebert</t>
  </si>
  <si>
    <t>Hancock-Lewis</t>
  </si>
  <si>
    <t>kelLy brown</t>
  </si>
  <si>
    <t>Kenneth Watson</t>
  </si>
  <si>
    <t>Hahn-Wilson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</si>
  <si>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</si>
  <si>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</si>
  <si>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</si>
  <si>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</si>
  <si>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</si>
  <si>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</si>
  <si>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</si>
  <si>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Lonnie Patton</t>
  </si>
  <si>
    <t>Dillon-Richard</t>
  </si>
  <si>
    <t>KATie hOwARd</t>
  </si>
  <si>
    <t>Justin Clark</t>
  </si>
  <si>
    <t>and Montes Marshall Valdez,</t>
  </si>
  <si>
    <t>AmandA LAWSon</t>
  </si>
  <si>
    <t>Charles Schmidt</t>
  </si>
  <si>
    <t>PLC Kelly</t>
  </si>
  <si>
    <t>JAmEs MorRis</t>
  </si>
  <si>
    <t>Patricia Kidd</t>
  </si>
  <si>
    <t>Peterson Group</t>
  </si>
  <si>
    <t>MaTTHew cOlliNs</t>
  </si>
  <si>
    <t>Christopher Fleming</t>
  </si>
  <si>
    <t>Hall-Taylor</t>
  </si>
  <si>
    <t>maRcUS bRoWn</t>
  </si>
  <si>
    <t>Adrian Powell</t>
  </si>
  <si>
    <t>Lutz, Lester and Kelly</t>
  </si>
  <si>
    <t>mItcHElL DeCkeR</t>
  </si>
  <si>
    <t>Alexander Rivera</t>
  </si>
  <si>
    <t>Scott, Moore and Brewer</t>
  </si>
  <si>
    <t>dONald mURPhY</t>
  </si>
  <si>
    <t>Pam Johnson</t>
  </si>
  <si>
    <t>Sullivan Henderson Lloyd, and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</si>
  <si>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</si>
  <si>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</si>
  <si>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</si>
  <si>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</si>
  <si>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</si>
  <si>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</si>
  <si>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</si>
  <si>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</si>
  <si>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</si>
  <si>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mArk bRYaNt</t>
  </si>
  <si>
    <t>Timothy Kim</t>
  </si>
  <si>
    <t>Richardson-Griffin</t>
  </si>
  <si>
    <t>mARGAret ZamoRa</t>
  </si>
  <si>
    <t>Joshua Ross</t>
  </si>
  <si>
    <t>Allen-Campbell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</si>
  <si>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</si>
  <si>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</si>
  <si>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</si>
  <si>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</si>
  <si>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</si>
  <si>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</si>
  <si>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</si>
  <si>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</si>
  <si>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</si>
  <si>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</si>
  <si>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</si>
  <si>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</si>
  <si>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</si>
  <si>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Alejandra Williams</t>
  </si>
  <si>
    <t>Inc Davis</t>
  </si>
  <si>
    <t>reBeCcA LeWis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</si>
  <si>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</si>
  <si>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</si>
  <si>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</si>
  <si>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</si>
  <si>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</si>
  <si>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</si>
  <si>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</si>
  <si>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</si>
  <si>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</si>
  <si>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</si>
  <si>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sTEphANIe anderSOn</t>
  </si>
  <si>
    <t>Kyle Gray</t>
  </si>
  <si>
    <t>Ortiz-Martin</t>
  </si>
  <si>
    <t>MiCHaeL DOyle</t>
  </si>
  <si>
    <t>Sarah Jackson</t>
  </si>
  <si>
    <t>Anthony-Torres</t>
  </si>
  <si>
    <t>KAThlEEn MARsHAll</t>
  </si>
  <si>
    <t>Alyssa Cox</t>
  </si>
  <si>
    <t>PLC Drake</t>
  </si>
  <si>
    <t>dONaLD lYNch</t>
  </si>
  <si>
    <t>Angela Johnson</t>
  </si>
  <si>
    <t>Schmidt Ltd</t>
  </si>
  <si>
    <t>DaVid EspInoza</t>
  </si>
  <si>
    <t>Debbie Browning</t>
  </si>
  <si>
    <t>Ortiz-Gardner</t>
  </si>
  <si>
    <t>KRiStEN cOhEn</t>
  </si>
  <si>
    <t>Brandy Nichols</t>
  </si>
  <si>
    <t>Ltd Stewart</t>
  </si>
  <si>
    <t>Kevin rOBInSoN</t>
  </si>
  <si>
    <t>Larry Collier</t>
  </si>
  <si>
    <t>Johnson-Collins</t>
  </si>
  <si>
    <t>sARA caNTrelL</t>
  </si>
  <si>
    <t>Kimberly Gregory</t>
  </si>
  <si>
    <t>Rodriguez-Morgan</t>
  </si>
  <si>
    <t>Ltd Bell</t>
  </si>
  <si>
    <t>ScOtT sImON</t>
  </si>
  <si>
    <t>John Bryant</t>
  </si>
  <si>
    <t>Castillo LLC</t>
  </si>
  <si>
    <t>PLC Lewis</t>
  </si>
  <si>
    <t>MARY ruIz</t>
  </si>
  <si>
    <t>Anita Ortega</t>
  </si>
  <si>
    <t>Brennan-Walters</t>
  </si>
  <si>
    <t>sean bENNeTt</t>
  </si>
  <si>
    <t>Timothy Johnson</t>
  </si>
  <si>
    <t>Martin LLC</t>
  </si>
  <si>
    <t>Ryan hARRis</t>
  </si>
  <si>
    <t>Erica Gallagher</t>
  </si>
  <si>
    <t>Huang-Blanchard</t>
  </si>
  <si>
    <t>TylER gonZalez</t>
  </si>
  <si>
    <t>Megan Zimmerman</t>
  </si>
  <si>
    <t>Gonzalez and Marks, Lopez</t>
  </si>
  <si>
    <t>CHRistOPheR rOdRIgUEZ</t>
  </si>
  <si>
    <t>Kyle Nelson</t>
  </si>
  <si>
    <t>Molina, Rogers and Horton</t>
  </si>
  <si>
    <t>DanIeLLe cANNOn</t>
  </si>
  <si>
    <t>Stephanie Howard</t>
  </si>
  <si>
    <t>Garcia Woodward and Morgan,</t>
  </si>
  <si>
    <t>pamEla KeLLY</t>
  </si>
  <si>
    <t>Joseph Powers</t>
  </si>
  <si>
    <t>Inc Anderson</t>
  </si>
  <si>
    <t>laURie EdWaRdS</t>
  </si>
  <si>
    <t>Kevin Mack</t>
  </si>
  <si>
    <t>Armstrong Everett, Adams and</t>
  </si>
  <si>
    <t>chAd crOss</t>
  </si>
  <si>
    <t>Savannah Mahoney</t>
  </si>
  <si>
    <t>Mclaughlin-Jenkins</t>
  </si>
  <si>
    <t>KYLe grAy</t>
  </si>
  <si>
    <t>Taylor Juarez</t>
  </si>
  <si>
    <t>Parks PLC</t>
  </si>
  <si>
    <t>CaseY HamIlToN</t>
  </si>
  <si>
    <t>Stephanie Thompson</t>
  </si>
  <si>
    <t>Hendrix, Roberts and Pitts</t>
  </si>
  <si>
    <t>JIlLIAN sILva</t>
  </si>
  <si>
    <t>Christopher Ross</t>
  </si>
  <si>
    <t>and Berger Perry, Calhoun</t>
  </si>
  <si>
    <t>DOnAld AYAlA</t>
  </si>
  <si>
    <t>Cassandra Howe</t>
  </si>
  <si>
    <t>Evans-Molina</t>
  </si>
  <si>
    <t>IsABella kENNEDy</t>
  </si>
  <si>
    <t>Raymond Mercer</t>
  </si>
  <si>
    <t>Group Holder</t>
  </si>
  <si>
    <t>jUSTIN BrOwN</t>
  </si>
  <si>
    <t>Wendy Morgan</t>
  </si>
  <si>
    <t>Lawrence PLC</t>
  </si>
  <si>
    <t>kATHERIne WhITakEr</t>
  </si>
  <si>
    <t>Michael Munoz</t>
  </si>
  <si>
    <t>Howe-Smith</t>
  </si>
  <si>
    <t>JeREmy camPBELl</t>
  </si>
  <si>
    <t>Frederick Smith</t>
  </si>
  <si>
    <t>PLC Vargas</t>
  </si>
  <si>
    <t>joEl MOntgomeRY</t>
  </si>
  <si>
    <t>Ricky King</t>
  </si>
  <si>
    <t>and Ray Wood Barrett,</t>
  </si>
  <si>
    <t>chRiStinE FrAziER</t>
  </si>
  <si>
    <t>Richard Fox</t>
  </si>
  <si>
    <t>Davis Moore Bartlett, and</t>
  </si>
  <si>
    <t>bRittany NorMaN</t>
  </si>
  <si>
    <t>Alexander Preston</t>
  </si>
  <si>
    <t>Barton-Johnson</t>
  </si>
  <si>
    <t>HenRY CastRo</t>
  </si>
  <si>
    <t>Cole Harris</t>
  </si>
  <si>
    <t>Neal and Roberson Hicks,</t>
  </si>
  <si>
    <t>dR. aARon AndErseN</t>
  </si>
  <si>
    <t>Kimberly Martinez</t>
  </si>
  <si>
    <t>REgIna MATthEWs</t>
  </si>
  <si>
    <t>Zachary Lopez</t>
  </si>
  <si>
    <t>and Morris Mullins, Hernandez</t>
  </si>
  <si>
    <t>AlAn roACH</t>
  </si>
  <si>
    <t>Dwayne Bradley</t>
  </si>
  <si>
    <t>Rodriguez-Howard</t>
  </si>
  <si>
    <t>miChAel hofFMAn</t>
  </si>
  <si>
    <t>Katherine Taylor</t>
  </si>
  <si>
    <t>Fox-Singleton</t>
  </si>
  <si>
    <t>DYlAN SiMON</t>
  </si>
  <si>
    <t>Laura Shaw</t>
  </si>
  <si>
    <t>Holland, Daniels Brennan and</t>
  </si>
  <si>
    <t>Brown LLC</t>
  </si>
  <si>
    <t>petER kelLY</t>
  </si>
  <si>
    <t>Stephanie Lamb</t>
  </si>
  <si>
    <t>Pacheco-Morris</t>
  </si>
  <si>
    <t>sanDra FLYnn</t>
  </si>
  <si>
    <t>Sherry Parker</t>
  </si>
  <si>
    <t>Zimmerman-Schneider</t>
  </si>
  <si>
    <t>KatHryn SMiTH</t>
  </si>
  <si>
    <t>Hoover Rodriguez, and Vang</t>
  </si>
  <si>
    <t>JACQUEliNE StANtON</t>
  </si>
  <si>
    <t>Mr. Joseph Smith</t>
  </si>
  <si>
    <t>Fuller Sons and</t>
  </si>
  <si>
    <t>emMA FredERIck</t>
  </si>
  <si>
    <t>Abigail Flores</t>
  </si>
  <si>
    <t>and Sons Bonilla</t>
  </si>
  <si>
    <t>LLC Howard</t>
  </si>
  <si>
    <t>KYle REEd</t>
  </si>
  <si>
    <t>Stacy Bender</t>
  </si>
  <si>
    <t>Moore-Sanders</t>
  </si>
  <si>
    <t>CHad peRez</t>
  </si>
  <si>
    <t>John Moore</t>
  </si>
  <si>
    <t>Ortiz, and Massey Norton</t>
  </si>
  <si>
    <t>COUrtnEy bArnETT</t>
  </si>
  <si>
    <t>Michael Craig</t>
  </si>
  <si>
    <t>sTEVEN James</t>
  </si>
  <si>
    <t>Patrick Ross</t>
  </si>
  <si>
    <t>Lee Pugh, and Orozco</t>
  </si>
  <si>
    <t>hOLLY coLON</t>
  </si>
  <si>
    <t>Maureen Jones</t>
  </si>
  <si>
    <t>Payne Parker, Murphy and</t>
  </si>
  <si>
    <t>PaTRICK Cook</t>
  </si>
  <si>
    <t>Eric Beard</t>
  </si>
  <si>
    <t>and Hernandez Mckinney Li,</t>
  </si>
  <si>
    <t>daNIEL heNdriCks</t>
  </si>
  <si>
    <t>Colleen Lawrence</t>
  </si>
  <si>
    <t>Hancock Ltd</t>
  </si>
  <si>
    <t>RyAn BeRg</t>
  </si>
  <si>
    <t>Stefanie Howard</t>
  </si>
  <si>
    <t>Mitchell Brown and Rice,</t>
  </si>
  <si>
    <t>DEbbiE thoMPsON</t>
  </si>
  <si>
    <t>Mark Wallace</t>
  </si>
  <si>
    <t>Garcia-Martinez</t>
  </si>
  <si>
    <t>JESsE SanCHeZ</t>
  </si>
  <si>
    <t>Nichole Washington</t>
  </si>
  <si>
    <t>Douglas-Diaz</t>
  </si>
  <si>
    <t>NORMAN tHoMaS</t>
  </si>
  <si>
    <t>Gabrielle Brown</t>
  </si>
  <si>
    <t>Ltd Tran</t>
  </si>
  <si>
    <t>wAYNE hODGE</t>
  </si>
  <si>
    <t>Nicole Manning</t>
  </si>
  <si>
    <t>Sons Flores and</t>
  </si>
  <si>
    <t>ElAINE LYncH</t>
  </si>
  <si>
    <t>Donna Callahan</t>
  </si>
  <si>
    <t>Green Group</t>
  </si>
  <si>
    <t>DERek LAwSoN</t>
  </si>
  <si>
    <t>Ashley Warner</t>
  </si>
  <si>
    <t>Lewis, Gibbs and Powell</t>
  </si>
  <si>
    <t>Dr. LEONarD BrEWEr Ii</t>
  </si>
  <si>
    <t>Robert Gomez</t>
  </si>
  <si>
    <t>Sons and Moore</t>
  </si>
  <si>
    <t>VAnEsSa WALKeR</t>
  </si>
  <si>
    <t>Cody Shaw</t>
  </si>
  <si>
    <t>Ltd Guerra</t>
  </si>
  <si>
    <t>jusTIN LEwis</t>
  </si>
  <si>
    <t>Ryan Mclean</t>
  </si>
  <si>
    <t>Group Hudson</t>
  </si>
  <si>
    <t>bilLY JOhNSOn</t>
  </si>
  <si>
    <t>Preston Werner</t>
  </si>
  <si>
    <t>Moreno Inc</t>
  </si>
  <si>
    <t>saRaH LoPEZ</t>
  </si>
  <si>
    <t>Alexandra Kim</t>
  </si>
  <si>
    <t>Inc Singh</t>
  </si>
  <si>
    <t>LAWrencE wIlliAmS</t>
  </si>
  <si>
    <t>David Moore</t>
  </si>
  <si>
    <t>Sanchez-Mccullough</t>
  </si>
  <si>
    <t>sUSAN NicHOLs</t>
  </si>
  <si>
    <t>John Barker</t>
  </si>
  <si>
    <t>Smith Rodriguez and Buchanan,</t>
  </si>
  <si>
    <t>JeNNIfER leOn</t>
  </si>
  <si>
    <t>Michael Preston</t>
  </si>
  <si>
    <t>May-Smith</t>
  </si>
  <si>
    <t>meREdIth HILl</t>
  </si>
  <si>
    <t>Mark Brown</t>
  </si>
  <si>
    <t>Franco and Trevino Clayton,</t>
  </si>
  <si>
    <t>LaUra lAwrenCe</t>
  </si>
  <si>
    <t>Alyssa Tapia</t>
  </si>
  <si>
    <t>Herman-Griffin</t>
  </si>
  <si>
    <t>KRiSTa THORNton</t>
  </si>
  <si>
    <t>Kevin Chan</t>
  </si>
  <si>
    <t>Watson-Hill</t>
  </si>
  <si>
    <t>Ian DuFFy</t>
  </si>
  <si>
    <t>Gregory Braun</t>
  </si>
  <si>
    <t>Martin Rodriguez, Richardson and</t>
  </si>
  <si>
    <t>jaDe BaKER</t>
  </si>
  <si>
    <t>Todd Evans</t>
  </si>
  <si>
    <t>and Gray Smith, Jennings</t>
  </si>
  <si>
    <t>BiLlY pEtersEn</t>
  </si>
  <si>
    <t>Donald Hebert</t>
  </si>
  <si>
    <t>and Reynolds Moore Martin,</t>
  </si>
  <si>
    <t>joHn doNAlDsON</t>
  </si>
  <si>
    <t>Diana Lee</t>
  </si>
  <si>
    <t>Potts, Salas Fletcher and</t>
  </si>
  <si>
    <t>rAYMond gaLvaN</t>
  </si>
  <si>
    <t>Cory Mitchell</t>
  </si>
  <si>
    <t>Carr Group</t>
  </si>
  <si>
    <t>SARAH GrEEn</t>
  </si>
  <si>
    <t>Kelly Warren</t>
  </si>
  <si>
    <t>PLC Johnson</t>
  </si>
  <si>
    <t>ambER rEid</t>
  </si>
  <si>
    <t>Brian Wright</t>
  </si>
  <si>
    <t>Moore-Arias</t>
  </si>
  <si>
    <t>jEnnifEr EvAns</t>
  </si>
  <si>
    <t>Alvin Guzman</t>
  </si>
  <si>
    <t>Cunningham Group</t>
  </si>
  <si>
    <t>NIChoLas bEll</t>
  </si>
  <si>
    <t>John Whitney</t>
  </si>
  <si>
    <t>Gonzalez-Keith</t>
  </si>
  <si>
    <t>sHARon ferREll</t>
  </si>
  <si>
    <t>Jennifer Snyder</t>
  </si>
  <si>
    <t>Williams, and Diaz Campbell</t>
  </si>
  <si>
    <t>BRYcE klEIN</t>
  </si>
  <si>
    <t>Joshua Vargas</t>
  </si>
  <si>
    <t>Baker and Barber Baxter,</t>
  </si>
  <si>
    <t>GAbRIeL GaRciA</t>
  </si>
  <si>
    <t>Calvin Evans</t>
  </si>
  <si>
    <t>Ltd Marquez</t>
  </si>
  <si>
    <t>JuSTIn gibbs</t>
  </si>
  <si>
    <t>Olivia Morales</t>
  </si>
  <si>
    <t>Stuart Inc</t>
  </si>
  <si>
    <t>keLly JOhNSON</t>
  </si>
  <si>
    <t>Jessica Leblanc</t>
  </si>
  <si>
    <t>Ltd Dixon</t>
  </si>
  <si>
    <t>lISa CHamBERS</t>
  </si>
  <si>
    <t>Lucas Woods</t>
  </si>
  <si>
    <t>Carpenter-Chen</t>
  </si>
  <si>
    <t>deaNNA colLiNS</t>
  </si>
  <si>
    <t>Ashley Steele</t>
  </si>
  <si>
    <t>Miles-Sanchez</t>
  </si>
  <si>
    <t>THErEsA COlEMan</t>
  </si>
  <si>
    <t>Jonathon Galvan</t>
  </si>
  <si>
    <t>Group Robbins</t>
  </si>
  <si>
    <t>lAURa mORgaN</t>
  </si>
  <si>
    <t>Ronald Stafford</t>
  </si>
  <si>
    <t>Brown-Thompson</t>
  </si>
  <si>
    <t>nIcOlE CRaNE</t>
  </si>
  <si>
    <t>Rebecca Davis</t>
  </si>
  <si>
    <t>Sons and Morton</t>
  </si>
  <si>
    <t>RoBert aRELlaNO</t>
  </si>
  <si>
    <t>Kathleen Wheeler</t>
  </si>
  <si>
    <t>and Johnson Sons</t>
  </si>
  <si>
    <t>KevIn sMiTH</t>
  </si>
  <si>
    <t>Ryan Patterson</t>
  </si>
  <si>
    <t>DanIEL mORRiS</t>
  </si>
  <si>
    <t>Amy Perry</t>
  </si>
  <si>
    <t>Buck and Delgado, Rich</t>
  </si>
  <si>
    <t>bRENT RObiNsON</t>
  </si>
  <si>
    <t>Aaron Johnson</t>
  </si>
  <si>
    <t>Patton and Mclaughlin, Barr</t>
  </si>
  <si>
    <t>paTRicIA bEniTez</t>
  </si>
  <si>
    <t>Christopher King</t>
  </si>
  <si>
    <t>Melton Ltd</t>
  </si>
  <si>
    <t>micHAEl ROgERS</t>
  </si>
  <si>
    <t>Debbie Peters</t>
  </si>
  <si>
    <t>Baker PLC</t>
  </si>
  <si>
    <t>aMy HartmAN</t>
  </si>
  <si>
    <t>Dustin Russell</t>
  </si>
  <si>
    <t>Schmitt and Montgomery, Barber</t>
  </si>
  <si>
    <t>Greg whItE</t>
  </si>
  <si>
    <t>Michael Mcdaniel</t>
  </si>
  <si>
    <t>Thomas Ltd</t>
  </si>
  <si>
    <t>King Group</t>
  </si>
  <si>
    <t>JEfFReY FergUSON</t>
  </si>
  <si>
    <t>Lisa Thompson</t>
  </si>
  <si>
    <t>PLC Haney</t>
  </si>
  <si>
    <t>TRAVIS rOMAn</t>
  </si>
  <si>
    <t>Tanya Gutierrez</t>
  </si>
  <si>
    <t>Moss-Jones</t>
  </si>
  <si>
    <t>aNgela sUlLIVaN</t>
  </si>
  <si>
    <t>Sonya Fletcher</t>
  </si>
  <si>
    <t>Davis-Bell</t>
  </si>
  <si>
    <t>asHlEY bell</t>
  </si>
  <si>
    <t>Donald Maynard</t>
  </si>
  <si>
    <t>Hill, Murphy and Stewart</t>
  </si>
  <si>
    <t>CraiG cLaRkE</t>
  </si>
  <si>
    <t>George Thompson</t>
  </si>
  <si>
    <t>Sons and Dawson</t>
  </si>
  <si>
    <t>keLLy HIlL</t>
  </si>
  <si>
    <t>Lisa Small</t>
  </si>
  <si>
    <t>Paul Watts and Perkins,</t>
  </si>
  <si>
    <t>JOnaTHan HODges</t>
  </si>
  <si>
    <t>Robert Evans</t>
  </si>
  <si>
    <t>Thomas, Green and Barron</t>
  </si>
  <si>
    <t>JAMie CollINs</t>
  </si>
  <si>
    <t>Nathaniel Williams</t>
  </si>
  <si>
    <t>Mclaughlin, and Tucker Francis</t>
  </si>
  <si>
    <t>RAChEl SWanSON</t>
  </si>
  <si>
    <t>Andrea Mitchell</t>
  </si>
  <si>
    <t>nICoLE kNiGhT</t>
  </si>
  <si>
    <t>Marie Glass</t>
  </si>
  <si>
    <t>Steven ROBiNson</t>
  </si>
  <si>
    <t>Monica Costa</t>
  </si>
  <si>
    <t>PLC Garcia</t>
  </si>
  <si>
    <t>elaINe gUZMAn</t>
  </si>
  <si>
    <t>Christian Allen</t>
  </si>
  <si>
    <t>Petty-Lloyd</t>
  </si>
  <si>
    <t>JaSon sMitH</t>
  </si>
  <si>
    <t>Tracy Sandoval</t>
  </si>
  <si>
    <t>Conley-Wood</t>
  </si>
  <si>
    <t>jeNnIfeR HayES</t>
  </si>
  <si>
    <t>Kerry Johnson</t>
  </si>
  <si>
    <t>Yu-Bryant</t>
  </si>
  <si>
    <t>charLENe BrowN MD</t>
  </si>
  <si>
    <t>Christopher Barnes</t>
  </si>
  <si>
    <t>Mills and Young, Perry</t>
  </si>
  <si>
    <t>jEROmE DAY</t>
  </si>
  <si>
    <t>Michael Thomas</t>
  </si>
  <si>
    <t>bILL waLKER</t>
  </si>
  <si>
    <t>Lauren Hines</t>
  </si>
  <si>
    <t>Watkins Group</t>
  </si>
  <si>
    <t>aarOn siMMonS</t>
  </si>
  <si>
    <t>Kelly Spencer</t>
  </si>
  <si>
    <t>Sons and Davis</t>
  </si>
  <si>
    <t>Craig WYaTt</t>
  </si>
  <si>
    <t>Ellen Brown</t>
  </si>
  <si>
    <t>Acosta Group</t>
  </si>
  <si>
    <t>CLaYTOn hoffmAn</t>
  </si>
  <si>
    <t>Lauren Stevens</t>
  </si>
  <si>
    <t>Group Blake</t>
  </si>
  <si>
    <t>MIsTy CLaRK</t>
  </si>
  <si>
    <t>Heather Santiago</t>
  </si>
  <si>
    <t>Sellers and Nelson, Anderson</t>
  </si>
  <si>
    <t>ReBecca fULLEr</t>
  </si>
  <si>
    <t>Janet Holt</t>
  </si>
  <si>
    <t>Gordon-Foster</t>
  </si>
  <si>
    <t>joHN loPeZ</t>
  </si>
  <si>
    <t>Danielle Turner</t>
  </si>
  <si>
    <t>Boyd Ltd</t>
  </si>
  <si>
    <t>aNGeLA GIlBErT</t>
  </si>
  <si>
    <t>Christopher Griffin</t>
  </si>
  <si>
    <t>Graham-Smith</t>
  </si>
  <si>
    <t>FAitH fOstER</t>
  </si>
  <si>
    <t>Daniel Lucero</t>
  </si>
  <si>
    <t>Reynolds and Sons</t>
  </si>
  <si>
    <t>EliZabeTh TAyLoR</t>
  </si>
  <si>
    <t>Mitchell Kerr</t>
  </si>
  <si>
    <t>Sons and Good</t>
  </si>
  <si>
    <t>eLIZAbEth huNt</t>
  </si>
  <si>
    <t>Amanda Simmons</t>
  </si>
  <si>
    <t>Howell, Young Potts and</t>
  </si>
  <si>
    <t>LAUrIe garcIa</t>
  </si>
  <si>
    <t>Bruce Moss</t>
  </si>
  <si>
    <t>Lewis-Fletcher</t>
  </si>
  <si>
    <t>oSCar nElSOn</t>
  </si>
  <si>
    <t>Crystal Schwartz</t>
  </si>
  <si>
    <t>Wagner LLC</t>
  </si>
  <si>
    <t>Inc Taylor</t>
  </si>
  <si>
    <t>JOHN milLer</t>
  </si>
  <si>
    <t>Brenda Clements</t>
  </si>
  <si>
    <t>Steele-Robinson</t>
  </si>
  <si>
    <t>ANdreW Brooks</t>
  </si>
  <si>
    <t>Melissa Tyler</t>
  </si>
  <si>
    <t>Ortega Ltd</t>
  </si>
  <si>
    <t>JOhn HowARD</t>
  </si>
  <si>
    <t>Crystal Cortez</t>
  </si>
  <si>
    <t>Warren-Bowman</t>
  </si>
  <si>
    <t>RobyN thOMpson</t>
  </si>
  <si>
    <t>Anthony Sanchez</t>
  </si>
  <si>
    <t>Brown Reed Robinson, and</t>
  </si>
  <si>
    <t>dOnnA joHnSON</t>
  </si>
  <si>
    <t>Daniel Molina</t>
  </si>
  <si>
    <t>Stewart-Dominguez</t>
  </si>
  <si>
    <t>denise GuERRero</t>
  </si>
  <si>
    <t>Andrea Roach</t>
  </si>
  <si>
    <t>Lamb-Herrera</t>
  </si>
  <si>
    <t>jessE mOLina</t>
  </si>
  <si>
    <t>Nicholas Obrien</t>
  </si>
  <si>
    <t>and Glover Christensen, Jackson</t>
  </si>
  <si>
    <t>Rita NelSon</t>
  </si>
  <si>
    <t>Elijah Potts</t>
  </si>
  <si>
    <t>Alvarez Austin Snyder, and</t>
  </si>
  <si>
    <t>cHArLeS tHOmPson</t>
  </si>
  <si>
    <t>Raymond Watson</t>
  </si>
  <si>
    <t>Ltd Brown</t>
  </si>
  <si>
    <t>aNGElA miLlER</t>
  </si>
  <si>
    <t>Daniel Padilla</t>
  </si>
  <si>
    <t>Dennis, and Hood Guerra</t>
  </si>
  <si>
    <t>MAriA sUtTon</t>
  </si>
  <si>
    <t>Sydney Garcia</t>
  </si>
  <si>
    <t>Inc Mercer</t>
  </si>
  <si>
    <t>laureN tayloR</t>
  </si>
  <si>
    <t>Alexander Mcintosh</t>
  </si>
  <si>
    <t>Garrett PLC</t>
  </si>
  <si>
    <t>DOuGlAS tUrNeR</t>
  </si>
  <si>
    <t>Jacob Cabrera</t>
  </si>
  <si>
    <t>Medina, and Allen Wilkins</t>
  </si>
  <si>
    <t>AlExaNdRIa cOLemaN</t>
  </si>
  <si>
    <t>Alex Davis</t>
  </si>
  <si>
    <t>Hayes and Miller, Sawyer</t>
  </si>
  <si>
    <t>vICToRIa evanS</t>
  </si>
  <si>
    <t>Megan Cohen</t>
  </si>
  <si>
    <t>and Phelps Burke Fields,</t>
  </si>
  <si>
    <t>wILliE maY</t>
  </si>
  <si>
    <t>Victoria Horton</t>
  </si>
  <si>
    <t>Inc Smith</t>
  </si>
  <si>
    <t>JOsEPH eLLiS</t>
  </si>
  <si>
    <t>Joshua Graham</t>
  </si>
  <si>
    <t>and Smith Conway, Byrd</t>
  </si>
  <si>
    <t>wilLiAm baSs</t>
  </si>
  <si>
    <t>David Lee</t>
  </si>
  <si>
    <t>Sons Gonzalez and</t>
  </si>
  <si>
    <t>cHRIStoPhEr WIlsON</t>
  </si>
  <si>
    <t>Nicole Craig</t>
  </si>
  <si>
    <t>Nelson-Hawkins</t>
  </si>
  <si>
    <t>MatTHEW sHANnOn</t>
  </si>
  <si>
    <t>Taylor Gregory</t>
  </si>
  <si>
    <t>LLC Martinez</t>
  </si>
  <si>
    <t>CHRIStIna bROwN</t>
  </si>
  <si>
    <t>Raven Turner</t>
  </si>
  <si>
    <t>DaViD LopeZ</t>
  </si>
  <si>
    <t>Lisa Adams</t>
  </si>
  <si>
    <t>PLC Mann</t>
  </si>
  <si>
    <t>maUREen duNn</t>
  </si>
  <si>
    <t>Angela Brown</t>
  </si>
  <si>
    <t>Lee-White</t>
  </si>
  <si>
    <t>andREw aRnoLd</t>
  </si>
  <si>
    <t>Amber Martinez</t>
  </si>
  <si>
    <t>Rodriguez-Beck</t>
  </si>
  <si>
    <t>samaNtHa bateS</t>
  </si>
  <si>
    <t>Richard Martin</t>
  </si>
  <si>
    <t>Willis-Dixon</t>
  </si>
  <si>
    <t>liNda BUtler</t>
  </si>
  <si>
    <t>Michael Owens</t>
  </si>
  <si>
    <t>Sharp-Greer</t>
  </si>
  <si>
    <t>eRic sMIth</t>
  </si>
  <si>
    <t>Mr. Brendan Young</t>
  </si>
  <si>
    <t>Smith, Singh and Gonzales</t>
  </si>
  <si>
    <t>jIlL LANe</t>
  </si>
  <si>
    <t>Kenneth Brown</t>
  </si>
  <si>
    <t>Frye Group</t>
  </si>
  <si>
    <t>jAMES NGuyEn</t>
  </si>
  <si>
    <t>Travis Johnson</t>
  </si>
  <si>
    <t>Harding-Adams</t>
  </si>
  <si>
    <t>dEbbIe sHaw</t>
  </si>
  <si>
    <t>Michael Mcdowell</t>
  </si>
  <si>
    <t>Lopez Group</t>
  </si>
  <si>
    <t>sArA Green</t>
  </si>
  <si>
    <t>Denise Rivera</t>
  </si>
  <si>
    <t>LLC Dickerson</t>
  </si>
  <si>
    <t>JeSsicA MilLEr</t>
  </si>
  <si>
    <t>Matthew Lopez</t>
  </si>
  <si>
    <t>Guerrero Group</t>
  </si>
  <si>
    <t>JoNaTHan gArcIa</t>
  </si>
  <si>
    <t>Jason Williams</t>
  </si>
  <si>
    <t>and Gardner Torres, Rosario</t>
  </si>
  <si>
    <t>jOHn ThOmPsoN</t>
  </si>
  <si>
    <t>Thomas Schwartz</t>
  </si>
  <si>
    <t>Wilson Sons and</t>
  </si>
  <si>
    <t>Pamela Harris</t>
  </si>
  <si>
    <t>HEiDI EVaNs</t>
  </si>
  <si>
    <t>Joseph Cole</t>
  </si>
  <si>
    <t>Anderson-Miller</t>
  </si>
  <si>
    <t>lUIs BarNES</t>
  </si>
  <si>
    <t>Dustin Mcdaniel</t>
  </si>
  <si>
    <t>PLC Phillips</t>
  </si>
  <si>
    <t>KIMBErly vasqueZ</t>
  </si>
  <si>
    <t>Jennifer Bennett</t>
  </si>
  <si>
    <t>Cowan Inc</t>
  </si>
  <si>
    <t>beNjAmIn KErR</t>
  </si>
  <si>
    <t>John Bush</t>
  </si>
  <si>
    <t>Burns-Callahan</t>
  </si>
  <si>
    <t>ALeXIS sImMoNs</t>
  </si>
  <si>
    <t>Sheila Schwartz</t>
  </si>
  <si>
    <t>Moore-Smith</t>
  </si>
  <si>
    <t>DAvid HEnsleY</t>
  </si>
  <si>
    <t>Mrs. Stephanie Miller</t>
  </si>
  <si>
    <t>Taylor Johnson, Beasley and</t>
  </si>
  <si>
    <t>sHari wIllIaMs</t>
  </si>
  <si>
    <t>Eric Haynes</t>
  </si>
  <si>
    <t>Wood and Murphy Jones,</t>
  </si>
  <si>
    <t>KiMBErLy cRawFOrd</t>
  </si>
  <si>
    <t>Kimberly Bernard</t>
  </si>
  <si>
    <t>Willis-Mcgee</t>
  </si>
  <si>
    <t>CHriS sTEVeNsON</t>
  </si>
  <si>
    <t>Deborah Mccarthy</t>
  </si>
  <si>
    <t>Benson PLC</t>
  </si>
  <si>
    <t>DEBORaH moORE</t>
  </si>
  <si>
    <t>Angela Massey</t>
  </si>
  <si>
    <t>Rubio LLC</t>
  </si>
  <si>
    <t>kArLa CrAWFoRd</t>
  </si>
  <si>
    <t>Ian Davenport</t>
  </si>
  <si>
    <t>Hurley Ltd</t>
  </si>
  <si>
    <t>mARilYN TRAn</t>
  </si>
  <si>
    <t>Vanessa Mclaughlin</t>
  </si>
  <si>
    <t>Jacobs-Howell</t>
  </si>
  <si>
    <t>Martin PLC</t>
  </si>
  <si>
    <t>tEReSA HARriSOn</t>
  </si>
  <si>
    <t>Brandon Crawford</t>
  </si>
  <si>
    <t>Ward-Crosby</t>
  </si>
  <si>
    <t>ThOMAS arNold</t>
  </si>
  <si>
    <t>Jordan Martinez</t>
  </si>
  <si>
    <t>Wong-Booth</t>
  </si>
  <si>
    <t>crYstAl simPSon</t>
  </si>
  <si>
    <t>Sara Simmons</t>
  </si>
  <si>
    <t>and Valencia Flores, Byrd</t>
  </si>
  <si>
    <t>gEORGe PHILlIPS</t>
  </si>
  <si>
    <t>Timothy Guerra</t>
  </si>
  <si>
    <t>Collins-Gutierrez</t>
  </si>
  <si>
    <t>kIMBeRLy rAmirez</t>
  </si>
  <si>
    <t>Robert Wyatt</t>
  </si>
  <si>
    <t>PLC Davis</t>
  </si>
  <si>
    <t>CHLoe hUNT</t>
  </si>
  <si>
    <t>Craig Hunt</t>
  </si>
  <si>
    <t>Anderson, Smith Smith and</t>
  </si>
  <si>
    <t>Heidi POpe</t>
  </si>
  <si>
    <t>Wanda Sanchez</t>
  </si>
  <si>
    <t>and Walker Smith Cannon,</t>
  </si>
  <si>
    <t>megAn GRaY</t>
  </si>
  <si>
    <t>Scott Kennedy</t>
  </si>
  <si>
    <t>brenda LE</t>
  </si>
  <si>
    <t>Julian Hernandez</t>
  </si>
  <si>
    <t>Walsh Alexander, and Dennis</t>
  </si>
  <si>
    <t>DeBRa hArriS</t>
  </si>
  <si>
    <t>Mary Richardson</t>
  </si>
  <si>
    <t>Inc Miller</t>
  </si>
  <si>
    <t>ChAd GrEEn</t>
  </si>
  <si>
    <t>TErRy mARTIn</t>
  </si>
  <si>
    <t>Karen Oconnor</t>
  </si>
  <si>
    <t>Schroeder-Walker</t>
  </si>
  <si>
    <t>madISon PAlmEr</t>
  </si>
  <si>
    <t>Tasha Meyer</t>
  </si>
  <si>
    <t>Mcguire and Wheeler, Morris</t>
  </si>
  <si>
    <t>MIchaEl JONes</t>
  </si>
  <si>
    <t>Jose Smith</t>
  </si>
  <si>
    <t>Washington-Sanchez</t>
  </si>
  <si>
    <t>NIcoLE HaLL</t>
  </si>
  <si>
    <t>Mr. Zachary Williams</t>
  </si>
  <si>
    <t>Sons and Olson</t>
  </si>
  <si>
    <t>rOBert ROBeRtS</t>
  </si>
  <si>
    <t>Dennis Cabrera</t>
  </si>
  <si>
    <t>Thompson-Thomas</t>
  </si>
  <si>
    <t>REbecCA moore</t>
  </si>
  <si>
    <t>Michelle Perez</t>
  </si>
  <si>
    <t>Tanner Smith Miller, and</t>
  </si>
  <si>
    <t>STEve goODMAN</t>
  </si>
  <si>
    <t>Joy Lewis</t>
  </si>
  <si>
    <t>Johnson and Doyle, Collins</t>
  </si>
  <si>
    <t>saRa HARRIs</t>
  </si>
  <si>
    <t>Rodney Hall</t>
  </si>
  <si>
    <t>Cruz and Hahn, Gibbs</t>
  </si>
  <si>
    <t>sTAcy jOnes</t>
  </si>
  <si>
    <t>Sydney Robbins</t>
  </si>
  <si>
    <t>Kelly-Tapia</t>
  </si>
  <si>
    <t>Williams-Peterson</t>
  </si>
  <si>
    <t>MichAEl MezA</t>
  </si>
  <si>
    <t>Daniel Watkins</t>
  </si>
  <si>
    <t>LLC Merritt</t>
  </si>
  <si>
    <t>jENniFER jOhnsON</t>
  </si>
  <si>
    <t>Kimberly Freeman</t>
  </si>
  <si>
    <t>Russell, and Barnett Williams</t>
  </si>
  <si>
    <t>jonAtHaN yOUNG</t>
  </si>
  <si>
    <t>Mrs. Lisa Lucas DVM</t>
  </si>
  <si>
    <t>Lambert-Richardson</t>
  </si>
  <si>
    <t>GLEnn RodrIgueZ</t>
  </si>
  <si>
    <t>Rachel Wallace</t>
  </si>
  <si>
    <t>Morgan, Stephenson and Frazier</t>
  </si>
  <si>
    <t>patRIcK smITh</t>
  </si>
  <si>
    <t>Jamie Bright</t>
  </si>
  <si>
    <t>PLC Gaines</t>
  </si>
  <si>
    <t>aNneTte PruiTt</t>
  </si>
  <si>
    <t>Jimmy Savage</t>
  </si>
  <si>
    <t>and Sons Curry</t>
  </si>
  <si>
    <t>JAY galloWaY</t>
  </si>
  <si>
    <t>Debra Everett</t>
  </si>
  <si>
    <t>Group Peters</t>
  </si>
  <si>
    <t>lEE WHIte</t>
  </si>
  <si>
    <t>Kim Dean</t>
  </si>
  <si>
    <t>Baker-Gill</t>
  </si>
  <si>
    <t>LLC Baker</t>
  </si>
  <si>
    <t>sUsan leE</t>
  </si>
  <si>
    <t>Joy Rojas</t>
  </si>
  <si>
    <t>Nash Stevenson and Martinez,</t>
  </si>
  <si>
    <t>mike mcbRIdE</t>
  </si>
  <si>
    <t>Ashley Petersen</t>
  </si>
  <si>
    <t>Gray and Harris, Oneal</t>
  </si>
  <si>
    <t>HEaTHeR cARtEr</t>
  </si>
  <si>
    <t>Daniel Barnes</t>
  </si>
  <si>
    <t>Ltd Carter</t>
  </si>
  <si>
    <t>GRACE haWKinS</t>
  </si>
  <si>
    <t>Jennifer Taylor</t>
  </si>
  <si>
    <t>Henderson and Sons</t>
  </si>
  <si>
    <t>KImBeRLy wElcH</t>
  </si>
  <si>
    <t>Kerri Wright</t>
  </si>
  <si>
    <t>Barnett LLC</t>
  </si>
  <si>
    <t>ChrISTopheR CaSTIlLo</t>
  </si>
  <si>
    <t>Nicholas Fuller</t>
  </si>
  <si>
    <t>Medina, Wright and Shaffer</t>
  </si>
  <si>
    <t>lARry SinGleTOn</t>
  </si>
  <si>
    <t>Ryan Hall</t>
  </si>
  <si>
    <t>and Grant Hamilton Edwards,</t>
  </si>
  <si>
    <t>DANiel brooKs</t>
  </si>
  <si>
    <t>Emma Kramer</t>
  </si>
  <si>
    <t>Collins Woodward Martinez, and</t>
  </si>
  <si>
    <t>CUrTis GArCia</t>
  </si>
  <si>
    <t>Donna Jones</t>
  </si>
  <si>
    <t>Moore-Myers</t>
  </si>
  <si>
    <t>chrISTOpheR GReEn</t>
  </si>
  <si>
    <t>Sean White</t>
  </si>
  <si>
    <t>Nelson-Edwards</t>
  </si>
  <si>
    <t>wILLiAm SIms</t>
  </si>
  <si>
    <t>Kurt Scott</t>
  </si>
  <si>
    <t>LLC English</t>
  </si>
  <si>
    <t>BoNnie bUckLey</t>
  </si>
  <si>
    <t>Zachary Crawford</t>
  </si>
  <si>
    <t>Reed-Medina</t>
  </si>
  <si>
    <t>EliZAbeTh MicHAeL</t>
  </si>
  <si>
    <t>Jasmine Zimmerman</t>
  </si>
  <si>
    <t>Inc Stevens</t>
  </si>
  <si>
    <t>sUsaN LynCh</t>
  </si>
  <si>
    <t>Brenda White</t>
  </si>
  <si>
    <t>Davis-Nguyen</t>
  </si>
  <si>
    <t>ANdRew WaLsH</t>
  </si>
  <si>
    <t>Steven Mills</t>
  </si>
  <si>
    <t>Moore Cooper, Wilson and</t>
  </si>
  <si>
    <t>mOniCA JameS</t>
  </si>
  <si>
    <t>Theresa Martin</t>
  </si>
  <si>
    <t>Hunt Inc</t>
  </si>
  <si>
    <t>aMY OsBorNE</t>
  </si>
  <si>
    <t>Steve Hood</t>
  </si>
  <si>
    <t>PLC Cox</t>
  </si>
  <si>
    <t>AnTHony JoNeS</t>
  </si>
  <si>
    <t>Maria Morales</t>
  </si>
  <si>
    <t>Group Stein</t>
  </si>
  <si>
    <t>ChrISTiNA burNS</t>
  </si>
  <si>
    <t>John King</t>
  </si>
  <si>
    <t>Taylor Inc</t>
  </si>
  <si>
    <t>RObERT edWArds</t>
  </si>
  <si>
    <t>Thomas Miranda</t>
  </si>
  <si>
    <t>Black-Stevens</t>
  </si>
  <si>
    <t>tRoY goULd</t>
  </si>
  <si>
    <t>Kimberly Malone</t>
  </si>
  <si>
    <t>Wilson Whitney Henderson, and</t>
  </si>
  <si>
    <t>John HOBbS</t>
  </si>
  <si>
    <t>Destiny Nichols</t>
  </si>
  <si>
    <t>Vaughan, Adams and Garcia</t>
  </si>
  <si>
    <t>MArK hUnteR</t>
  </si>
  <si>
    <t>Michael Johnson</t>
  </si>
  <si>
    <t>Vazquez and Sons</t>
  </si>
  <si>
    <t>BrianNa MoreNo</t>
  </si>
  <si>
    <t>Christopher Jones</t>
  </si>
  <si>
    <t>Santiago PLC</t>
  </si>
  <si>
    <t>jOhN YOUng</t>
  </si>
  <si>
    <t>Lauren Mendoza</t>
  </si>
  <si>
    <t>Holmes, Vasquez Sanchez and</t>
  </si>
  <si>
    <t>AmanDa WHitE</t>
  </si>
  <si>
    <t>Janet Pratt</t>
  </si>
  <si>
    <t>PLC Jacobs</t>
  </si>
  <si>
    <t>JuliE rIvaS</t>
  </si>
  <si>
    <t>Debbie Johnson</t>
  </si>
  <si>
    <t>PLC Conway</t>
  </si>
  <si>
    <t>Tammy hall</t>
  </si>
  <si>
    <t>Isaiah Foster</t>
  </si>
  <si>
    <t>Copeland LLC</t>
  </si>
  <si>
    <t>TYLER camPbelL</t>
  </si>
  <si>
    <t>Ryan Kim</t>
  </si>
  <si>
    <t>PLC Doyle</t>
  </si>
  <si>
    <t>DesIRee FraZiEr</t>
  </si>
  <si>
    <t>Emma Costa</t>
  </si>
  <si>
    <t>weNDY CAIN</t>
  </si>
  <si>
    <t>Michelle Brown</t>
  </si>
  <si>
    <t>Johnson-Taylor</t>
  </si>
  <si>
    <t>BretT sTEvenS</t>
  </si>
  <si>
    <t>Curtis Gonzalez</t>
  </si>
  <si>
    <t>Group Sellers</t>
  </si>
  <si>
    <t>marIO HaLeY</t>
  </si>
  <si>
    <t>Chelsea Alvarado</t>
  </si>
  <si>
    <t>Ltd Ortega</t>
  </si>
  <si>
    <t>kaRen clarK</t>
  </si>
  <si>
    <t>Joseph Howell</t>
  </si>
  <si>
    <t>and Greer, Dalton Williams</t>
  </si>
  <si>
    <t>brEnda dAvIS</t>
  </si>
  <si>
    <t>Eric Hudson</t>
  </si>
  <si>
    <t>Curtis PLC</t>
  </si>
  <si>
    <t>anGeLA YounG md</t>
  </si>
  <si>
    <t>Gary Ramos</t>
  </si>
  <si>
    <t>Gomez, Tucker Collins and</t>
  </si>
  <si>
    <t>brIaN SMiTh</t>
  </si>
  <si>
    <t>Stephanie Melendez</t>
  </si>
  <si>
    <t>Arroyo-Taylor</t>
  </si>
  <si>
    <t>daniEl FLORes</t>
  </si>
  <si>
    <t>Derek Gonzalez</t>
  </si>
  <si>
    <t>Austin-Johnson</t>
  </si>
  <si>
    <t>MARCuS gilLEspIE</t>
  </si>
  <si>
    <t>Mary Henry</t>
  </si>
  <si>
    <t>Jacobs-Thompson</t>
  </si>
  <si>
    <t>SUSan jOHNSon</t>
  </si>
  <si>
    <t>Michele Roy</t>
  </si>
  <si>
    <t>and Johnson Morales, Smith</t>
  </si>
  <si>
    <t>mArIE tURNeR</t>
  </si>
  <si>
    <t>Glenn Riggs</t>
  </si>
  <si>
    <t>Alvarado PLC</t>
  </si>
  <si>
    <t>meLAnie mORalEs</t>
  </si>
  <si>
    <t>Andrea White</t>
  </si>
  <si>
    <t>Jackson, Phillips and Dennis</t>
  </si>
  <si>
    <t>nIcOLE fLyNn</t>
  </si>
  <si>
    <t>Gregory James</t>
  </si>
  <si>
    <t>Curry Miller and Padilla,</t>
  </si>
  <si>
    <t>brAndI woodArD</t>
  </si>
  <si>
    <t>Blake Thomas</t>
  </si>
  <si>
    <t>Cross Johnson, and Foster</t>
  </si>
  <si>
    <t>jACoB CuNNINGhAM</t>
  </si>
  <si>
    <t>David Sanchez</t>
  </si>
  <si>
    <t>Odom-Oneal</t>
  </si>
  <si>
    <t>marK RoDRigUez</t>
  </si>
  <si>
    <t>Mary Jacobs</t>
  </si>
  <si>
    <t>Doyle Mccullough Reyes, and</t>
  </si>
  <si>
    <t>aManDa mIlLs</t>
  </si>
  <si>
    <t>Tina Francis</t>
  </si>
  <si>
    <t>Pineda-Daniels</t>
  </si>
  <si>
    <t>DaNieL moOre</t>
  </si>
  <si>
    <t>Jamie Green</t>
  </si>
  <si>
    <t>Murphy PLC</t>
  </si>
  <si>
    <t>MicHaEl BRuce</t>
  </si>
  <si>
    <t>Willie Bonilla</t>
  </si>
  <si>
    <t>Zamora, Glass Brooks and</t>
  </si>
  <si>
    <t>tiMOthY bEnNeTt</t>
  </si>
  <si>
    <t>Steven Moore</t>
  </si>
  <si>
    <t>Walker, Wallace and Ware</t>
  </si>
  <si>
    <t>CArlOs burton</t>
  </si>
  <si>
    <t>Karen White</t>
  </si>
  <si>
    <t>Fischer-Powers</t>
  </si>
  <si>
    <t>jAmiE PRiCe</t>
  </si>
  <si>
    <t>Mitchell Ayala</t>
  </si>
  <si>
    <t>Williams Thomas and Hernandez,</t>
  </si>
  <si>
    <t>nANCy MAy</t>
  </si>
  <si>
    <t>Scott Costa</t>
  </si>
  <si>
    <t>Johnson Smith Carey, and</t>
  </si>
  <si>
    <t>eLiZaBETh FlOrEs</t>
  </si>
  <si>
    <t>Kimberly Johnson</t>
  </si>
  <si>
    <t>Smith Harris, Smith and</t>
  </si>
  <si>
    <t>DaVID FlorEs</t>
  </si>
  <si>
    <t>Christopher Thompson</t>
  </si>
  <si>
    <t>Swanson PLC</t>
  </si>
  <si>
    <t>joSePh CohEn jR.</t>
  </si>
  <si>
    <t>Melissa Miller</t>
  </si>
  <si>
    <t>Perez-Sheppard</t>
  </si>
  <si>
    <t>ErNEsT TAyLOR</t>
  </si>
  <si>
    <t>Bethany Smith</t>
  </si>
  <si>
    <t>Garrison-Rodriguez</t>
  </si>
  <si>
    <t>nicole thOrNtOn</t>
  </si>
  <si>
    <t>Molly Russell</t>
  </si>
  <si>
    <t>Pollard, Logan Mckee and</t>
  </si>
  <si>
    <t>dawN tHomas</t>
  </si>
  <si>
    <t>Allen Estes</t>
  </si>
  <si>
    <t>Thomas, Bauer and Moore</t>
  </si>
  <si>
    <t>JeSsIca booTh</t>
  </si>
  <si>
    <t>Anthony Daniels</t>
  </si>
  <si>
    <t>Stark-Walker</t>
  </si>
  <si>
    <t>dOuGLAs MyERs</t>
  </si>
  <si>
    <t>Robert Bailey</t>
  </si>
  <si>
    <t>and Lee Nguyen Gonzalez,</t>
  </si>
  <si>
    <t>kEndrA WalKeR</t>
  </si>
  <si>
    <t>Donald Hendrix</t>
  </si>
  <si>
    <t>Collins-Gilbert</t>
  </si>
  <si>
    <t>Gonzales Sons and</t>
  </si>
  <si>
    <t>tHOmaS martIN</t>
  </si>
  <si>
    <t>Teresa Olson</t>
  </si>
  <si>
    <t>Group Jacobs</t>
  </si>
  <si>
    <t>lINDA kenNEDY</t>
  </si>
  <si>
    <t>Gina Coffey</t>
  </si>
  <si>
    <t>Wright PLC</t>
  </si>
  <si>
    <t>AllIsOn pricE</t>
  </si>
  <si>
    <t>Munoz-Swanson</t>
  </si>
  <si>
    <t>fRED sNYDer</t>
  </si>
  <si>
    <t>William Waters</t>
  </si>
  <si>
    <t>Sons and Madden</t>
  </si>
  <si>
    <t>JorGE rIchaRD</t>
  </si>
  <si>
    <t>Julia Dominguez</t>
  </si>
  <si>
    <t>Lee-Casey</t>
  </si>
  <si>
    <t>ROBert niChols</t>
  </si>
  <si>
    <t>Aaron Fox</t>
  </si>
  <si>
    <t>Clark, and Cobb Parsons</t>
  </si>
  <si>
    <t>BRETT mARshAll</t>
  </si>
  <si>
    <t>Robert Hartman</t>
  </si>
  <si>
    <t>PLC Garner</t>
  </si>
  <si>
    <t>ChaSe goOD</t>
  </si>
  <si>
    <t>Jordan Gordon</t>
  </si>
  <si>
    <t>Ltd Houston</t>
  </si>
  <si>
    <t>mIchaeL cHRisTiaN</t>
  </si>
  <si>
    <t>Marcus Warren</t>
  </si>
  <si>
    <t>Ltd Austin</t>
  </si>
  <si>
    <t>bRIaNA bOwen</t>
  </si>
  <si>
    <t>Rita Sandoval</t>
  </si>
  <si>
    <t>Stevens-Howard</t>
  </si>
  <si>
    <t>jEfF mOSS</t>
  </si>
  <si>
    <t>Crystal Smith</t>
  </si>
  <si>
    <t>and Cooper Potter, Landry</t>
  </si>
  <si>
    <t>kimbErlY SINglETon</t>
  </si>
  <si>
    <t>Laura Taylor</t>
  </si>
  <si>
    <t>Flores-Franco</t>
  </si>
  <si>
    <t>sTevEn THoMPSON</t>
  </si>
  <si>
    <t>Michelle Evans</t>
  </si>
  <si>
    <t>Mendez, Rodriguez and Smith</t>
  </si>
  <si>
    <t>laURen CUEVaS</t>
  </si>
  <si>
    <t>Paula Gray</t>
  </si>
  <si>
    <t>MiCHaEL GomeZ</t>
  </si>
  <si>
    <t>Clayton Thomas</t>
  </si>
  <si>
    <t>Davis-Sanchez</t>
  </si>
  <si>
    <t>dENISE ramIReZ</t>
  </si>
  <si>
    <t>Amy Garcia</t>
  </si>
  <si>
    <t>Ryan-Moore</t>
  </si>
  <si>
    <t>eRIc FernaNDeZ</t>
  </si>
  <si>
    <t>Trevor Farrell</t>
  </si>
  <si>
    <t>Richards and Campbell, Lee</t>
  </si>
  <si>
    <t>rOBeRT BURton</t>
  </si>
  <si>
    <t>Nicole Perez</t>
  </si>
  <si>
    <t>Patterson-Barber</t>
  </si>
  <si>
    <t>BrYAn HARpER</t>
  </si>
  <si>
    <t>Ann Alvarez</t>
  </si>
  <si>
    <t>Carter-Bell</t>
  </si>
  <si>
    <t>CHARLES jOHNsON</t>
  </si>
  <si>
    <t>Mrs. Hannah Davis MD</t>
  </si>
  <si>
    <t>Baker-Duffy</t>
  </si>
  <si>
    <t>DeAnna feRreLl</t>
  </si>
  <si>
    <t>Natalie Bauer</t>
  </si>
  <si>
    <t>Moore, Jenkins and Bolton</t>
  </si>
  <si>
    <t>jErry CrUZ ddS</t>
  </si>
  <si>
    <t>Darlene Carr</t>
  </si>
  <si>
    <t>Ltd Orozco</t>
  </si>
  <si>
    <t>KrisTa cALdwell</t>
  </si>
  <si>
    <t>Jerry Ward</t>
  </si>
  <si>
    <t>Humphrey-Burton</t>
  </si>
  <si>
    <t>kiMbERly mejia</t>
  </si>
  <si>
    <t>Christina Baker</t>
  </si>
  <si>
    <t>Floyd Group</t>
  </si>
  <si>
    <t>sHawn kIng</t>
  </si>
  <si>
    <t>Erin Ross</t>
  </si>
  <si>
    <t>Gardner-Ross</t>
  </si>
  <si>
    <t>RoBErT robBiNS</t>
  </si>
  <si>
    <t>John Woodard</t>
  </si>
  <si>
    <t>Fuller Perez Scott, and</t>
  </si>
  <si>
    <t>jAMES whIte</t>
  </si>
  <si>
    <t>Haley Williams</t>
  </si>
  <si>
    <t>Moyer Mcbride Cole, and</t>
  </si>
  <si>
    <t>ISAbeLla dAnIeL</t>
  </si>
  <si>
    <t>James Webb</t>
  </si>
  <si>
    <t>Malone Group</t>
  </si>
  <si>
    <t>aNDREW JoHNsON</t>
  </si>
  <si>
    <t>Kyle Brown</t>
  </si>
  <si>
    <t>Patel-Hanna</t>
  </si>
  <si>
    <t>BECkY RivERa</t>
  </si>
  <si>
    <t>Jared Schmitt</t>
  </si>
  <si>
    <t>Smith-Parker</t>
  </si>
  <si>
    <t>DonNA BERNard</t>
  </si>
  <si>
    <t>Jasmine Lawrence</t>
  </si>
  <si>
    <t>Inc Butler</t>
  </si>
  <si>
    <t>KELLY ZAMOra</t>
  </si>
  <si>
    <t>Jacob Marshall</t>
  </si>
  <si>
    <t>Ltd Larson</t>
  </si>
  <si>
    <t>KAra HERring</t>
  </si>
  <si>
    <t>David Harding</t>
  </si>
  <si>
    <t>Brown, and Smith Hebert</t>
  </si>
  <si>
    <t>RiChARd haLl</t>
  </si>
  <si>
    <t>Luke Santiago</t>
  </si>
  <si>
    <t>and Sons Bruce</t>
  </si>
  <si>
    <t>gReGORY OLSon</t>
  </si>
  <si>
    <t>Elizabeth Boone</t>
  </si>
  <si>
    <t>Hull Davidson Garcia, and</t>
  </si>
  <si>
    <t>kEnneth ClaRk</t>
  </si>
  <si>
    <t>Courtney Gonzalez</t>
  </si>
  <si>
    <t>Ellison and Sons</t>
  </si>
  <si>
    <t>ShannoN EdWArds</t>
  </si>
  <si>
    <t>Amy Miles</t>
  </si>
  <si>
    <t>Leonard, Jacobson Schmidt and</t>
  </si>
  <si>
    <t>CalvIn BArRy</t>
  </si>
  <si>
    <t>Tiffany Myers</t>
  </si>
  <si>
    <t>King-Anderson</t>
  </si>
  <si>
    <t>paMElA lOpeZ</t>
  </si>
  <si>
    <t>Alex Herrera</t>
  </si>
  <si>
    <t>Johnson-Dodson</t>
  </si>
  <si>
    <t>AdAm sMItH</t>
  </si>
  <si>
    <t>Michael Middleton</t>
  </si>
  <si>
    <t>Hernandez and Martin Blackwell,</t>
  </si>
  <si>
    <t>CurTiS hArdING</t>
  </si>
  <si>
    <t>Tracy Johnson DDS</t>
  </si>
  <si>
    <t>Perry Bryant, Byrd and</t>
  </si>
  <si>
    <t>maRY WaLKer</t>
  </si>
  <si>
    <t>Deanna Gonzalez</t>
  </si>
  <si>
    <t>Harper-Hicks</t>
  </si>
  <si>
    <t>PauLa vEgA</t>
  </si>
  <si>
    <t>Brianna Allen</t>
  </si>
  <si>
    <t>Curry and Gonzales, Thompson</t>
  </si>
  <si>
    <t>MATthew beNTLeY</t>
  </si>
  <si>
    <t>Christopher Anderson</t>
  </si>
  <si>
    <t>Hill, Fernandez and Sullivan</t>
  </si>
  <si>
    <t>CAiTLiN hILL</t>
  </si>
  <si>
    <t>Robert Moore</t>
  </si>
  <si>
    <t>Boyd, and Brown Guerrero</t>
  </si>
  <si>
    <t>NAncY dAVis</t>
  </si>
  <si>
    <t>Tiffany Moody</t>
  </si>
  <si>
    <t>Campos-Martinez</t>
  </si>
  <si>
    <t>joNatHAn mILLer</t>
  </si>
  <si>
    <t>Laura Hunt</t>
  </si>
  <si>
    <t>Heath Moore Jones, and</t>
  </si>
  <si>
    <t>AMBEr sCHneIDer</t>
  </si>
  <si>
    <t>Joseph Good</t>
  </si>
  <si>
    <t>and Jackson Mccall, Kelly</t>
  </si>
  <si>
    <t>eric CARRiLLo</t>
  </si>
  <si>
    <t>Ian Tyler</t>
  </si>
  <si>
    <t>Molina Group</t>
  </si>
  <si>
    <t>KrySTAL rOdrIGUEZ</t>
  </si>
  <si>
    <t>Marie Case</t>
  </si>
  <si>
    <t>Ltd Ward</t>
  </si>
  <si>
    <t>maDIson MyERs</t>
  </si>
  <si>
    <t>Charlene Lewis</t>
  </si>
  <si>
    <t>Ltd Phillips</t>
  </si>
  <si>
    <t>lisA DowNs DDS</t>
  </si>
  <si>
    <t>Connor Simmons</t>
  </si>
  <si>
    <t>Padilla Lewis, Anderson and</t>
  </si>
  <si>
    <t>Smith PLC</t>
  </si>
  <si>
    <t>mARCus JoneS</t>
  </si>
  <si>
    <t>Elizabeth Herrera</t>
  </si>
  <si>
    <t>Moore, Munoz and Dunlap</t>
  </si>
  <si>
    <t>JAcqUelINe SwaNSon</t>
  </si>
  <si>
    <t>Inc Travis</t>
  </si>
  <si>
    <t>maRK waLKEr</t>
  </si>
  <si>
    <t>Reginald Jimenez</t>
  </si>
  <si>
    <t>Pearson Escobar, and Harper</t>
  </si>
  <si>
    <t>MIchAEl HarvEy</t>
  </si>
  <si>
    <t>Brett Schaefer</t>
  </si>
  <si>
    <t>Freeman-Simon</t>
  </si>
  <si>
    <t>BeckY ROBInsON</t>
  </si>
  <si>
    <t>Allison Campbell</t>
  </si>
  <si>
    <t>Adkins Knapp and Richards,</t>
  </si>
  <si>
    <t>Ltd Martinez</t>
  </si>
  <si>
    <t>Robert Jimenez</t>
  </si>
  <si>
    <t>MariAh baRTOn</t>
  </si>
  <si>
    <t>Brittany Hunt</t>
  </si>
  <si>
    <t>Smith and Mann Spencer,</t>
  </si>
  <si>
    <t>TOnya sHAh</t>
  </si>
  <si>
    <t>Corey Webb</t>
  </si>
  <si>
    <t>Moss-Mathews</t>
  </si>
  <si>
    <t>rUTh RHOdES</t>
  </si>
  <si>
    <t>Jesse Waters</t>
  </si>
  <si>
    <t>RaCheL EvanS</t>
  </si>
  <si>
    <t>Alexis Brown</t>
  </si>
  <si>
    <t>Group Graham</t>
  </si>
  <si>
    <t>cynthIa FRye</t>
  </si>
  <si>
    <t>Aaron Walker</t>
  </si>
  <si>
    <t>Sons Lam and</t>
  </si>
  <si>
    <t>brAd fArLey</t>
  </si>
  <si>
    <t>Matthew Kane</t>
  </si>
  <si>
    <t>Welch Bryan Rodriguez, and</t>
  </si>
  <si>
    <t>MARy rILEy</t>
  </si>
  <si>
    <t>Anna Buckley</t>
  </si>
  <si>
    <t>and Thompson Moore, Torres</t>
  </si>
  <si>
    <t>ClaytOn BroWn</t>
  </si>
  <si>
    <t>Christina Perry</t>
  </si>
  <si>
    <t>Jones, and Moore Carter</t>
  </si>
  <si>
    <t>JAsoN TorrES</t>
  </si>
  <si>
    <t>Amber Valdez</t>
  </si>
  <si>
    <t>Moore-Pierce</t>
  </si>
  <si>
    <t>nAtalie knigHt</t>
  </si>
  <si>
    <t>Jeremiah Bender</t>
  </si>
  <si>
    <t>REBeccA HAyEs</t>
  </si>
  <si>
    <t>David Navarro</t>
  </si>
  <si>
    <t>Gomez and Sons</t>
  </si>
  <si>
    <t>tAmaRA CASTiLlO</t>
  </si>
  <si>
    <t>Brian Elliott</t>
  </si>
  <si>
    <t>Howard-Pitts</t>
  </si>
  <si>
    <t>jOsepH whEELer</t>
  </si>
  <si>
    <t>Jonathan Austin</t>
  </si>
  <si>
    <t>and Delgado Allen, Wilson</t>
  </si>
  <si>
    <t>Angel Smith</t>
  </si>
  <si>
    <t>JOHn walkEr</t>
  </si>
  <si>
    <t>Ashley English</t>
  </si>
  <si>
    <t>Gonzalez Burch, and Diaz</t>
  </si>
  <si>
    <t>NanCy sTevENS</t>
  </si>
  <si>
    <t>Yolanda Harris</t>
  </si>
  <si>
    <t>Banks-Martin</t>
  </si>
  <si>
    <t>BRian bUtLEr</t>
  </si>
  <si>
    <t>Arthur Barker</t>
  </si>
  <si>
    <t>Lopez Carter and Campos,</t>
  </si>
  <si>
    <t>eLiZaBetH BRIdGES</t>
  </si>
  <si>
    <t>Laura Russo</t>
  </si>
  <si>
    <t>James-Mcintyre</t>
  </si>
  <si>
    <t>dR. Lisa DUNN mD</t>
  </si>
  <si>
    <t>Jeff Perez</t>
  </si>
  <si>
    <t>Allen-Ortiz</t>
  </si>
  <si>
    <t>aNtHony goNzAlEz</t>
  </si>
  <si>
    <t>Alejandra Clark</t>
  </si>
  <si>
    <t>Friedman LLC</t>
  </si>
  <si>
    <t>Jason HANEY</t>
  </si>
  <si>
    <t>Dawn Harding</t>
  </si>
  <si>
    <t>Rogers-Smith</t>
  </si>
  <si>
    <t>LindSAY spARks</t>
  </si>
  <si>
    <t>Alexander Stewart</t>
  </si>
  <si>
    <t>Terrell-Powell</t>
  </si>
  <si>
    <t>Dale ReyeS</t>
  </si>
  <si>
    <t>Christopher Bentley</t>
  </si>
  <si>
    <t>JESSICa WILlIaMs</t>
  </si>
  <si>
    <t>Juan Barnett</t>
  </si>
  <si>
    <t>Williams-Maldonado</t>
  </si>
  <si>
    <t>shEena zunIgA</t>
  </si>
  <si>
    <t>Christopher Fitzpatrick</t>
  </si>
  <si>
    <t>RAYmONd ChaNdler</t>
  </si>
  <si>
    <t>Sarah Hill</t>
  </si>
  <si>
    <t>Bradley PLC</t>
  </si>
  <si>
    <t>STepHEN MOORe</t>
  </si>
  <si>
    <t>Melissa Reyes</t>
  </si>
  <si>
    <t>PLC Adams</t>
  </si>
  <si>
    <t>nicoLe Smith</t>
  </si>
  <si>
    <t>Robert Gill</t>
  </si>
  <si>
    <t>Blevins-Douglas</t>
  </si>
  <si>
    <t>BrETt dAvEnPorT</t>
  </si>
  <si>
    <t>Patrick Parrish</t>
  </si>
  <si>
    <t>and Campbell, Wiley Cook</t>
  </si>
  <si>
    <t>MaRiA joHnSoN</t>
  </si>
  <si>
    <t>Kimberly Tucker</t>
  </si>
  <si>
    <t>Moss Group</t>
  </si>
  <si>
    <t>JUlIe mattHEWS</t>
  </si>
  <si>
    <t>Nancy Watson</t>
  </si>
  <si>
    <t>Richardson-Powell</t>
  </si>
  <si>
    <t>MiChaeL HoWE</t>
  </si>
  <si>
    <t>Brenda Torres MD</t>
  </si>
  <si>
    <t>Inc Huynh</t>
  </si>
  <si>
    <t>JOshUa dOYLE</t>
  </si>
  <si>
    <t>Dawn Rodriguez</t>
  </si>
  <si>
    <t>Rogers LLC</t>
  </si>
  <si>
    <t>gregOry thomas</t>
  </si>
  <si>
    <t>Lauren Lowe</t>
  </si>
  <si>
    <t>Davis Maddox Harris, and</t>
  </si>
  <si>
    <t>jENNiFEr wEST</t>
  </si>
  <si>
    <t>Scott Meyer</t>
  </si>
  <si>
    <t>Wright-Walker</t>
  </si>
  <si>
    <t>SHANNOn key</t>
  </si>
  <si>
    <t>Evan George</t>
  </si>
  <si>
    <t>Thomas and Lambert, Young</t>
  </si>
  <si>
    <t>kAThY wHite</t>
  </si>
  <si>
    <t>James Bray</t>
  </si>
  <si>
    <t>Smith-Ewing</t>
  </si>
  <si>
    <t>MICHELE FeRNaNDeZ</t>
  </si>
  <si>
    <t>Christine Hines</t>
  </si>
  <si>
    <t>Gonzalez Ltd</t>
  </si>
  <si>
    <t>STEPHanie HARRIs</t>
  </si>
  <si>
    <t>Allison Roberson</t>
  </si>
  <si>
    <t>Lopez, Rodriguez Hodges and</t>
  </si>
  <si>
    <t>keitH WhiTE</t>
  </si>
  <si>
    <t>Cynthia Martin</t>
  </si>
  <si>
    <t>Riddle LLC</t>
  </si>
  <si>
    <t>MiCHELLE jOhnsON</t>
  </si>
  <si>
    <t>Lynn Miller</t>
  </si>
  <si>
    <t>Medina-Hubbard</t>
  </si>
  <si>
    <t>brADlEY jorDan</t>
  </si>
  <si>
    <t>Julie Jones</t>
  </si>
  <si>
    <t>Jenkins PLC</t>
  </si>
  <si>
    <t>WiLLIAM BaKer</t>
  </si>
  <si>
    <t>John Gaines</t>
  </si>
  <si>
    <t>Evans-Torres</t>
  </si>
  <si>
    <t>HOllY bisHop</t>
  </si>
  <si>
    <t>Erik Woods</t>
  </si>
  <si>
    <t>Hernandez-Valdez</t>
  </si>
  <si>
    <t>dEnNis GOnZAlEZ</t>
  </si>
  <si>
    <t>Carol Moore</t>
  </si>
  <si>
    <t>Smith-Nguyen</t>
  </si>
  <si>
    <t>zachAry LYONs</t>
  </si>
  <si>
    <t>Hailey Jackson</t>
  </si>
  <si>
    <t>Wilson-Torres</t>
  </si>
  <si>
    <t>James Thomas</t>
  </si>
  <si>
    <t>laUrA WU</t>
  </si>
  <si>
    <t>Frank Stephens</t>
  </si>
  <si>
    <t>Sparks-Smith</t>
  </si>
  <si>
    <t>VAneSSa kiNg</t>
  </si>
  <si>
    <t>Karen Rodriguez MD</t>
  </si>
  <si>
    <t>Inc Banks</t>
  </si>
  <si>
    <t>cLAIre RaMIREz</t>
  </si>
  <si>
    <t>Sarah Lawrence</t>
  </si>
  <si>
    <t>Porter, Woods Miller and</t>
  </si>
  <si>
    <t>ScOtt waLker</t>
  </si>
  <si>
    <t>Allison Ruiz</t>
  </si>
  <si>
    <t>Wagner-Sanchez</t>
  </si>
  <si>
    <t>vicToriA cRAwFOrd</t>
  </si>
  <si>
    <t>Phillip Green</t>
  </si>
  <si>
    <t>Wilson and Hood, Robinson</t>
  </si>
  <si>
    <t>cYntHia CalDWELL</t>
  </si>
  <si>
    <t>John Moody</t>
  </si>
  <si>
    <t>Edwards, Daniels Garcia and</t>
  </si>
  <si>
    <t>brEnDa bURgeSs</t>
  </si>
  <si>
    <t>Diane Hood</t>
  </si>
  <si>
    <t>Inc Duran</t>
  </si>
  <si>
    <t>vANesSa mCINToSh</t>
  </si>
  <si>
    <t>Kathryn Guerra</t>
  </si>
  <si>
    <t>Berry and Clark Shaw,</t>
  </si>
  <si>
    <t>jenNIFEr DixoN</t>
  </si>
  <si>
    <t>Melissa Weeks</t>
  </si>
  <si>
    <t>Allen Parker and Estes,</t>
  </si>
  <si>
    <t>kEnNeth wilLIaMs</t>
  </si>
  <si>
    <t>John White</t>
  </si>
  <si>
    <t>Contreras Myers and Young,</t>
  </si>
  <si>
    <t>cHarlEs BArAJAs</t>
  </si>
  <si>
    <t>John Long</t>
  </si>
  <si>
    <t>Miller Bailey, and Anderson</t>
  </si>
  <si>
    <t>petEr cOnway</t>
  </si>
  <si>
    <t>Tammy Cisneros</t>
  </si>
  <si>
    <t>Vasquez-Carr</t>
  </si>
  <si>
    <t>MaRY BaldwIn</t>
  </si>
  <si>
    <t>Benjamin Taylor</t>
  </si>
  <si>
    <t>Gomez-Spencer</t>
  </si>
  <si>
    <t>WILLIaM matHIs</t>
  </si>
  <si>
    <t>Nichole Rodriguez</t>
  </si>
  <si>
    <t>Sweeney LLC</t>
  </si>
  <si>
    <t>mRs. JilliaN sOsa</t>
  </si>
  <si>
    <t>Jenna Larson</t>
  </si>
  <si>
    <t>Thomas-Adams</t>
  </si>
  <si>
    <t>AMbEr LAWsoN</t>
  </si>
  <si>
    <t>Joseph Dixon</t>
  </si>
  <si>
    <t>Cortez-Cannon</t>
  </si>
  <si>
    <t>baRBaRA mAY</t>
  </si>
  <si>
    <t>Derrick Martinez</t>
  </si>
  <si>
    <t>Wood Ltd</t>
  </si>
  <si>
    <t>aNGEla bROWN</t>
  </si>
  <si>
    <t>Maurice Dunn</t>
  </si>
  <si>
    <t>White Group</t>
  </si>
  <si>
    <t>DArRElL jOhNStOn</t>
  </si>
  <si>
    <t>Jesus Mitchell</t>
  </si>
  <si>
    <t>Jackson-Brennan</t>
  </si>
  <si>
    <t>GarY sAntoS</t>
  </si>
  <si>
    <t>Gerald Chase</t>
  </si>
  <si>
    <t>Smith Sons and</t>
  </si>
  <si>
    <t>trAcy garciA</t>
  </si>
  <si>
    <t>Dr. Joseph Mitchell</t>
  </si>
  <si>
    <t>and Walsh, Floyd Owens</t>
  </si>
  <si>
    <t>joSEPH fiGUEroA</t>
  </si>
  <si>
    <t>Edward Burgess</t>
  </si>
  <si>
    <t>and Perez, Graham Herrera</t>
  </si>
  <si>
    <t>Jennifer Jones</t>
  </si>
  <si>
    <t>bRitTney CheN</t>
  </si>
  <si>
    <t>Christian Dawson</t>
  </si>
  <si>
    <t>and Perry Leach, Alexander</t>
  </si>
  <si>
    <t>David gRAHam</t>
  </si>
  <si>
    <t>Sarah Lopez</t>
  </si>
  <si>
    <t>Sons and Bowman</t>
  </si>
  <si>
    <t>vALeRiE ChaVEZ</t>
  </si>
  <si>
    <t>James Barnes</t>
  </si>
  <si>
    <t>Holland Brown, and York</t>
  </si>
  <si>
    <t>ELIZabEtH bAKEr</t>
  </si>
  <si>
    <t>Caroline Castillo</t>
  </si>
  <si>
    <t>Tran Wright and Vasquez,</t>
  </si>
  <si>
    <t>pRisCillA sanDERS</t>
  </si>
  <si>
    <t>Daniel Contreras</t>
  </si>
  <si>
    <t>Simpson Inc</t>
  </si>
  <si>
    <t>courtNeY sCHrOEDER</t>
  </si>
  <si>
    <t>Amy Roberts</t>
  </si>
  <si>
    <t>Inc Robinson</t>
  </si>
  <si>
    <t>aMBER NGuyEN</t>
  </si>
  <si>
    <t>Susan Brown</t>
  </si>
  <si>
    <t>Matthews-Mcbride</t>
  </si>
  <si>
    <t>TifFanY cooPEr</t>
  </si>
  <si>
    <t>Alexandra Pena</t>
  </si>
  <si>
    <t>Wright Sons and</t>
  </si>
  <si>
    <t>SHanE GarDnEr</t>
  </si>
  <si>
    <t>Russell Cox</t>
  </si>
  <si>
    <t>and Baird, Simmons Peters</t>
  </si>
  <si>
    <t>tHOMas cruz</t>
  </si>
  <si>
    <t>Brenda Chavez</t>
  </si>
  <si>
    <t>Higgins Inc</t>
  </si>
  <si>
    <t>michaEl obriEN</t>
  </si>
  <si>
    <t>Angela Sweeney</t>
  </si>
  <si>
    <t>Benitez-Nguyen</t>
  </si>
  <si>
    <t>ValeriE NelsoN</t>
  </si>
  <si>
    <t>Cheryl Hamilton</t>
  </si>
  <si>
    <t>Terry Ltd</t>
  </si>
  <si>
    <t>Lisa vAleNCIa</t>
  </si>
  <si>
    <t>Maurice Ramos</t>
  </si>
  <si>
    <t>Long-Golden</t>
  </si>
  <si>
    <t>AutUMN sUtton</t>
  </si>
  <si>
    <t>Aaron Pace</t>
  </si>
  <si>
    <t>Clark-Rivers</t>
  </si>
  <si>
    <t>juSTiN EAton</t>
  </si>
  <si>
    <t>Collin Gaines</t>
  </si>
  <si>
    <t>Inc Jones</t>
  </si>
  <si>
    <t>BrEnt mcCArthY</t>
  </si>
  <si>
    <t>Mary Moore</t>
  </si>
  <si>
    <t>and Meadows, Thomas Vaughn</t>
  </si>
  <si>
    <t>joSHUA SMItH</t>
  </si>
  <si>
    <t>Maria Parker</t>
  </si>
  <si>
    <t>Clark-Leon</t>
  </si>
  <si>
    <t>NICole HIcKS</t>
  </si>
  <si>
    <t>Yvonne Santana</t>
  </si>
  <si>
    <t>Burton-Hernandez</t>
  </si>
  <si>
    <t>BreNDa ColLins</t>
  </si>
  <si>
    <t>Ashley Johnson</t>
  </si>
  <si>
    <t>Wilson Ltd</t>
  </si>
  <si>
    <t>Dr. RObErT tODd</t>
  </si>
  <si>
    <t>James Bryan</t>
  </si>
  <si>
    <t>Randall-Castaneda</t>
  </si>
  <si>
    <t>eriC BLACkBurn</t>
  </si>
  <si>
    <t>Amy Mcdonald</t>
  </si>
  <si>
    <t>Inc Griffin</t>
  </si>
  <si>
    <t>JulIe broWn</t>
  </si>
  <si>
    <t>Ricky Mccormick</t>
  </si>
  <si>
    <t>Fry LLC</t>
  </si>
  <si>
    <t>BRenDA baiRD</t>
  </si>
  <si>
    <t>Brandon Mejia</t>
  </si>
  <si>
    <t>Williams Ltd</t>
  </si>
  <si>
    <t>megan roCHA</t>
  </si>
  <si>
    <t>Meghan Hardin</t>
  </si>
  <si>
    <t>Group Alexander</t>
  </si>
  <si>
    <t>Lisa Williams</t>
  </si>
  <si>
    <t>JOnAThAn mCGrAtH</t>
  </si>
  <si>
    <t>Roberta Garcia</t>
  </si>
  <si>
    <t>MichaEl wilKiNs</t>
  </si>
  <si>
    <t>Kevin Oliver</t>
  </si>
  <si>
    <t>PLC Smith</t>
  </si>
  <si>
    <t>jAmES bradlEy</t>
  </si>
  <si>
    <t>Maria Brown PhD</t>
  </si>
  <si>
    <t>Washington, Moran and Le</t>
  </si>
  <si>
    <t>ScOTT aNDErsOn</t>
  </si>
  <si>
    <t>Samantha Banks</t>
  </si>
  <si>
    <t>Lowe-Bruce</t>
  </si>
  <si>
    <t>MAttHew BrYANt</t>
  </si>
  <si>
    <t>Kathleen Lawrence</t>
  </si>
  <si>
    <t>Smith, Miller Rosario and</t>
  </si>
  <si>
    <t>AngELIcA mARTIneZ</t>
  </si>
  <si>
    <t>Savannah Herrera</t>
  </si>
  <si>
    <t>PLC Mendez</t>
  </si>
  <si>
    <t>briTtaNY SanChEz</t>
  </si>
  <si>
    <t>Seth Kennedy</t>
  </si>
  <si>
    <t>Bowman-Young</t>
  </si>
  <si>
    <t>AnGEla WalkER</t>
  </si>
  <si>
    <t>Brandon Dixon</t>
  </si>
  <si>
    <t>and Sons Holmes</t>
  </si>
  <si>
    <t>ErIn maSoN</t>
  </si>
  <si>
    <t>Elizabeth Nixon</t>
  </si>
  <si>
    <t>Shaw Inc</t>
  </si>
  <si>
    <t>Kenneth DavIDson</t>
  </si>
  <si>
    <t>Sheena Weaver</t>
  </si>
  <si>
    <t>LLC Wood</t>
  </si>
  <si>
    <t>TIMoThy GeORGE</t>
  </si>
  <si>
    <t>Ashley Walters</t>
  </si>
  <si>
    <t>Rice, Thompson Williams and</t>
  </si>
  <si>
    <t>sTEPhaNie CrUZ</t>
  </si>
  <si>
    <t>Christopher Green</t>
  </si>
  <si>
    <t>Lee-Edwards</t>
  </si>
  <si>
    <t>SCOtt bOWeN</t>
  </si>
  <si>
    <t>Jacqueline Bowman</t>
  </si>
  <si>
    <t>Price-Keller</t>
  </si>
  <si>
    <t>CharlotTE tHOMas</t>
  </si>
  <si>
    <t>Julie Nelson</t>
  </si>
  <si>
    <t>Jones-George</t>
  </si>
  <si>
    <t>Keith AlLEn</t>
  </si>
  <si>
    <t>David Simmons</t>
  </si>
  <si>
    <t>Hebert and Morgan, Wilson</t>
  </si>
  <si>
    <t>aNNA MILlER</t>
  </si>
  <si>
    <t>Jack Reilly</t>
  </si>
  <si>
    <t>and Mayo Chen, Murray</t>
  </si>
  <si>
    <t>alyssA LittlE</t>
  </si>
  <si>
    <t>Leah Guerra</t>
  </si>
  <si>
    <t>Jennings Group</t>
  </si>
  <si>
    <t>RhonDA WILSOn</t>
  </si>
  <si>
    <t>Eric Simpson</t>
  </si>
  <si>
    <t>Parker, and Parker Macdonald</t>
  </si>
  <si>
    <t>KIMBerLy lee</t>
  </si>
  <si>
    <t>Debra Johnson</t>
  </si>
  <si>
    <t>Ltd Potts</t>
  </si>
  <si>
    <t>JaSOn MeLEnDEZ</t>
  </si>
  <si>
    <t>Amanda Miller</t>
  </si>
  <si>
    <t>and Allen Anderson, Rivera</t>
  </si>
  <si>
    <t>joHNAThAn dIXon</t>
  </si>
  <si>
    <t>Bell-Hernandez</t>
  </si>
  <si>
    <t>coDy MOorE</t>
  </si>
  <si>
    <t>Krystal Bowman</t>
  </si>
  <si>
    <t>Chavez-Chapman</t>
  </si>
  <si>
    <t>MAtthEw sHaw</t>
  </si>
  <si>
    <t>Joshua Jones</t>
  </si>
  <si>
    <t>Wade Savage, Harrington and</t>
  </si>
  <si>
    <t>KEvIn gALLagher</t>
  </si>
  <si>
    <t>Tyler Pearson</t>
  </si>
  <si>
    <t>Burns-Smith</t>
  </si>
  <si>
    <t>cathEriNe WALl</t>
  </si>
  <si>
    <t>Sharon Morris</t>
  </si>
  <si>
    <t>Serrano Group</t>
  </si>
  <si>
    <t>lUis pATtErsoN</t>
  </si>
  <si>
    <t>Erika Gordon</t>
  </si>
  <si>
    <t>and Gentry Rich, King</t>
  </si>
  <si>
    <t>LEroy priCE</t>
  </si>
  <si>
    <t>David Sims</t>
  </si>
  <si>
    <t>Ortega, Taylor Berry and</t>
  </si>
  <si>
    <t>mattHeW GlOVer</t>
  </si>
  <si>
    <t>Brianna Mccoy</t>
  </si>
  <si>
    <t>Mitchell-Ryan</t>
  </si>
  <si>
    <t>MArK Cox</t>
  </si>
  <si>
    <t>Michelle James</t>
  </si>
  <si>
    <t>Johnson-Nichols</t>
  </si>
  <si>
    <t>AAROn wiLsON</t>
  </si>
  <si>
    <t>Victor Dixon</t>
  </si>
  <si>
    <t>Mercado-Brown</t>
  </si>
  <si>
    <t>Willis PLC</t>
  </si>
  <si>
    <t>KEiTh WILSoN</t>
  </si>
  <si>
    <t>Ryan Andersen</t>
  </si>
  <si>
    <t>Sparks PLC</t>
  </si>
  <si>
    <t>SHAwN rAmIRez</t>
  </si>
  <si>
    <t>William Mcdonald</t>
  </si>
  <si>
    <t>Frey and Wise, Mendez</t>
  </si>
  <si>
    <t>regInA mitcHElL</t>
  </si>
  <si>
    <t>Melanie Ortiz</t>
  </si>
  <si>
    <t>Inc Pruitt</t>
  </si>
  <si>
    <t>MEgaN ReEsE</t>
  </si>
  <si>
    <t>Bonnie Johnson</t>
  </si>
  <si>
    <t>Weeks, Carey Johnson and</t>
  </si>
  <si>
    <t>TErRENce RIChArd</t>
  </si>
  <si>
    <t>Jeremy Vaughn</t>
  </si>
  <si>
    <t>Jones-Buchanan</t>
  </si>
  <si>
    <t>MattHEw WAtts</t>
  </si>
  <si>
    <t>Tiffany Dickerson</t>
  </si>
  <si>
    <t>Sons Allison and</t>
  </si>
  <si>
    <t>SAraH MorRiS</t>
  </si>
  <si>
    <t>William Fisher</t>
  </si>
  <si>
    <t>Cunningham-Stephens</t>
  </si>
  <si>
    <t>KeviN mArShalL</t>
  </si>
  <si>
    <t>Matthew Medina</t>
  </si>
  <si>
    <t>Moore Morris Martinez, and</t>
  </si>
  <si>
    <t>JONathan clarKE</t>
  </si>
  <si>
    <t>Molly Rios</t>
  </si>
  <si>
    <t>French Ltd</t>
  </si>
  <si>
    <t>PaULA MonTOYA</t>
  </si>
  <si>
    <t>Michelle Gilbert</t>
  </si>
  <si>
    <t>Nicholson-Perez</t>
  </si>
  <si>
    <t>CalEB BrANch</t>
  </si>
  <si>
    <t>Nina Stephens</t>
  </si>
  <si>
    <t>Bradshaw-Meadows</t>
  </si>
  <si>
    <t>ChRiSTopHEr tHoMas</t>
  </si>
  <si>
    <t>Angela Richard</t>
  </si>
  <si>
    <t>LLC Ferrell</t>
  </si>
  <si>
    <t>jEReMy bArRett</t>
  </si>
  <si>
    <t>Andrew Collins</t>
  </si>
  <si>
    <t>Weaver-Figueroa</t>
  </si>
  <si>
    <t>rIChARd SANCHEz</t>
  </si>
  <si>
    <t>Meghan Mccullough</t>
  </si>
  <si>
    <t>Hill-Bowman</t>
  </si>
  <si>
    <t>antHonY RAy</t>
  </si>
  <si>
    <t>Antonio Mcdonald</t>
  </si>
  <si>
    <t>Fuller-Gilbert</t>
  </si>
  <si>
    <t>JAmIe laMB</t>
  </si>
  <si>
    <t>Dawn Ward</t>
  </si>
  <si>
    <t>Cole-Montgomery</t>
  </si>
  <si>
    <t>cOdy maHOnEy</t>
  </si>
  <si>
    <t>Randy Shea</t>
  </si>
  <si>
    <t>Massey, and Snyder Bell</t>
  </si>
  <si>
    <t>RIcHard york</t>
  </si>
  <si>
    <t>Steven Morales</t>
  </si>
  <si>
    <t>Garcia-Farmer</t>
  </si>
  <si>
    <t>ANdREw mARSHaLl</t>
  </si>
  <si>
    <t>Robert Garcia</t>
  </si>
  <si>
    <t>Anderson-Cox</t>
  </si>
  <si>
    <t>JoAn MILler</t>
  </si>
  <si>
    <t>Cynthia Wright</t>
  </si>
  <si>
    <t>Inc Garcia</t>
  </si>
  <si>
    <t>krIsTiN frY</t>
  </si>
  <si>
    <t>Phillip Harris</t>
  </si>
  <si>
    <t>Harper Ltd</t>
  </si>
  <si>
    <t>jASMine OLiVER</t>
  </si>
  <si>
    <t>Christopher Johnson</t>
  </si>
  <si>
    <t>Smith-Mack</t>
  </si>
  <si>
    <t>jOHnnY galLEgoS</t>
  </si>
  <si>
    <t>Timothy Salazar</t>
  </si>
  <si>
    <t>Greene-Garrett</t>
  </si>
  <si>
    <t>chRiSTopHeR AGUiLAr</t>
  </si>
  <si>
    <t>Tamara Mckee</t>
  </si>
  <si>
    <t>Simpson-Brown</t>
  </si>
  <si>
    <t>lauRen REeD</t>
  </si>
  <si>
    <t>Brittney Roberson</t>
  </si>
  <si>
    <t>Fritz-Cox</t>
  </si>
  <si>
    <t>KImBeRly CArpenTer</t>
  </si>
  <si>
    <t>Robert Mack</t>
  </si>
  <si>
    <t>Sanchez-Lopez</t>
  </si>
  <si>
    <t>marIA REEd</t>
  </si>
  <si>
    <t>Michelle Jackson</t>
  </si>
  <si>
    <t>Hodge-Thomas</t>
  </si>
  <si>
    <t>eLIZabETH wANg</t>
  </si>
  <si>
    <t>David Johnson</t>
  </si>
  <si>
    <t>Little Moore, Ellis and</t>
  </si>
  <si>
    <t>PauL rOss</t>
  </si>
  <si>
    <t>Deborah Kennedy</t>
  </si>
  <si>
    <t>Small-Simmons</t>
  </si>
  <si>
    <t>tAmAra toDd</t>
  </si>
  <si>
    <t>Johnny Reed</t>
  </si>
  <si>
    <t>Bradford-Andrews</t>
  </si>
  <si>
    <t>ISaIaH RichaRdSON</t>
  </si>
  <si>
    <t>Steven Hubbard</t>
  </si>
  <si>
    <t>Mcintyre-Beasley</t>
  </si>
  <si>
    <t>allISON CrosBy</t>
  </si>
  <si>
    <t>Anna Gallagher</t>
  </si>
  <si>
    <t>Williams, Lopez David and</t>
  </si>
  <si>
    <t>maTthEW wiLliamsON</t>
  </si>
  <si>
    <t>Christian Richardson</t>
  </si>
  <si>
    <t>King-Fowler</t>
  </si>
  <si>
    <t>melIssa maYnaRD</t>
  </si>
  <si>
    <t>Herrera-Vance</t>
  </si>
  <si>
    <t>KaylA CLArK</t>
  </si>
  <si>
    <t>Chris Klein</t>
  </si>
  <si>
    <t>Butler Group</t>
  </si>
  <si>
    <t>DeBorAH DAvis</t>
  </si>
  <si>
    <t>Joshua Schwartz</t>
  </si>
  <si>
    <t>PLC Conner</t>
  </si>
  <si>
    <t>kaTHrYN yOuNg</t>
  </si>
  <si>
    <t>Todd Lowe</t>
  </si>
  <si>
    <t>Smith and Delacruz, Poole</t>
  </si>
  <si>
    <t>wENdy LOng</t>
  </si>
  <si>
    <t>Susan Hansen</t>
  </si>
  <si>
    <t>and Ross, Crosby Caldwell</t>
  </si>
  <si>
    <t>DOUGlas faRleY</t>
  </si>
  <si>
    <t>Dennis Torres</t>
  </si>
  <si>
    <t>JULIa edWaRdS</t>
  </si>
  <si>
    <t>Chad Newman</t>
  </si>
  <si>
    <t>Dawson-Williams</t>
  </si>
  <si>
    <t>KEViN pOwEll</t>
  </si>
  <si>
    <t>Raven Lewis</t>
  </si>
  <si>
    <t>Bishop, Wright and Wright</t>
  </si>
  <si>
    <t>meGan bASS</t>
  </si>
  <si>
    <t>Phillip Huff</t>
  </si>
  <si>
    <t>Patrick-White</t>
  </si>
  <si>
    <t>DEnNis MelEnDEZ</t>
  </si>
  <si>
    <t>Kristen Woods</t>
  </si>
  <si>
    <t>Hill-Rogers</t>
  </si>
  <si>
    <t>tIMotHy SanCHEZ</t>
  </si>
  <si>
    <t>Mrs. Olivia Wood DVM</t>
  </si>
  <si>
    <t>Cobb Rubio, Williamson and</t>
  </si>
  <si>
    <t>jAMIE DUraN</t>
  </si>
  <si>
    <t>Richard Rodriguez</t>
  </si>
  <si>
    <t>Sons and Dominguez</t>
  </si>
  <si>
    <t>ANTHoNY hOusE</t>
  </si>
  <si>
    <t>Michael Brown</t>
  </si>
  <si>
    <t>Miller-Robinson</t>
  </si>
  <si>
    <t>mArY FloRes</t>
  </si>
  <si>
    <t>Diana Willis</t>
  </si>
  <si>
    <t>Ferguson and Benton, Moore</t>
  </si>
  <si>
    <t>mIChael jEnSen</t>
  </si>
  <si>
    <t>Eric Colon</t>
  </si>
  <si>
    <t>Rangel-Barton</t>
  </si>
  <si>
    <t>AlYSSA meNDoZA</t>
  </si>
  <si>
    <t>Renee Wilson</t>
  </si>
  <si>
    <t>and Huang, Alvarez Gray</t>
  </si>
  <si>
    <t>pAtRICk WhItE</t>
  </si>
  <si>
    <t>Samantha Baker</t>
  </si>
  <si>
    <t>Perkins and Gomez Collins,</t>
  </si>
  <si>
    <t>bIll cuNningHam</t>
  </si>
  <si>
    <t>Erica Mckay</t>
  </si>
  <si>
    <t>Bridges-Anthony</t>
  </si>
  <si>
    <t>aprIl DEAN</t>
  </si>
  <si>
    <t>Kenneth Jackson</t>
  </si>
  <si>
    <t>Floyd, and Johnson Miller</t>
  </si>
  <si>
    <t>lucAS jonES</t>
  </si>
  <si>
    <t>Erin Thomas</t>
  </si>
  <si>
    <t>and Tate Sons</t>
  </si>
  <si>
    <t>EDwArd rEed</t>
  </si>
  <si>
    <t>Luis Pierce</t>
  </si>
  <si>
    <t>liNdSay eLLiott</t>
  </si>
  <si>
    <t>Jessica Williams</t>
  </si>
  <si>
    <t>Byrd Moore, and Norton</t>
  </si>
  <si>
    <t>sUsaN COleMAN</t>
  </si>
  <si>
    <t>and Lane Jones, Hill</t>
  </si>
  <si>
    <t>viCTORIA fOrD</t>
  </si>
  <si>
    <t>Ronald Dawson</t>
  </si>
  <si>
    <t>Joseph Inc</t>
  </si>
  <si>
    <t>AndreA moODY</t>
  </si>
  <si>
    <t>Michelle Lam</t>
  </si>
  <si>
    <t>Williams and Nunez Mccullough,</t>
  </si>
  <si>
    <t>ClintON BauEr</t>
  </si>
  <si>
    <t>Wayne Robbins</t>
  </si>
  <si>
    <t>Ruiz-Schroeder</t>
  </si>
  <si>
    <t>andREW TRan</t>
  </si>
  <si>
    <t>Lucas Rodriguez</t>
  </si>
  <si>
    <t>and Ryan, Browning Vargas</t>
  </si>
  <si>
    <t>bRendA Rogers</t>
  </si>
  <si>
    <t>Cody Hernandez</t>
  </si>
  <si>
    <t>Ross-Coleman</t>
  </si>
  <si>
    <t>MAriA rAMiReZ</t>
  </si>
  <si>
    <t>Ashley Lynch</t>
  </si>
  <si>
    <t>Moses Nunez, Gray and</t>
  </si>
  <si>
    <t>KELlY CLAY</t>
  </si>
  <si>
    <t>James Ryan</t>
  </si>
  <si>
    <t>Cohen LLC</t>
  </si>
  <si>
    <t>mIchELlE veGA</t>
  </si>
  <si>
    <t>Dr. Thomas Chan Jr.</t>
  </si>
  <si>
    <t>Webb Daniel, Turner and</t>
  </si>
  <si>
    <t>MISTY taTe</t>
  </si>
  <si>
    <t>John Rivera</t>
  </si>
  <si>
    <t>Hawkins Davidson Oliver, and</t>
  </si>
  <si>
    <t>sUSan YOuNG</t>
  </si>
  <si>
    <t>Lindsay Castaneda</t>
  </si>
  <si>
    <t>Jackson Robinson and Walsh,</t>
  </si>
  <si>
    <t>RICHArd MoORe</t>
  </si>
  <si>
    <t>Dr. Jacob Aguilar</t>
  </si>
  <si>
    <t>Blevins Group</t>
  </si>
  <si>
    <t>chRIsToPHeR CLArK</t>
  </si>
  <si>
    <t>Wu, Carey Sexton and</t>
  </si>
  <si>
    <t>KIM RoGERs</t>
  </si>
  <si>
    <t>Carla Davis</t>
  </si>
  <si>
    <t>Conner-Hayes</t>
  </si>
  <si>
    <t>DeAnNA fitzgERaLD</t>
  </si>
  <si>
    <t>Leslie Hernandez</t>
  </si>
  <si>
    <t>Wright, Friedman and Franklin</t>
  </si>
  <si>
    <t>EdWArD MItchELL</t>
  </si>
  <si>
    <t>Roberts Hale and Wilson,</t>
  </si>
  <si>
    <t>COURtNeY EDWaRds</t>
  </si>
  <si>
    <t>Kimberly Woodward</t>
  </si>
  <si>
    <t>Cooper-Bishop</t>
  </si>
  <si>
    <t>PHillIP aLvarEZ</t>
  </si>
  <si>
    <t>Crystal Williams</t>
  </si>
  <si>
    <t>Daugherty Group</t>
  </si>
  <si>
    <t>eLIzABeTh HILl</t>
  </si>
  <si>
    <t>Steven Nicholson</t>
  </si>
  <si>
    <t>Haney-Nielsen</t>
  </si>
  <si>
    <t>mAUrICe CArPentEr</t>
  </si>
  <si>
    <t>Jonathan Morris</t>
  </si>
  <si>
    <t>Sims-Crawford</t>
  </si>
  <si>
    <t>JaMES gOod</t>
  </si>
  <si>
    <t>Maxwell Andrews</t>
  </si>
  <si>
    <t>Nguyen-Johnson</t>
  </si>
  <si>
    <t>DOrOthy dOYLe</t>
  </si>
  <si>
    <t>Bryan Ross</t>
  </si>
  <si>
    <t>Group Bradley</t>
  </si>
  <si>
    <t>chARLes WhItAker</t>
  </si>
  <si>
    <t>Tracy Miller</t>
  </si>
  <si>
    <t>Cervantes-Cooper</t>
  </si>
  <si>
    <t>CINdY dAViS</t>
  </si>
  <si>
    <t>Thomas Jackson</t>
  </si>
  <si>
    <t>Rodriguez-Baker</t>
  </si>
  <si>
    <t>jAmiE GARcIa</t>
  </si>
  <si>
    <t>Ryan Callahan</t>
  </si>
  <si>
    <t>Jackson, Byrd Wilkerson and</t>
  </si>
  <si>
    <t>janICe bRiggS</t>
  </si>
  <si>
    <t>Mason Santana</t>
  </si>
  <si>
    <t>Nelson-Cooke</t>
  </si>
  <si>
    <t>miCHellE CALlAHan</t>
  </si>
  <si>
    <t>Amanda Fletcher</t>
  </si>
  <si>
    <t>Williams-Tucker</t>
  </si>
  <si>
    <t>Sara PatTErSON</t>
  </si>
  <si>
    <t>Stephen Sweeney</t>
  </si>
  <si>
    <t>Patrick Huffman, and Lowery</t>
  </si>
  <si>
    <t>amY kirK</t>
  </si>
  <si>
    <t>William Ryan</t>
  </si>
  <si>
    <t>Eaton Gentry Henry, and</t>
  </si>
  <si>
    <t>leon wAlTEr</t>
  </si>
  <si>
    <t>Toni Frazier</t>
  </si>
  <si>
    <t>Lara-Paul</t>
  </si>
  <si>
    <t>JoHN McbridE</t>
  </si>
  <si>
    <t>Lori Kelley</t>
  </si>
  <si>
    <t>Mcintosh-Neal</t>
  </si>
  <si>
    <t>dana SCOTT</t>
  </si>
  <si>
    <t>Sean Scott</t>
  </si>
  <si>
    <t>Ochoa-Edwards</t>
  </si>
  <si>
    <t>brYAN kelLY</t>
  </si>
  <si>
    <t>Eric Crawford</t>
  </si>
  <si>
    <t>and Patel Russo Foster,</t>
  </si>
  <si>
    <t>Ltd Jones</t>
  </si>
  <si>
    <t>sHArOn hERRerA</t>
  </si>
  <si>
    <t>Michael Kelley</t>
  </si>
  <si>
    <t>Williams-Smith</t>
  </si>
  <si>
    <t>john cuRTIs</t>
  </si>
  <si>
    <t>Matthew Gonzalez</t>
  </si>
  <si>
    <t>Larsen-Vega</t>
  </si>
  <si>
    <t>JOhN Bauer</t>
  </si>
  <si>
    <t>Michael Riley</t>
  </si>
  <si>
    <t>Carlson-Holland</t>
  </si>
  <si>
    <t>riChard tayLoR</t>
  </si>
  <si>
    <t>Jonathan Harris</t>
  </si>
  <si>
    <t>Inc King</t>
  </si>
  <si>
    <t>GInA BroOkS</t>
  </si>
  <si>
    <t>Pamela Bartlett</t>
  </si>
  <si>
    <t>Garrison PLC</t>
  </si>
  <si>
    <t>vICtOria johNsOn</t>
  </si>
  <si>
    <t>Ethan Li</t>
  </si>
  <si>
    <t>Ramos, and Lee Griffin</t>
  </si>
  <si>
    <t>RiCHaRD AlLISon</t>
  </si>
  <si>
    <t>Jessica Neal</t>
  </si>
  <si>
    <t>LLC Lopez</t>
  </si>
  <si>
    <t>MICHAEL dawson</t>
  </si>
  <si>
    <t>raYmond MORrIS</t>
  </si>
  <si>
    <t>Michelle Torres</t>
  </si>
  <si>
    <t>Stewart Inc</t>
  </si>
  <si>
    <t>lyNn FeRnANdEZ</t>
  </si>
  <si>
    <t>Shannon David</t>
  </si>
  <si>
    <t>Richardson-Bryant</t>
  </si>
  <si>
    <t>kIMBeRLY eVans</t>
  </si>
  <si>
    <t>Jason Davis</t>
  </si>
  <si>
    <t>Kirk-Martin</t>
  </si>
  <si>
    <t>dAVID warrEN</t>
  </si>
  <si>
    <t>Stephanie Dillon</t>
  </si>
  <si>
    <t>Wilson-Hernandez</t>
  </si>
  <si>
    <t>AndREw mooRe</t>
  </si>
  <si>
    <t>Mary Anderson</t>
  </si>
  <si>
    <t>Walker-Wu</t>
  </si>
  <si>
    <t>amY tayLoR</t>
  </si>
  <si>
    <t>Terry Norris</t>
  </si>
  <si>
    <t>Inc Parker</t>
  </si>
  <si>
    <t>MichElE MoNtoYa</t>
  </si>
  <si>
    <t>Miss Sandra Tyler DVM</t>
  </si>
  <si>
    <t>Edwards Williams, Finley and</t>
  </si>
  <si>
    <t>jANiCE tHoMAS</t>
  </si>
  <si>
    <t>Amy Young</t>
  </si>
  <si>
    <t>Chavez Inc</t>
  </si>
  <si>
    <t>VALERiE lANg</t>
  </si>
  <si>
    <t>Megan Davis</t>
  </si>
  <si>
    <t>Smith Mcgrath, Burgess and</t>
  </si>
  <si>
    <t>JUstin pEARsOn</t>
  </si>
  <si>
    <t>Jeffrey Jacobs</t>
  </si>
  <si>
    <t>Myers and Brooks, Flores</t>
  </si>
  <si>
    <t>tHomAs WILLiAmS</t>
  </si>
  <si>
    <t>Steve Johnson</t>
  </si>
  <si>
    <t>and Vargas Sampson Young,</t>
  </si>
  <si>
    <t>jaSOn chUNg</t>
  </si>
  <si>
    <t>Linda Anderson</t>
  </si>
  <si>
    <t>PLC Ortiz</t>
  </si>
  <si>
    <t>MarK knigHt</t>
  </si>
  <si>
    <t>Dale Ford</t>
  </si>
  <si>
    <t>Garner Inc</t>
  </si>
  <si>
    <t>tOMMy gaInes</t>
  </si>
  <si>
    <t>Kathleen Diaz</t>
  </si>
  <si>
    <t>Thomas-Nielsen</t>
  </si>
  <si>
    <t>JennIFEr JoNes</t>
  </si>
  <si>
    <t>Amanda Williams</t>
  </si>
  <si>
    <t>Powell-Brown</t>
  </si>
  <si>
    <t>WalTEr BenNetT</t>
  </si>
  <si>
    <t>Monica Sanders</t>
  </si>
  <si>
    <t>ASHLEy SuLlIVan</t>
  </si>
  <si>
    <t>Dr. Pamela Ramos</t>
  </si>
  <si>
    <t>and Mcclain, Ramos Salas</t>
  </si>
  <si>
    <t>marY JAmeS</t>
  </si>
  <si>
    <t>Jennifer Henry</t>
  </si>
  <si>
    <t>Kelly Scott, Brown and</t>
  </si>
  <si>
    <t>kATHleEn roBERTS</t>
  </si>
  <si>
    <t>Heather Rowe</t>
  </si>
  <si>
    <t>Graham Knight, and Griffin</t>
  </si>
  <si>
    <t>wENdy bLAnCHaRD</t>
  </si>
  <si>
    <t>Andrew Jackson</t>
  </si>
  <si>
    <t>dARyL noBle</t>
  </si>
  <si>
    <t>Beth Porter</t>
  </si>
  <si>
    <t>Mendoza, Thomas Choi and</t>
  </si>
  <si>
    <t>eric weLls</t>
  </si>
  <si>
    <t>Hunter Sparks</t>
  </si>
  <si>
    <t>Walton and Strickland Yates,</t>
  </si>
  <si>
    <t>jeSSICa foRd</t>
  </si>
  <si>
    <t>Amy Stafford</t>
  </si>
  <si>
    <t>Smith-Espinoza</t>
  </si>
  <si>
    <t>TraceY cHaSE</t>
  </si>
  <si>
    <t>Alexis Gonzales</t>
  </si>
  <si>
    <t>Delacruz-Watson</t>
  </si>
  <si>
    <t>taMi Baker</t>
  </si>
  <si>
    <t>Amanda Murray</t>
  </si>
  <si>
    <t>PLC Nunez</t>
  </si>
  <si>
    <t>wiLLiAm baRr</t>
  </si>
  <si>
    <t>Jennifer Evans</t>
  </si>
  <si>
    <t>Kim, Curry and Hensley</t>
  </si>
  <si>
    <t>KIM RoDrIGUEZ</t>
  </si>
  <si>
    <t>Harold Griffin</t>
  </si>
  <si>
    <t>Spears Group</t>
  </si>
  <si>
    <t>AnTHonY FLyNn</t>
  </si>
  <si>
    <t>Vanessa Roberts</t>
  </si>
  <si>
    <t>Glenn-Lane</t>
  </si>
  <si>
    <t>mIChelE sToNe</t>
  </si>
  <si>
    <t>Cameron Campbell</t>
  </si>
  <si>
    <t>Carlson Hicks, Fitzgerald and</t>
  </si>
  <si>
    <t>DAvid HeRnandEZ</t>
  </si>
  <si>
    <t>Denise Gardner</t>
  </si>
  <si>
    <t>Thompson, Cole and Johnson</t>
  </si>
  <si>
    <t>OLivIA roWe</t>
  </si>
  <si>
    <t>Lindsey Hale DDS</t>
  </si>
  <si>
    <t>Gallagher-Johnson</t>
  </si>
  <si>
    <t>SamUeL FrANCo</t>
  </si>
  <si>
    <t>Seth Rivers</t>
  </si>
  <si>
    <t>Ferguson Sons and</t>
  </si>
  <si>
    <t>caMeRON MooRe</t>
  </si>
  <si>
    <t>Christine Morris</t>
  </si>
  <si>
    <t>Walters-Bonilla</t>
  </si>
  <si>
    <t>caLVIN SToKes</t>
  </si>
  <si>
    <t>Jeffrey Edwards</t>
  </si>
  <si>
    <t>Franklin Gentry and Kennedy,</t>
  </si>
  <si>
    <t>NiCHOlAS PERry</t>
  </si>
  <si>
    <t>Gwendolyn Clayton</t>
  </si>
  <si>
    <t>tamAra CLAYTOn</t>
  </si>
  <si>
    <t>James Bailey</t>
  </si>
  <si>
    <t>Scott, and Peters Burns</t>
  </si>
  <si>
    <t>joEl rIchARdS</t>
  </si>
  <si>
    <t>Jonathan Berry</t>
  </si>
  <si>
    <t>Suarez Ltd</t>
  </si>
  <si>
    <t>geORGE cAMPbEll</t>
  </si>
  <si>
    <t>Lindsey Craig</t>
  </si>
  <si>
    <t>White-Thompson</t>
  </si>
  <si>
    <t>TODd HENDErSON</t>
  </si>
  <si>
    <t>William Patel</t>
  </si>
  <si>
    <t>Davidson-Shaw</t>
  </si>
  <si>
    <t>LLC Williams</t>
  </si>
  <si>
    <t>ARIaNA CLarK</t>
  </si>
  <si>
    <t>Casey Long</t>
  </si>
  <si>
    <t>Levy-Smith</t>
  </si>
  <si>
    <t>SHeRRy SChuLtz</t>
  </si>
  <si>
    <t>Benjamin Anthony</t>
  </si>
  <si>
    <t>Wyatt and Kramer Porter,</t>
  </si>
  <si>
    <t>gRAce sALaZar</t>
  </si>
  <si>
    <t>Raymond Roberts</t>
  </si>
  <si>
    <t>Clarke-King</t>
  </si>
  <si>
    <t>JUlIa pERRy</t>
  </si>
  <si>
    <t>Sonya Costa</t>
  </si>
  <si>
    <t>Mcdaniel PLC</t>
  </si>
  <si>
    <t>jOY SChROedER</t>
  </si>
  <si>
    <t>Ashley Vincent</t>
  </si>
  <si>
    <t>LLC Ramos</t>
  </si>
  <si>
    <t>JaSoN jOhNsON</t>
  </si>
  <si>
    <t>Linda Diaz</t>
  </si>
  <si>
    <t>and Montgomery Day Pierce,</t>
  </si>
  <si>
    <t>Lance reid</t>
  </si>
  <si>
    <t>Ashley Wilson</t>
  </si>
  <si>
    <t>Martin-Martinez</t>
  </si>
  <si>
    <t>chRisTY NielsEN</t>
  </si>
  <si>
    <t>Jessica Smith</t>
  </si>
  <si>
    <t>Thomas Jones and Hill,</t>
  </si>
  <si>
    <t>PLC Thomas</t>
  </si>
  <si>
    <t>brIAnnA LAM</t>
  </si>
  <si>
    <t>Adam Richardson</t>
  </si>
  <si>
    <t>Hart and Winters, Giles</t>
  </si>
  <si>
    <t>JAy WerNER</t>
  </si>
  <si>
    <t>Natasha Sutton</t>
  </si>
  <si>
    <t>Collins-Tyler</t>
  </si>
  <si>
    <t>jAson willIaMS</t>
  </si>
  <si>
    <t>Krista Peterson</t>
  </si>
  <si>
    <t>Shaw-Blair</t>
  </si>
  <si>
    <t>SARah heRNAndeZ</t>
  </si>
  <si>
    <t>Timothy Hendricks</t>
  </si>
  <si>
    <t>Whitaker-Wright</t>
  </si>
  <si>
    <t>dOnAlD JOhnSON</t>
  </si>
  <si>
    <t>Nancy Thomas</t>
  </si>
  <si>
    <t>Smith, and Lowe Gross</t>
  </si>
  <si>
    <t>mITcHELl Stone</t>
  </si>
  <si>
    <t>Shawn Peters</t>
  </si>
  <si>
    <t>Carter-Johnson</t>
  </si>
  <si>
    <t>nOAh lOwe</t>
  </si>
  <si>
    <t>Christopher Gonzalez</t>
  </si>
  <si>
    <t>Carter-Estrada</t>
  </si>
  <si>
    <t>DaVid LeviNE</t>
  </si>
  <si>
    <t>Mary Brown</t>
  </si>
  <si>
    <t>Williams-Garcia</t>
  </si>
  <si>
    <t>lARrY watTS</t>
  </si>
  <si>
    <t>Emily Miller</t>
  </si>
  <si>
    <t>Newman-Barrera</t>
  </si>
  <si>
    <t>KeNnetH torRes</t>
  </si>
  <si>
    <t>James George</t>
  </si>
  <si>
    <t>Reese-Benjamin</t>
  </si>
  <si>
    <t>sARah maRTIneZ</t>
  </si>
  <si>
    <t>Molly Andrade</t>
  </si>
  <si>
    <t>Fernandez-Parrish</t>
  </si>
  <si>
    <t>Jessica Brown</t>
  </si>
  <si>
    <t>rOBERT lONG</t>
  </si>
  <si>
    <t>Derek Fuentes</t>
  </si>
  <si>
    <t>Davis, and Foster Stanley</t>
  </si>
  <si>
    <t>kEnnEtH SaNCHeZ</t>
  </si>
  <si>
    <t>Dylan Reyes</t>
  </si>
  <si>
    <t>and Fitzgerald Wells Campbell,</t>
  </si>
  <si>
    <t>sTePhaNIe coNTRerAs</t>
  </si>
  <si>
    <t>Kenneth Nichols</t>
  </si>
  <si>
    <t>Jimenez-Shaw</t>
  </si>
  <si>
    <t>Bennett Inc</t>
  </si>
  <si>
    <t>amy JohnsOn</t>
  </si>
  <si>
    <t>Ronald Phillips</t>
  </si>
  <si>
    <t>Harvey-Cook</t>
  </si>
  <si>
    <t>cassaNDRA vASQuEZ</t>
  </si>
  <si>
    <t>Jerry Payne</t>
  </si>
  <si>
    <t>Odonnell-Martin</t>
  </si>
  <si>
    <t>SARah FRAZier</t>
  </si>
  <si>
    <t>Elizabeth Rodriguez MD</t>
  </si>
  <si>
    <t>Smith and Fisher, Gonzalez</t>
  </si>
  <si>
    <t>MICHAEl hOlMeS</t>
  </si>
  <si>
    <t>April Williams</t>
  </si>
  <si>
    <t>LLC Long</t>
  </si>
  <si>
    <t>anGElA tHOmpsOn</t>
  </si>
  <si>
    <t>Michelle Dunn</t>
  </si>
  <si>
    <t>Kirk-Carlson</t>
  </si>
  <si>
    <t>JENnIFer gRiffIn</t>
  </si>
  <si>
    <t>Rebekah Prince</t>
  </si>
  <si>
    <t>and Lamb, Fernandez Gomez</t>
  </si>
  <si>
    <t>james WILKINson</t>
  </si>
  <si>
    <t>Christopher Mitchell</t>
  </si>
  <si>
    <t>Bryant-Page</t>
  </si>
  <si>
    <t>saNDra oNeaL</t>
  </si>
  <si>
    <t>Shannon Crawford</t>
  </si>
  <si>
    <t>PLC Fischer</t>
  </si>
  <si>
    <t>AnTHONY CArrILLO</t>
  </si>
  <si>
    <t>Jacob Harris</t>
  </si>
  <si>
    <t>Sons Hunt and</t>
  </si>
  <si>
    <t>JustiN rHodES</t>
  </si>
  <si>
    <t>Julie Smith</t>
  </si>
  <si>
    <t>Inc Park</t>
  </si>
  <si>
    <t>sHERrY JaMEs</t>
  </si>
  <si>
    <t>Sean Chambers</t>
  </si>
  <si>
    <t>Gilbert-Morales</t>
  </si>
  <si>
    <t>toNYa OnEal</t>
  </si>
  <si>
    <t>Paul Stevenson</t>
  </si>
  <si>
    <t>LLC Blanchard</t>
  </si>
  <si>
    <t>breNDa RoBERsoN</t>
  </si>
  <si>
    <t>Leslie Kennedy</t>
  </si>
  <si>
    <t>Day-Barrett</t>
  </si>
  <si>
    <t>KEVin rose</t>
  </si>
  <si>
    <t>Caleb Hernandez</t>
  </si>
  <si>
    <t>Ltd Henry</t>
  </si>
  <si>
    <t>asHLeE DaNIEl mD</t>
  </si>
  <si>
    <t>Kristin Hernandez</t>
  </si>
  <si>
    <t>Garcia and Stone Hamilton,</t>
  </si>
  <si>
    <t>samanTHA SMIth</t>
  </si>
  <si>
    <t>Sean Lawson</t>
  </si>
  <si>
    <t>Camacho, and Jones Young</t>
  </si>
  <si>
    <t>DianE MOrRiSon</t>
  </si>
  <si>
    <t>Michael Romero</t>
  </si>
  <si>
    <t>Rodriguez and Taylor Sanchez,</t>
  </si>
  <si>
    <t>MaKAyLA aRcher</t>
  </si>
  <si>
    <t>Jennifer White</t>
  </si>
  <si>
    <t>Dorsey-Black</t>
  </si>
  <si>
    <t>ChrIStopheR MaSON</t>
  </si>
  <si>
    <t>Pam Hensley</t>
  </si>
  <si>
    <t>Fernandez-Vasquez</t>
  </si>
  <si>
    <t>FERNanDo PeReZ</t>
  </si>
  <si>
    <t>Jason Weaver</t>
  </si>
  <si>
    <t>and Ramirez Richards, Lyons</t>
  </si>
  <si>
    <t>michAel heRNandez</t>
  </si>
  <si>
    <t>Derek Phillips</t>
  </si>
  <si>
    <t>Simpson and Sons</t>
  </si>
  <si>
    <t>dUStIN PERry</t>
  </si>
  <si>
    <t>Diana Jimenez</t>
  </si>
  <si>
    <t>Kane Stevens, and Harris</t>
  </si>
  <si>
    <t>joHn CasTrO</t>
  </si>
  <si>
    <t>Brandy Burns</t>
  </si>
  <si>
    <t>LLC Gardner</t>
  </si>
  <si>
    <t>aLYSsa HArpeR</t>
  </si>
  <si>
    <t>Alexandra Hayes</t>
  </si>
  <si>
    <t>Watson-Pugh</t>
  </si>
  <si>
    <t>kARen dixON</t>
  </si>
  <si>
    <t>Anthony Dennis</t>
  </si>
  <si>
    <t>Mills-Smith</t>
  </si>
  <si>
    <t>JaMiE ChaNDlEr</t>
  </si>
  <si>
    <t>Craig Cox</t>
  </si>
  <si>
    <t>Blake-Davis</t>
  </si>
  <si>
    <t>SheILA joRdan</t>
  </si>
  <si>
    <t>Darlene Poole</t>
  </si>
  <si>
    <t>Harrison Johnson Miller, and</t>
  </si>
  <si>
    <t>Latoya JEnsEN</t>
  </si>
  <si>
    <t>Natalie Little</t>
  </si>
  <si>
    <t>erIn BLAir</t>
  </si>
  <si>
    <t>Christian Todd</t>
  </si>
  <si>
    <t>Preston and Wilson Arnold,</t>
  </si>
  <si>
    <t>AlejaNDrO lopez</t>
  </si>
  <si>
    <t>Christina Wolf</t>
  </si>
  <si>
    <t>Ortiz-Smith</t>
  </si>
  <si>
    <t>Joseph Davis</t>
  </si>
  <si>
    <t>sArAH BRYAnT</t>
  </si>
  <si>
    <t>Joseph Robbins</t>
  </si>
  <si>
    <t>Bell, and Rodriguez Gutierrez</t>
  </si>
  <si>
    <t>ShElBy DIcKERSoN Dvm</t>
  </si>
  <si>
    <t>Douglas Murphy</t>
  </si>
  <si>
    <t>and West Sons</t>
  </si>
  <si>
    <t>pAUL mYers</t>
  </si>
  <si>
    <t>Steven Little</t>
  </si>
  <si>
    <t>Johnson Inc</t>
  </si>
  <si>
    <t>wEslEY LEvY</t>
  </si>
  <si>
    <t>Shane Lyons</t>
  </si>
  <si>
    <t>Obrien-Gallagher</t>
  </si>
  <si>
    <t>CoRy SANToS</t>
  </si>
  <si>
    <t>Travis Irwin</t>
  </si>
  <si>
    <t>LLC Jimenez</t>
  </si>
  <si>
    <t>ALiSHA cantreLl</t>
  </si>
  <si>
    <t>Catherine Mora</t>
  </si>
  <si>
    <t>Quinn LLC</t>
  </si>
  <si>
    <t>eDgAR Bailey</t>
  </si>
  <si>
    <t>Christine King</t>
  </si>
  <si>
    <t>and Graham Higgins, Bell</t>
  </si>
  <si>
    <t>James Myers</t>
  </si>
  <si>
    <t>domINIque benneTT</t>
  </si>
  <si>
    <t>Christopher Mccann</t>
  </si>
  <si>
    <t>and Blankenship Robbins Turner,</t>
  </si>
  <si>
    <t>aNNa COLeMaN</t>
  </si>
  <si>
    <t>Amy Bullock</t>
  </si>
  <si>
    <t>Robertson-Kaiser</t>
  </si>
  <si>
    <t>ZaCHARy mCCARtY</t>
  </si>
  <si>
    <t>Marcus Strong</t>
  </si>
  <si>
    <t>Moore, Gallegos and Smith</t>
  </si>
  <si>
    <t>WiLlIam gonzALES</t>
  </si>
  <si>
    <t>Rachel Brennan</t>
  </si>
  <si>
    <t>Rivera-Holland</t>
  </si>
  <si>
    <t>PAuLA flOrEs</t>
  </si>
  <si>
    <t>Kristen Chambers</t>
  </si>
  <si>
    <t>Villegas-Mccoy</t>
  </si>
  <si>
    <t>cOurtNeY pETerS</t>
  </si>
  <si>
    <t>Michael Rollins</t>
  </si>
  <si>
    <t>Hansen-Travis</t>
  </si>
  <si>
    <t>REbeCCa wEsT</t>
  </si>
  <si>
    <t>Miss Kristen Valdez</t>
  </si>
  <si>
    <t>Sons Parker and</t>
  </si>
  <si>
    <t>ChRisTOpHeR leonArD</t>
  </si>
  <si>
    <t>Laura Reed</t>
  </si>
  <si>
    <t>and Reed Williams, Hernandez</t>
  </si>
  <si>
    <t>robErt sImon</t>
  </si>
  <si>
    <t>Noah Valdez</t>
  </si>
  <si>
    <t>and Murphy Williams, Reyes</t>
  </si>
  <si>
    <t>BRYAn boyd</t>
  </si>
  <si>
    <t>Eric Keith</t>
  </si>
  <si>
    <t>Little PLC</t>
  </si>
  <si>
    <t>rEBeCCa brOWn</t>
  </si>
  <si>
    <t>Karen Smith</t>
  </si>
  <si>
    <t>PLC Rodriguez</t>
  </si>
  <si>
    <t>dANIel ToRres</t>
  </si>
  <si>
    <t>Anthony Jensen</t>
  </si>
  <si>
    <t>Inc Meadows</t>
  </si>
  <si>
    <t>eRic JIMenEz</t>
  </si>
  <si>
    <t>Taylor Moore</t>
  </si>
  <si>
    <t>Mcgee Nguyen, and Hatfield</t>
  </si>
  <si>
    <t>taYLor EnGLISh</t>
  </si>
  <si>
    <t>Watson Mitchell Garcia, and</t>
  </si>
  <si>
    <t>THoMaS feRguSOn</t>
  </si>
  <si>
    <t>Logan Kaiser</t>
  </si>
  <si>
    <t>RoDNey WIlliaMs</t>
  </si>
  <si>
    <t>David Haynes</t>
  </si>
  <si>
    <t>Johns-Patel</t>
  </si>
  <si>
    <t>bRandoN lEwis</t>
  </si>
  <si>
    <t>Glenn Newman</t>
  </si>
  <si>
    <t>Thompson-Barnett</t>
  </si>
  <si>
    <t>jacQueLInE sAncHEZ</t>
  </si>
  <si>
    <t>Connie Caldwell MD</t>
  </si>
  <si>
    <t>Townsend, and Kent Garcia</t>
  </si>
  <si>
    <t>pAtRick mYErs</t>
  </si>
  <si>
    <t>Allison Clayton</t>
  </si>
  <si>
    <t>Ltd Rivera</t>
  </si>
  <si>
    <t>BRAdLEy bAkeR</t>
  </si>
  <si>
    <t>Danny Parks</t>
  </si>
  <si>
    <t>LLC Shah</t>
  </si>
  <si>
    <t>Sean BeNjAmin</t>
  </si>
  <si>
    <t>Shannon Clarke</t>
  </si>
  <si>
    <t>Andersen-Jones</t>
  </si>
  <si>
    <t>SarAH ShORT</t>
  </si>
  <si>
    <t>Jessica Reed</t>
  </si>
  <si>
    <t>Pearson-Nguyen</t>
  </si>
  <si>
    <t>Amanda cHAPMaN</t>
  </si>
  <si>
    <t>Willie Mccall</t>
  </si>
  <si>
    <t>and Brown Hughes, Avery</t>
  </si>
  <si>
    <t>anthoNy nGUyen</t>
  </si>
  <si>
    <t>Brian Jones</t>
  </si>
  <si>
    <t>Hernandez, Jones Garrett and</t>
  </si>
  <si>
    <t>AMANda MCclaIN</t>
  </si>
  <si>
    <t>Kevin Craig</t>
  </si>
  <si>
    <t>Miller-Rodriguez</t>
  </si>
  <si>
    <t>kELly maRSHALl</t>
  </si>
  <si>
    <t>Carmen Moody</t>
  </si>
  <si>
    <t>Martinez-Martin</t>
  </si>
  <si>
    <t>RobIn jOneS</t>
  </si>
  <si>
    <t>Wesley Tucker</t>
  </si>
  <si>
    <t>Skinner-Sanford</t>
  </si>
  <si>
    <t>kelLY loZAnO</t>
  </si>
  <si>
    <t>Tina Lewis</t>
  </si>
  <si>
    <t>nAtAsha cOoK</t>
  </si>
  <si>
    <t>Kelly Simmons</t>
  </si>
  <si>
    <t>Sons Rogers and</t>
  </si>
  <si>
    <t>JeNnIfeR fiShEr</t>
  </si>
  <si>
    <t>Steven Mcmillan</t>
  </si>
  <si>
    <t>Williams-Valdez</t>
  </si>
  <si>
    <t>LaUra DAVis</t>
  </si>
  <si>
    <t>Sean Davis</t>
  </si>
  <si>
    <t>Lawrence, Lopez Dunlap and</t>
  </si>
  <si>
    <t>laURIE broWn</t>
  </si>
  <si>
    <t>Jeffrey Davis</t>
  </si>
  <si>
    <t>Patrick, and Tyler Arnold</t>
  </si>
  <si>
    <t>jOHnny ToWNsend</t>
  </si>
  <si>
    <t>Kimberly Cross</t>
  </si>
  <si>
    <t>Hawkins-Watkins</t>
  </si>
  <si>
    <t>jaSMiNE brOWn</t>
  </si>
  <si>
    <t>Deanna Thomas</t>
  </si>
  <si>
    <t>Hayden and Miller, Schneider</t>
  </si>
  <si>
    <t>BryAn AreLLaNo</t>
  </si>
  <si>
    <t>Mary Weiss</t>
  </si>
  <si>
    <t>Wiggins Inc</t>
  </si>
  <si>
    <t>AnDReW reyeS</t>
  </si>
  <si>
    <t>Cheyenne Garcia</t>
  </si>
  <si>
    <t>Molina-Bowman</t>
  </si>
  <si>
    <t>jasoN HEnSoN</t>
  </si>
  <si>
    <t>John Fernandez</t>
  </si>
  <si>
    <t>Acevedo-Henderson</t>
  </si>
  <si>
    <t>SHIrLEY ward</t>
  </si>
  <si>
    <t>Joseph Hill</t>
  </si>
  <si>
    <t>Roberts-White</t>
  </si>
  <si>
    <t>WiLliAM dAvIs</t>
  </si>
  <si>
    <t>Melanie Wilson</t>
  </si>
  <si>
    <t>Flynn, and Lee Mcclain</t>
  </si>
  <si>
    <t>jONAtHAN wILLiams</t>
  </si>
  <si>
    <t>Judith Gross</t>
  </si>
  <si>
    <t>Morgan-Obrien</t>
  </si>
  <si>
    <t>mELANIE gONZALez</t>
  </si>
  <si>
    <t>Nicholas Murray</t>
  </si>
  <si>
    <t>Spencer-Rhodes</t>
  </si>
  <si>
    <t>taMMY GEorge</t>
  </si>
  <si>
    <t>Jose Moore</t>
  </si>
  <si>
    <t>Walker and Ross Washington,</t>
  </si>
  <si>
    <t>kathlEeN hULl</t>
  </si>
  <si>
    <t>Gloria Burns</t>
  </si>
  <si>
    <t>Carroll Lewis Weiss, and</t>
  </si>
  <si>
    <t>krIsta MitchEll</t>
  </si>
  <si>
    <t>Kathy Shelton</t>
  </si>
  <si>
    <t>Sons and Contreras</t>
  </si>
  <si>
    <t>ANdrew ReeSE</t>
  </si>
  <si>
    <t>Brandi Kirby</t>
  </si>
  <si>
    <t>Boyd LLC</t>
  </si>
  <si>
    <t>pATricIa gRIfFiN</t>
  </si>
  <si>
    <t>Kayla Bridges</t>
  </si>
  <si>
    <t>Jones Walters Cannon, and</t>
  </si>
  <si>
    <t>DAVid STaFfoRD</t>
  </si>
  <si>
    <t>and Sims Sons</t>
  </si>
  <si>
    <t>lesLiE wArd</t>
  </si>
  <si>
    <t>James Hamilton</t>
  </si>
  <si>
    <t>Group Velasquez</t>
  </si>
  <si>
    <t>BevERlY MCcoy</t>
  </si>
  <si>
    <t>Joshua Mccoy</t>
  </si>
  <si>
    <t>Everett, Higgins and Roach</t>
  </si>
  <si>
    <t>MArk McPhERsON</t>
  </si>
  <si>
    <t>Krystal Wilson</t>
  </si>
  <si>
    <t>Mitchell-Garcia</t>
  </si>
  <si>
    <t>ShANNOn SMItH md</t>
  </si>
  <si>
    <t>Richard Welch</t>
  </si>
  <si>
    <t>Floyd-Neal</t>
  </si>
  <si>
    <t>liSa mOrales</t>
  </si>
  <si>
    <t>Edward Montgomery</t>
  </si>
  <si>
    <t>Inc Watkins</t>
  </si>
  <si>
    <t>StACey OrteGa</t>
  </si>
  <si>
    <t>Victoria Simmons</t>
  </si>
  <si>
    <t>Cameron Inc</t>
  </si>
  <si>
    <t>jAMIE huyNh</t>
  </si>
  <si>
    <t>Brent Lee</t>
  </si>
  <si>
    <t>Walker and Wells, Caldwell</t>
  </si>
  <si>
    <t>daNieL ball</t>
  </si>
  <si>
    <t>Ronald Burch</t>
  </si>
  <si>
    <t>Evans-Powell</t>
  </si>
  <si>
    <t>MAtthew WaLker</t>
  </si>
  <si>
    <t>Tara Bender</t>
  </si>
  <si>
    <t>Brewer Ltd</t>
  </si>
  <si>
    <t>KEvIN oWEn</t>
  </si>
  <si>
    <t>William Aguilar</t>
  </si>
  <si>
    <t>Sandoval, and Green Downs</t>
  </si>
  <si>
    <t>SArAH mCdoNaLD</t>
  </si>
  <si>
    <t>Ann Rodriguez</t>
  </si>
  <si>
    <t>Martinez-Alexander</t>
  </si>
  <si>
    <t>ShERRy feRgusoN</t>
  </si>
  <si>
    <t>Mathews Cruz and Roth,</t>
  </si>
  <si>
    <t>dEvIN ACEVEdO</t>
  </si>
  <si>
    <t>Bethany Jones</t>
  </si>
  <si>
    <t>Flores-Davis</t>
  </si>
  <si>
    <t>PHiLip SmItH</t>
  </si>
  <si>
    <t>William Sharp</t>
  </si>
  <si>
    <t>Blair LLC</t>
  </si>
  <si>
    <t>emiLY SparkS</t>
  </si>
  <si>
    <t>Bradley Walker</t>
  </si>
  <si>
    <t>Miller, Stein Hicks and</t>
  </si>
  <si>
    <t>rAnDY liTTLe</t>
  </si>
  <si>
    <t>Ryan Allen</t>
  </si>
  <si>
    <t>and Graves, Roth Jackson</t>
  </si>
  <si>
    <t>tIffANy jaCKsON</t>
  </si>
  <si>
    <t>Patricia Reed</t>
  </si>
  <si>
    <t>Parker LLC</t>
  </si>
  <si>
    <t>daVID WiLSON</t>
  </si>
  <si>
    <t>Kevin Davis</t>
  </si>
  <si>
    <t>Dickerson and Duncan, Wright</t>
  </si>
  <si>
    <t>CArMen ReEd</t>
  </si>
  <si>
    <t>Monique Miller</t>
  </si>
  <si>
    <t>Pope-Turner</t>
  </si>
  <si>
    <t>daVID aLLEN</t>
  </si>
  <si>
    <t>Ltd Fox</t>
  </si>
  <si>
    <t>emILY WILLIAMS</t>
  </si>
  <si>
    <t>Sharon Campbell</t>
  </si>
  <si>
    <t>Howard-Davis</t>
  </si>
  <si>
    <t>tHOMas Preston</t>
  </si>
  <si>
    <t>Miss Tammy Robinson MD</t>
  </si>
  <si>
    <t>Martin-Schmidt</t>
  </si>
  <si>
    <t>Daniel JohNson</t>
  </si>
  <si>
    <t>David Bartlett</t>
  </si>
  <si>
    <t>Cruz PLC</t>
  </si>
  <si>
    <t>PaTRIcIA fletchER</t>
  </si>
  <si>
    <t>Jennifer Reese</t>
  </si>
  <si>
    <t>Miller-Vega</t>
  </si>
  <si>
    <t>JEnnIFer cOokE</t>
  </si>
  <si>
    <t>John Parsons</t>
  </si>
  <si>
    <t>Davis-Mcpherson</t>
  </si>
  <si>
    <t>Barbara taYloR</t>
  </si>
  <si>
    <t>Armstrong-Fox</t>
  </si>
  <si>
    <t>STePHeN ONeal</t>
  </si>
  <si>
    <t>Curtis Mckay</t>
  </si>
  <si>
    <t>White Berry, Palmer and</t>
  </si>
  <si>
    <t>ELizabeTh brOWn</t>
  </si>
  <si>
    <t>Kimberly Nunez</t>
  </si>
  <si>
    <t>Sons Butler and</t>
  </si>
  <si>
    <t>DAnieL CASey</t>
  </si>
  <si>
    <t>Charles Johnson</t>
  </si>
  <si>
    <t>Jennings Jensen and Waters,</t>
  </si>
  <si>
    <t>eRIK MAson</t>
  </si>
  <si>
    <t>Jillian Bauer</t>
  </si>
  <si>
    <t>Gomez-Gilbert</t>
  </si>
  <si>
    <t>BOBby HAMIlTon</t>
  </si>
  <si>
    <t>Erik Andrade</t>
  </si>
  <si>
    <t>LLC Knight</t>
  </si>
  <si>
    <t>gaiL JONEs</t>
  </si>
  <si>
    <t>Christian Hall</t>
  </si>
  <si>
    <t>Mann-Soto</t>
  </si>
  <si>
    <t>mIcHaEl daViS</t>
  </si>
  <si>
    <t>Andrew Green</t>
  </si>
  <si>
    <t>Lopez-Flowers</t>
  </si>
  <si>
    <t>deboRah chAPMaN</t>
  </si>
  <si>
    <t>Sons and Powell</t>
  </si>
  <si>
    <t>mR. mIchaEL simON MD</t>
  </si>
  <si>
    <t>Jason Costa</t>
  </si>
  <si>
    <t>Davis-Rivera</t>
  </si>
  <si>
    <t>carl sTEWART</t>
  </si>
  <si>
    <t>Darrell Riley</t>
  </si>
  <si>
    <t>Henry-Osborne</t>
  </si>
  <si>
    <t>Perry browN</t>
  </si>
  <si>
    <t>Mary Oliver</t>
  </si>
  <si>
    <t>Torres Inc</t>
  </si>
  <si>
    <t>kAReN bRIGgs</t>
  </si>
  <si>
    <t>Dale Lang</t>
  </si>
  <si>
    <t>Gutierrez, Taylor and Mason</t>
  </si>
  <si>
    <t>AnDREA AnDeRSon</t>
  </si>
  <si>
    <t>Scott Gibson</t>
  </si>
  <si>
    <t>Oneill-Sharp</t>
  </si>
  <si>
    <t>gINa QUInN</t>
  </si>
  <si>
    <t>William Henry</t>
  </si>
  <si>
    <t>GregOrY chrIStEnseN</t>
  </si>
  <si>
    <t>Daniel Allen</t>
  </si>
  <si>
    <t>Myers Edwards, and Chandler</t>
  </si>
  <si>
    <t>PATrIcIa muRPhY</t>
  </si>
  <si>
    <t>Barbara Gamble</t>
  </si>
  <si>
    <t>Aguilar-Howard</t>
  </si>
  <si>
    <t>PAuL PuGH</t>
  </si>
  <si>
    <t>Alex Carroll</t>
  </si>
  <si>
    <t>Townsend Taylor Khan, and</t>
  </si>
  <si>
    <t>TayLOr wHEELEr</t>
  </si>
  <si>
    <t>and Ward Smith, Villanueva</t>
  </si>
  <si>
    <t>Sons Ford and</t>
  </si>
  <si>
    <t>nANCy rAmIrez</t>
  </si>
  <si>
    <t>Elijah Rivera</t>
  </si>
  <si>
    <t>Smith-Wilson</t>
  </si>
  <si>
    <t>ChRisTIna tuRnER</t>
  </si>
  <si>
    <t>Natalie Elliott</t>
  </si>
  <si>
    <t>BraNdoN CaMpBelL</t>
  </si>
  <si>
    <t>Earl Johnson</t>
  </si>
  <si>
    <t>Sons Hanson and</t>
  </si>
  <si>
    <t>RObERt bOYD</t>
  </si>
  <si>
    <t>Joshua Adams</t>
  </si>
  <si>
    <t>Hernandez Montoya, and Escobar</t>
  </si>
  <si>
    <t>TiNA CRaWFOrd</t>
  </si>
  <si>
    <t>Annette Williams</t>
  </si>
  <si>
    <t>White and Smith Villegas,</t>
  </si>
  <si>
    <t>CaROLyn kElLER</t>
  </si>
  <si>
    <t>Jacqueline Fry</t>
  </si>
  <si>
    <t>Hernandez, and Taylor Smith</t>
  </si>
  <si>
    <t>SaNdRA milLeR</t>
  </si>
  <si>
    <t>Deanna Wade</t>
  </si>
  <si>
    <t>and Hoover Long, Johnson</t>
  </si>
  <si>
    <t>mArk rYaN</t>
  </si>
  <si>
    <t>Gregory Harvey</t>
  </si>
  <si>
    <t>Griffin Espinoza, Berg and</t>
  </si>
  <si>
    <t>JOrgE siNgletoN</t>
  </si>
  <si>
    <t>Donna Carr</t>
  </si>
  <si>
    <t>Rosales-Haynes</t>
  </si>
  <si>
    <t>BREtt CoBb</t>
  </si>
  <si>
    <t>Erika Bright</t>
  </si>
  <si>
    <t>Erickson and Sons</t>
  </si>
  <si>
    <t>LISa DeAn</t>
  </si>
  <si>
    <t>Benson-Johnson</t>
  </si>
  <si>
    <t>JOaN glover</t>
  </si>
  <si>
    <t>Erik Lambert DVM</t>
  </si>
  <si>
    <t>Hester, Thomas Richards and</t>
  </si>
  <si>
    <t>dr. JULIA waTSOn</t>
  </si>
  <si>
    <t>Sherry Vazquez</t>
  </si>
  <si>
    <t>Ltd Torres</t>
  </si>
  <si>
    <t>sABRiNA MiLLER</t>
  </si>
  <si>
    <t>Bryan Hill</t>
  </si>
  <si>
    <t>Sampson and Sons</t>
  </si>
  <si>
    <t>MELisSa MonTgomerY</t>
  </si>
  <si>
    <t>Anthony Howell</t>
  </si>
  <si>
    <t>and Lee Rodriguez Morris,</t>
  </si>
  <si>
    <t>amy NGuyEN</t>
  </si>
  <si>
    <t>Benjamin Ritter</t>
  </si>
  <si>
    <t>Thompson-Hays</t>
  </si>
  <si>
    <t>SCott DAlTOn</t>
  </si>
  <si>
    <t>Benjamin Turner</t>
  </si>
  <si>
    <t>David and Byrd Alexander,</t>
  </si>
  <si>
    <t>GREGOry ShanNon</t>
  </si>
  <si>
    <t>Leslie Smith</t>
  </si>
  <si>
    <t>Diaz Chaney Russell, and</t>
  </si>
  <si>
    <t>aLEXANdRiA williaMs</t>
  </si>
  <si>
    <t>Joseph Brooks</t>
  </si>
  <si>
    <t>and Melton, Lee Williams</t>
  </si>
  <si>
    <t>ELIZAbeth reEd</t>
  </si>
  <si>
    <t>Carla Curtis</t>
  </si>
  <si>
    <t>Davis-Lee</t>
  </si>
  <si>
    <t>deniSe COlEman</t>
  </si>
  <si>
    <t>Allen Salas</t>
  </si>
  <si>
    <t>Hawkins-Campbell</t>
  </si>
  <si>
    <t>RaYMoND NeLsON</t>
  </si>
  <si>
    <t>Stephen Mills</t>
  </si>
  <si>
    <t>Graham Nelson Shelton, and</t>
  </si>
  <si>
    <t>mR. gREgOry joRDaN</t>
  </si>
  <si>
    <t>Carol West</t>
  </si>
  <si>
    <t>CHARlEs MEyeRS</t>
  </si>
  <si>
    <t>Richard Gonzalez</t>
  </si>
  <si>
    <t>Garcia-Newman</t>
  </si>
  <si>
    <t>LiSA HOLdEr</t>
  </si>
  <si>
    <t>James Navarro</t>
  </si>
  <si>
    <t>Miller-Lambert</t>
  </si>
  <si>
    <t>bRIAn maYER</t>
  </si>
  <si>
    <t>Holly Smith</t>
  </si>
  <si>
    <t>Garcia Obrien, Casey and</t>
  </si>
  <si>
    <t>jenNIfEr tAYLOR</t>
  </si>
  <si>
    <t>English Ltd</t>
  </si>
  <si>
    <t>CHAD mORgaN</t>
  </si>
  <si>
    <t>Bradley Smith</t>
  </si>
  <si>
    <t>Mitchell Sanders, and Beasley</t>
  </si>
  <si>
    <t>vICTOria durhaM</t>
  </si>
  <si>
    <t>Roberta Carter</t>
  </si>
  <si>
    <t>and Morris Davis, Soto</t>
  </si>
  <si>
    <t>vinCEnT bASS</t>
  </si>
  <si>
    <t>Brian Drake</t>
  </si>
  <si>
    <t>and Allen Conley Rhodes,</t>
  </si>
  <si>
    <t>aMbEr Jones</t>
  </si>
  <si>
    <t>Benjamin Mcconnell</t>
  </si>
  <si>
    <t>Williams-Cruz</t>
  </si>
  <si>
    <t>JoSEpH ButlEr</t>
  </si>
  <si>
    <t>Brittany Dixon</t>
  </si>
  <si>
    <t>Wilkinson Stark Smith, and</t>
  </si>
  <si>
    <t>THerEsa whitE</t>
  </si>
  <si>
    <t>Rose Meyers</t>
  </si>
  <si>
    <t>King LLC</t>
  </si>
  <si>
    <t>DIAna gRoSS</t>
  </si>
  <si>
    <t>Amy Davenport</t>
  </si>
  <si>
    <t>Campbell-Bridges</t>
  </si>
  <si>
    <t>tiFFany bEnJamIN</t>
  </si>
  <si>
    <t>Jeffrey Bruce</t>
  </si>
  <si>
    <t>Group Harris</t>
  </si>
  <si>
    <t>wIlLIaM MAtthews</t>
  </si>
  <si>
    <t>James Mcguire</t>
  </si>
  <si>
    <t>Inc Frazier</t>
  </si>
  <si>
    <t>HaYlEy GArCiA</t>
  </si>
  <si>
    <t>Kim Miller</t>
  </si>
  <si>
    <t>JoSEPh crUz</t>
  </si>
  <si>
    <t>Tiffany Moore</t>
  </si>
  <si>
    <t>Group Cook</t>
  </si>
  <si>
    <t>Adam mArQUEz</t>
  </si>
  <si>
    <t>Brian Davis</t>
  </si>
  <si>
    <t>LLC Ross</t>
  </si>
  <si>
    <t>stevEn sTevENS</t>
  </si>
  <si>
    <t>Travis Ross</t>
  </si>
  <si>
    <t>Castro-Moore</t>
  </si>
  <si>
    <t>rEbEcCA JeNkInS</t>
  </si>
  <si>
    <t>Tracy Wells</t>
  </si>
  <si>
    <t>kEViN ThOmas</t>
  </si>
  <si>
    <t>Elizabeth Carter</t>
  </si>
  <si>
    <t>Fritz Gonzalez, Rodgers and</t>
  </si>
  <si>
    <t>dusTin GUzmAN</t>
  </si>
  <si>
    <t>Michele Haynes</t>
  </si>
  <si>
    <t>Moon Inc</t>
  </si>
  <si>
    <t>kIm MORgan</t>
  </si>
  <si>
    <t>Hayden, Zamora Riley and</t>
  </si>
  <si>
    <t>jaMIE HAyNeS</t>
  </si>
  <si>
    <t>Tamara Miles</t>
  </si>
  <si>
    <t>Avila Washington, Burton and</t>
  </si>
  <si>
    <t>JONAthan SotO</t>
  </si>
  <si>
    <t>Brianna Tucker</t>
  </si>
  <si>
    <t>mIcHAeL bRown</t>
  </si>
  <si>
    <t>Rachel House</t>
  </si>
  <si>
    <t>Ltd Herring</t>
  </si>
  <si>
    <t>mATTHEw PaYne</t>
  </si>
  <si>
    <t>Austin Thompson</t>
  </si>
  <si>
    <t>Dickerson-Gordon</t>
  </si>
  <si>
    <t>DR. sTaCY simpsON</t>
  </si>
  <si>
    <t>Edward Garza</t>
  </si>
  <si>
    <t>Group Morales</t>
  </si>
  <si>
    <t>THOMas rOwe</t>
  </si>
  <si>
    <t>Adrienne Stevens</t>
  </si>
  <si>
    <t>Cruz-Smith</t>
  </si>
  <si>
    <t>GrEGOry PHiLLIPS</t>
  </si>
  <si>
    <t>Zoe Avery</t>
  </si>
  <si>
    <t>Parker and Walter Cook,</t>
  </si>
  <si>
    <t>AnTHONY rivera</t>
  </si>
  <si>
    <t>Stephanie Harrison</t>
  </si>
  <si>
    <t>Morgan, Levy and Mitchell</t>
  </si>
  <si>
    <t>miCHELLe WallACE</t>
  </si>
  <si>
    <t>Natalie Banks</t>
  </si>
  <si>
    <t>Nolan-Kelley</t>
  </si>
  <si>
    <t>mark niCHolSoN</t>
  </si>
  <si>
    <t>Stephanie Vazquez</t>
  </si>
  <si>
    <t>Robinson-Stevens</t>
  </si>
  <si>
    <t>noAh RObErTS</t>
  </si>
  <si>
    <t>Keith Henry</t>
  </si>
  <si>
    <t>Sons and Heath</t>
  </si>
  <si>
    <t>CARlOs tReViNO</t>
  </si>
  <si>
    <t>Michael Harvey</t>
  </si>
  <si>
    <t>Clark and Cuevas, Davis</t>
  </si>
  <si>
    <t>matTheW GaRcIa</t>
  </si>
  <si>
    <t>Singh-Turner</t>
  </si>
  <si>
    <t>REBECCa Nicholson</t>
  </si>
  <si>
    <t>Leslie Hines</t>
  </si>
  <si>
    <t>and Figueroa Robinson, Casey</t>
  </si>
  <si>
    <t>kiMbeRly wArren</t>
  </si>
  <si>
    <t>Donald Sherman</t>
  </si>
  <si>
    <t>mIchele MCMIllAn</t>
  </si>
  <si>
    <t>Kelsey Davis</t>
  </si>
  <si>
    <t>Osborn-Park</t>
  </si>
  <si>
    <t>kEvIN PiNEda</t>
  </si>
  <si>
    <t>Jay Hernandez</t>
  </si>
  <si>
    <t>Thomas-Jones</t>
  </si>
  <si>
    <t>Mr. wilLIam mahONey</t>
  </si>
  <si>
    <t>Michael Strickland</t>
  </si>
  <si>
    <t>SUsAn MIllEr</t>
  </si>
  <si>
    <t>Jennifer Gibson</t>
  </si>
  <si>
    <t>Lynch Inc</t>
  </si>
  <si>
    <t>TylEr chUrcH</t>
  </si>
  <si>
    <t>Joann Hunter</t>
  </si>
  <si>
    <t>Griffin Williams, Harding and</t>
  </si>
  <si>
    <t>jAneT HarRIS</t>
  </si>
  <si>
    <t>Sarah Hahn</t>
  </si>
  <si>
    <t>Cox-Smith</t>
  </si>
  <si>
    <t>cody BaSS</t>
  </si>
  <si>
    <t>David Elliott</t>
  </si>
  <si>
    <t>Ford-Goodwin</t>
  </si>
  <si>
    <t>caleB lyonS</t>
  </si>
  <si>
    <t>Steven Dawson</t>
  </si>
  <si>
    <t>lawrEnCe WAtkInS</t>
  </si>
  <si>
    <t>Michael Hernandez</t>
  </si>
  <si>
    <t>Lester LLC</t>
  </si>
  <si>
    <t>chaRles contRERaS</t>
  </si>
  <si>
    <t>Chad Campbell</t>
  </si>
  <si>
    <t>Schmidt-Simmons</t>
  </si>
  <si>
    <t>jodY hANcOck</t>
  </si>
  <si>
    <t>Daniel Wong</t>
  </si>
  <si>
    <t>and Mathis, Garcia Bell</t>
  </si>
  <si>
    <t>RyAn gARCIA</t>
  </si>
  <si>
    <t>Jane Davis</t>
  </si>
  <si>
    <t>Escobar, and Ward Lawson</t>
  </si>
  <si>
    <t>hector MurPHy</t>
  </si>
  <si>
    <t>Heather Lee</t>
  </si>
  <si>
    <t>jESsica broOks</t>
  </si>
  <si>
    <t>Lisa Peters</t>
  </si>
  <si>
    <t>Cochran-Sutton</t>
  </si>
  <si>
    <t>PhIlLiP AllEN</t>
  </si>
  <si>
    <t>Aaron Ryan</t>
  </si>
  <si>
    <t>Hamilton-Dudley</t>
  </si>
  <si>
    <t>Thompson PLC</t>
  </si>
  <si>
    <t>David West</t>
  </si>
  <si>
    <t>HaLEY DUnn</t>
  </si>
  <si>
    <t>Kenneth Ponce</t>
  </si>
  <si>
    <t>Austin Group</t>
  </si>
  <si>
    <t>kYliE JoHnsOn</t>
  </si>
  <si>
    <t>Devin Marshall</t>
  </si>
  <si>
    <t>LLC Daniels</t>
  </si>
  <si>
    <t>ralph bookeR</t>
  </si>
  <si>
    <t>Sara Butler</t>
  </si>
  <si>
    <t>Sullivan and Young Gonzalez,</t>
  </si>
  <si>
    <t>AmY FisHEr</t>
  </si>
  <si>
    <t>Jeffrey Wood</t>
  </si>
  <si>
    <t>Jones Stone, Randolph and</t>
  </si>
  <si>
    <t>JOrDAn MCdonAld</t>
  </si>
  <si>
    <t>Melissa Hansen</t>
  </si>
  <si>
    <t>Lewis Washington and Walker,</t>
  </si>
  <si>
    <t>jULIA fisHEr</t>
  </si>
  <si>
    <t>Mrs. Emma Johnson</t>
  </si>
  <si>
    <t>Campos-Johnson</t>
  </si>
  <si>
    <t>chaRLEs peteRson</t>
  </si>
  <si>
    <t>Jeffrey Hodges</t>
  </si>
  <si>
    <t>Robinson and Hoover Rhodes,</t>
  </si>
  <si>
    <t>WillIAM woOd</t>
  </si>
  <si>
    <t>Woods Ltd</t>
  </si>
  <si>
    <t>MiGueL WaLToN</t>
  </si>
  <si>
    <t>Deborah Jones</t>
  </si>
  <si>
    <t>Duncan-Howell</t>
  </si>
  <si>
    <t>laUren BraNdt</t>
  </si>
  <si>
    <t>Sarah Jennings</t>
  </si>
  <si>
    <t>Robertson-Richards</t>
  </si>
  <si>
    <t>RONaLd Wright</t>
  </si>
  <si>
    <t>Christine Short</t>
  </si>
  <si>
    <t>Mcmahon, Smith and Crawford</t>
  </si>
  <si>
    <t>loGan BaRBER</t>
  </si>
  <si>
    <t>Eileen Delgado</t>
  </si>
  <si>
    <t>Morris Lewis, and Fletcher</t>
  </si>
  <si>
    <t>George GARCia iii</t>
  </si>
  <si>
    <t>Emily Holt</t>
  </si>
  <si>
    <t>Rodriguez-Bell</t>
  </si>
  <si>
    <t>STeVEN jACkSon</t>
  </si>
  <si>
    <t>AlicIA MatHEws</t>
  </si>
  <si>
    <t>Zachary Stanley</t>
  </si>
  <si>
    <t>Wilson Young, Ballard and</t>
  </si>
  <si>
    <t>DeaNna Wood</t>
  </si>
  <si>
    <t>Robert Parsons</t>
  </si>
  <si>
    <t>Cunningham-Li</t>
  </si>
  <si>
    <t>cOnnie rodRiGUEZ</t>
  </si>
  <si>
    <t>Courtney Taylor</t>
  </si>
  <si>
    <t>Whitney Inc</t>
  </si>
  <si>
    <t>DeRek HuBbArD</t>
  </si>
  <si>
    <t>Brandy Bailey</t>
  </si>
  <si>
    <t>Chambers-Smith</t>
  </si>
  <si>
    <t>THereSA MYERs</t>
  </si>
  <si>
    <t>Keith Wilson</t>
  </si>
  <si>
    <t>Molina-Jones</t>
  </si>
  <si>
    <t>AlysSA CURRY</t>
  </si>
  <si>
    <t>Lisa Cowan</t>
  </si>
  <si>
    <t>Reyes-Delacruz</t>
  </si>
  <si>
    <t>DaViD weBB</t>
  </si>
  <si>
    <t>Sean Hodges</t>
  </si>
  <si>
    <t>Group Wilson</t>
  </si>
  <si>
    <t>daWn RIchaRd</t>
  </si>
  <si>
    <t>Andre Morris</t>
  </si>
  <si>
    <t>LLC Reed</t>
  </si>
  <si>
    <t>andrew CastilLo</t>
  </si>
  <si>
    <t>Rachel Clark</t>
  </si>
  <si>
    <t>and Contreras Lewis, Flores</t>
  </si>
  <si>
    <t>PLC Perez</t>
  </si>
  <si>
    <t>eRIKa OnEAL</t>
  </si>
  <si>
    <t>Judith Maxwell</t>
  </si>
  <si>
    <t>White, Decker Freeman and</t>
  </si>
  <si>
    <t>TyLeR BOwERs</t>
  </si>
  <si>
    <t>Brad Pollard</t>
  </si>
  <si>
    <t>LLC Matthews</t>
  </si>
  <si>
    <t>MS. alLiSoN tHOMas MD</t>
  </si>
  <si>
    <t>Fuller Brown and Blevins,</t>
  </si>
  <si>
    <t>SuSaN watSoN</t>
  </si>
  <si>
    <t>Andrew Nolan</t>
  </si>
  <si>
    <t>Winters-Middleton</t>
  </si>
  <si>
    <t>CyntHIa wASHiNGtOn</t>
  </si>
  <si>
    <t>Erica Sampson</t>
  </si>
  <si>
    <t>Bell and Archer, Jimenez</t>
  </si>
  <si>
    <t>DANIel DanieLS</t>
  </si>
  <si>
    <t>Catherine Hansen</t>
  </si>
  <si>
    <t>Lara PLC</t>
  </si>
  <si>
    <t>jennIfeR kiNG</t>
  </si>
  <si>
    <t>Sharon Howell</t>
  </si>
  <si>
    <t>Mckenzie PLC</t>
  </si>
  <si>
    <t>mIraNDa lONG</t>
  </si>
  <si>
    <t>Dawn Wallace</t>
  </si>
  <si>
    <t>Reyes-Farley</t>
  </si>
  <si>
    <t>LoUIs Green</t>
  </si>
  <si>
    <t>Melissa Jones</t>
  </si>
  <si>
    <t>Harrison Foster and Daniel,</t>
  </si>
  <si>
    <t>paTriciA wHIte</t>
  </si>
  <si>
    <t>Rachel Phillips</t>
  </si>
  <si>
    <t>Lee-Moran</t>
  </si>
  <si>
    <t>Group Wright</t>
  </si>
  <si>
    <t>JAImE DANIels</t>
  </si>
  <si>
    <t>Keith Robinson</t>
  </si>
  <si>
    <t>Inc Tate</t>
  </si>
  <si>
    <t>Shaw Group</t>
  </si>
  <si>
    <t>dAvID VElaZQuEZ</t>
  </si>
  <si>
    <t>Christopher Marquez</t>
  </si>
  <si>
    <t>and Anthony, Valdez Tapia</t>
  </si>
  <si>
    <t>AmY cuNniNGHAM</t>
  </si>
  <si>
    <t>Madeline Robinson</t>
  </si>
  <si>
    <t>and Orozco Greene, Decker</t>
  </si>
  <si>
    <t>aMY wArrEN</t>
  </si>
  <si>
    <t>Gregory Pena</t>
  </si>
  <si>
    <t>and Holloway, Collins Marsh</t>
  </si>
  <si>
    <t>CrAIG doYLe</t>
  </si>
  <si>
    <t>Tony Carroll</t>
  </si>
  <si>
    <t>Hunt-White</t>
  </si>
  <si>
    <t>riChard frANKliN</t>
  </si>
  <si>
    <t>Megan Booth</t>
  </si>
  <si>
    <t>PLC Schmitt</t>
  </si>
  <si>
    <t>CAROLINe PRicE</t>
  </si>
  <si>
    <t>Alexis Espinoza</t>
  </si>
  <si>
    <t>Brooks Ltd</t>
  </si>
  <si>
    <t>miCHael FRiEDmaN</t>
  </si>
  <si>
    <t>Brittany Melendez</t>
  </si>
  <si>
    <t>Sons Franklin and</t>
  </si>
  <si>
    <t>MArK bERgEr</t>
  </si>
  <si>
    <t>Dr. Jennifer Houston</t>
  </si>
  <si>
    <t>Martinez Group</t>
  </si>
  <si>
    <t>RhoNDa LEvINe</t>
  </si>
  <si>
    <t>Jessica Eaton</t>
  </si>
  <si>
    <t>Ltd Rodriguez</t>
  </si>
  <si>
    <t>HarOLD Boone</t>
  </si>
  <si>
    <t>Andrea Rodriguez</t>
  </si>
  <si>
    <t>Moore-Rodriguez</t>
  </si>
  <si>
    <t>Smith-Davis</t>
  </si>
  <si>
    <t>rAcHEL lOnG</t>
  </si>
  <si>
    <t>Kathryn Ochoa</t>
  </si>
  <si>
    <t>Molina Reyes and White,</t>
  </si>
  <si>
    <t>daN steWart</t>
  </si>
  <si>
    <t>Larry King</t>
  </si>
  <si>
    <t>Park Wells, and Hudson</t>
  </si>
  <si>
    <t>KAteLyn RiCHArdSON</t>
  </si>
  <si>
    <t>Mary Sheppard</t>
  </si>
  <si>
    <t>Sherman and Hardy, Johns</t>
  </si>
  <si>
    <t>liSA HEnslEY</t>
  </si>
  <si>
    <t>Samantha Gray</t>
  </si>
  <si>
    <t>dEbra wIlSOn</t>
  </si>
  <si>
    <t>Christopher Howe</t>
  </si>
  <si>
    <t>Inc Nelson</t>
  </si>
  <si>
    <t>cHrIsty AUstIN</t>
  </si>
  <si>
    <t>Lindsey Arias</t>
  </si>
  <si>
    <t>Freeman-Hunter</t>
  </si>
  <si>
    <t>joHNnY goNzALEz</t>
  </si>
  <si>
    <t>Steven Benson</t>
  </si>
  <si>
    <t>Miller and Tate, Rubio</t>
  </si>
  <si>
    <t>devIn pOTtEr</t>
  </si>
  <si>
    <t>Laurie Gates</t>
  </si>
  <si>
    <t>Gonzalez Mason Wilson, and</t>
  </si>
  <si>
    <t>MEGan braUN</t>
  </si>
  <si>
    <t>Dr. Catherine Smith DDS</t>
  </si>
  <si>
    <t>James, Gates Richardson and</t>
  </si>
  <si>
    <t>sTephen clemenTs</t>
  </si>
  <si>
    <t>John May</t>
  </si>
  <si>
    <t>Proctor-Davis</t>
  </si>
  <si>
    <t>daNa AGuILAR</t>
  </si>
  <si>
    <t>Michael Clark</t>
  </si>
  <si>
    <t>Harris-Lewis</t>
  </si>
  <si>
    <t>RoBErt greeNe</t>
  </si>
  <si>
    <t>Todd French</t>
  </si>
  <si>
    <t>and Adams Sons</t>
  </si>
  <si>
    <t>CRystAL wyAtT</t>
  </si>
  <si>
    <t>Kyle Sandoval</t>
  </si>
  <si>
    <t>PLC Brown</t>
  </si>
  <si>
    <t>AlICia phiLLIps</t>
  </si>
  <si>
    <t>Natalie Stark</t>
  </si>
  <si>
    <t>Williams-Cooke</t>
  </si>
  <si>
    <t>FRAncisCO BeRrY</t>
  </si>
  <si>
    <t>Mary Butler</t>
  </si>
  <si>
    <t>Schultz-Taylor</t>
  </si>
  <si>
    <t>jaSON pAYNe</t>
  </si>
  <si>
    <t>Melissa Hanson</t>
  </si>
  <si>
    <t>Paul and Morrison Patel,</t>
  </si>
  <si>
    <t>rIchArD OWEn</t>
  </si>
  <si>
    <t>Nicole Knox</t>
  </si>
  <si>
    <t>Crawford-Harper</t>
  </si>
  <si>
    <t>BRAnDi pAYNE</t>
  </si>
  <si>
    <t>Reid Osborne, Weeks and</t>
  </si>
  <si>
    <t>eVan HarDIn</t>
  </si>
  <si>
    <t>Rachel Aguirre</t>
  </si>
  <si>
    <t>Gregory, Mcgee and Sparks</t>
  </si>
  <si>
    <t>JEssiCA RAmirEz</t>
  </si>
  <si>
    <t>Brenda Peterson</t>
  </si>
  <si>
    <t>coRey orTega</t>
  </si>
  <si>
    <t>Adam Whitehead</t>
  </si>
  <si>
    <t>Parker-Coleman</t>
  </si>
  <si>
    <t>cHelSEy Liu</t>
  </si>
  <si>
    <t>Jose Maldonado</t>
  </si>
  <si>
    <t>Haas-Garner</t>
  </si>
  <si>
    <t>alicIa WIlSon</t>
  </si>
  <si>
    <t>Travis Whitaker</t>
  </si>
  <si>
    <t>Group Underwood</t>
  </si>
  <si>
    <t>brian hoFfMaN</t>
  </si>
  <si>
    <t>Johnny Miller</t>
  </si>
  <si>
    <t>Santiago-Neal</t>
  </si>
  <si>
    <t>pErrY waLLace</t>
  </si>
  <si>
    <t>Brian Barnes</t>
  </si>
  <si>
    <t>aNgEla MuRpHY</t>
  </si>
  <si>
    <t>Natalie Savage</t>
  </si>
  <si>
    <t>Bailey Roberts, Nguyen and</t>
  </si>
  <si>
    <t>emilY mARtineZ</t>
  </si>
  <si>
    <t>Amanda Gibson</t>
  </si>
  <si>
    <t>Johns-Wyatt</t>
  </si>
  <si>
    <t>StEPhanie VIllarreAl</t>
  </si>
  <si>
    <t>Justin Garrett</t>
  </si>
  <si>
    <t>REbecca lAmb</t>
  </si>
  <si>
    <t>Todd Spears</t>
  </si>
  <si>
    <t>Mejia Group</t>
  </si>
  <si>
    <t>HALey mcgrAth</t>
  </si>
  <si>
    <t>Molly Pierce</t>
  </si>
  <si>
    <t>Ltd Goodman</t>
  </si>
  <si>
    <t>DEBorah gRaHAM</t>
  </si>
  <si>
    <t>Henry Baxter</t>
  </si>
  <si>
    <t>Harrison-Ortiz</t>
  </si>
  <si>
    <t>NOaH wILLiams</t>
  </si>
  <si>
    <t>Amanda Meza</t>
  </si>
  <si>
    <t>Group Lynch</t>
  </si>
  <si>
    <t>dOUgLAS YU</t>
  </si>
  <si>
    <t>John Marquez</t>
  </si>
  <si>
    <t>LLC Compton</t>
  </si>
  <si>
    <t>kaTrIna aDAmS</t>
  </si>
  <si>
    <t>Brandy Henderson</t>
  </si>
  <si>
    <t>Jones-Garza</t>
  </si>
  <si>
    <t>JoDi wilsON</t>
  </si>
  <si>
    <t>Phillip Ortega</t>
  </si>
  <si>
    <t>Russo Ltd</t>
  </si>
  <si>
    <t>cASeY TuCKER</t>
  </si>
  <si>
    <t>Sara Woods</t>
  </si>
  <si>
    <t>Gardner-Brown</t>
  </si>
  <si>
    <t>kevIn doNalDsON</t>
  </si>
  <si>
    <t>Eric Meyers</t>
  </si>
  <si>
    <t>Novak Inc</t>
  </si>
  <si>
    <t>RYAN haMiLton</t>
  </si>
  <si>
    <t>Allen Willis</t>
  </si>
  <si>
    <t>Fleming Inc</t>
  </si>
  <si>
    <t>CoDY bRown</t>
  </si>
  <si>
    <t>Melanie Johnson</t>
  </si>
  <si>
    <t>AlAn brIghT</t>
  </si>
  <si>
    <t>Jerry Lopez</t>
  </si>
  <si>
    <t>MRs. cARol THoMAs md</t>
  </si>
  <si>
    <t>Christina Griffith</t>
  </si>
  <si>
    <t>Grimes-Pennington</t>
  </si>
  <si>
    <t>LISA hUDSon</t>
  </si>
  <si>
    <t>Alan Morris</t>
  </si>
  <si>
    <t>Group Hill</t>
  </si>
  <si>
    <t>NICHOLe lEE</t>
  </si>
  <si>
    <t>Brandon Harrison</t>
  </si>
  <si>
    <t>Group Sullivan</t>
  </si>
  <si>
    <t>JaMes BroWn</t>
  </si>
  <si>
    <t>Heather Lin</t>
  </si>
  <si>
    <t>and Brown Lawson, Gardner</t>
  </si>
  <si>
    <t>lauRen martIn</t>
  </si>
  <si>
    <t>Kristen Baker</t>
  </si>
  <si>
    <t>Terrell-Gonzalez</t>
  </si>
  <si>
    <t>alexIS mILlER</t>
  </si>
  <si>
    <t>Erica Roberts</t>
  </si>
  <si>
    <t>Holloway Ltd</t>
  </si>
  <si>
    <t>shErI ZaMORa</t>
  </si>
  <si>
    <t>Rebecca West</t>
  </si>
  <si>
    <t>Davis Wood Kemp, and</t>
  </si>
  <si>
    <t>JOsEph sHEPherd</t>
  </si>
  <si>
    <t>Brittany Green</t>
  </si>
  <si>
    <t>Smith-Cooke</t>
  </si>
  <si>
    <t>chrIsTOPher HernAnDEZ</t>
  </si>
  <si>
    <t>Christopher Davis</t>
  </si>
  <si>
    <t>and Fuller, Morrow Turner</t>
  </si>
  <si>
    <t>doNNA Cabrera</t>
  </si>
  <si>
    <t>Mr. Jay Wright</t>
  </si>
  <si>
    <t>and Bennett White, Patterson</t>
  </si>
  <si>
    <t>WEndy sMiTH</t>
  </si>
  <si>
    <t>Stephanie Gibson</t>
  </si>
  <si>
    <t>Group Clarke</t>
  </si>
  <si>
    <t>wiLliam LEe</t>
  </si>
  <si>
    <t>Lauren Montgomery</t>
  </si>
  <si>
    <t>Winters-Simon</t>
  </si>
  <si>
    <t>EmILy wilkiNS</t>
  </si>
  <si>
    <t>Frances Contreras</t>
  </si>
  <si>
    <t>Jordan, Robles and Montgomery</t>
  </si>
  <si>
    <t>RONNIe RiCE</t>
  </si>
  <si>
    <t>Christina Newman</t>
  </si>
  <si>
    <t>May-Morgan</t>
  </si>
  <si>
    <t>gLENDa COLliNs</t>
  </si>
  <si>
    <t>Janet Hall</t>
  </si>
  <si>
    <t>dOUgLaS marTINeZ</t>
  </si>
  <si>
    <t>Melanie Anderson</t>
  </si>
  <si>
    <t>PLC Watkins</t>
  </si>
  <si>
    <t>PLC Miller</t>
  </si>
  <si>
    <t>MATthEw frazIER</t>
  </si>
  <si>
    <t>Victoria Porter</t>
  </si>
  <si>
    <t>Cook and Miller, Dunlap</t>
  </si>
  <si>
    <t>ANDRew RuIZ</t>
  </si>
  <si>
    <t>Christine Grant</t>
  </si>
  <si>
    <t>Wilson Lynch, Castro and</t>
  </si>
  <si>
    <t>ADaM leE</t>
  </si>
  <si>
    <t>Dr. Gary Anderson</t>
  </si>
  <si>
    <t>Smith Coffey and Finley,</t>
  </si>
  <si>
    <t>aNtHonY WrIGHT</t>
  </si>
  <si>
    <t>Kelly Aguirre</t>
  </si>
  <si>
    <t>Rodriguez Duarte Warren, and</t>
  </si>
  <si>
    <t>SHAwn GArDnEr</t>
  </si>
  <si>
    <t>Audrey Zimmerman DDS</t>
  </si>
  <si>
    <t>and Gordon Patterson, Swanson</t>
  </si>
  <si>
    <t>dAwN GraNt</t>
  </si>
  <si>
    <t>Todd Faulkner</t>
  </si>
  <si>
    <t>Davis and Livingston, Allen</t>
  </si>
  <si>
    <t>AnTHONY mArtinEz</t>
  </si>
  <si>
    <t>Deborah Mann</t>
  </si>
  <si>
    <t>Reyes-Murphy</t>
  </si>
  <si>
    <t>wIlliAm mYerS</t>
  </si>
  <si>
    <t>Mariah Cook</t>
  </si>
  <si>
    <t>Chan-Brown</t>
  </si>
  <si>
    <t>VIrgiNiA AyALa</t>
  </si>
  <si>
    <t>Alison Humphrey</t>
  </si>
  <si>
    <t>Jackson, Hansen and Greene</t>
  </si>
  <si>
    <t>cHeLSEa berRy</t>
  </si>
  <si>
    <t>Rhonda Dennis</t>
  </si>
  <si>
    <t>Wilson-Harmon</t>
  </si>
  <si>
    <t>Michael Harris</t>
  </si>
  <si>
    <t>VaLErie MorrIs</t>
  </si>
  <si>
    <t>Evelyn Boyd</t>
  </si>
  <si>
    <t>Estes, Logan and Smith</t>
  </si>
  <si>
    <t>andre MuElleR</t>
  </si>
  <si>
    <t>Alan Fletcher</t>
  </si>
  <si>
    <t>Huffman-Flowers</t>
  </si>
  <si>
    <t>EDWArd ZaVALA</t>
  </si>
  <si>
    <t>Shannon Huang</t>
  </si>
  <si>
    <t>and Mcneil Sons</t>
  </si>
  <si>
    <t>miChellE Love</t>
  </si>
  <si>
    <t>James Warren</t>
  </si>
  <si>
    <t>and Sons Jones</t>
  </si>
  <si>
    <t>robert HOlmEs</t>
  </si>
  <si>
    <t>Jason Ortega</t>
  </si>
  <si>
    <t>Young-Johnson</t>
  </si>
  <si>
    <t>sCOTT JACoBSon</t>
  </si>
  <si>
    <t>Frank Palmer</t>
  </si>
  <si>
    <t>LLC Ortiz</t>
  </si>
  <si>
    <t>bEvERLY JohNSON</t>
  </si>
  <si>
    <t>Kristen Carroll</t>
  </si>
  <si>
    <t>Bernard-Taylor</t>
  </si>
  <si>
    <t>JennIfeR ROdrIguez</t>
  </si>
  <si>
    <t>David Harrington</t>
  </si>
  <si>
    <t>Harrison Wilson and James,</t>
  </si>
  <si>
    <t>AnTONIO mARSH</t>
  </si>
  <si>
    <t>Robert Esparza</t>
  </si>
  <si>
    <t>LLC Hanson</t>
  </si>
  <si>
    <t>RIcHArd mURraY</t>
  </si>
  <si>
    <t>Melanie Dunn</t>
  </si>
  <si>
    <t>Kennedy-Brown</t>
  </si>
  <si>
    <t>AnToniO Le</t>
  </si>
  <si>
    <t>Tara Martinez</t>
  </si>
  <si>
    <t>Ltd Wheeler</t>
  </si>
  <si>
    <t>KEVIN GUzmAn</t>
  </si>
  <si>
    <t>David Michael</t>
  </si>
  <si>
    <t>Snow LLC</t>
  </si>
  <si>
    <t>mElissa LeaCh</t>
  </si>
  <si>
    <t>Morton Haas Schwartz, and</t>
  </si>
  <si>
    <t>matTheW aNdErsOn</t>
  </si>
  <si>
    <t>Melvin May</t>
  </si>
  <si>
    <t>Ford-Morrison</t>
  </si>
  <si>
    <t>leOnard miLLeR</t>
  </si>
  <si>
    <t>Veronica Owens</t>
  </si>
  <si>
    <t>Smith and Wallace, Garcia</t>
  </si>
  <si>
    <t>maTTheW haRrinGtoN</t>
  </si>
  <si>
    <t>Bryan Wilcox</t>
  </si>
  <si>
    <t>Willis Ltd</t>
  </si>
  <si>
    <t>Paul ALVaREz</t>
  </si>
  <si>
    <t>Larry Ortiz</t>
  </si>
  <si>
    <t>Cook and Tapia Hughes,</t>
  </si>
  <si>
    <t>debbiE lewis</t>
  </si>
  <si>
    <t>Tonya Hughes</t>
  </si>
  <si>
    <t>Inc Hamilton</t>
  </si>
  <si>
    <t>TanYA BRAnch dds</t>
  </si>
  <si>
    <t>Renee Rogers</t>
  </si>
  <si>
    <t>BRiaN tAylOr</t>
  </si>
  <si>
    <t>Tara Martin</t>
  </si>
  <si>
    <t>Maynard LLC</t>
  </si>
  <si>
    <t>DoUGLaS smith</t>
  </si>
  <si>
    <t>Charles Ellis</t>
  </si>
  <si>
    <t>Evans-Bowers</t>
  </si>
  <si>
    <t>jaMIE THOMas</t>
  </si>
  <si>
    <t>Rhonda Moore</t>
  </si>
  <si>
    <t>Waters-Chapman</t>
  </si>
  <si>
    <t>LISa CHEN</t>
  </si>
  <si>
    <t>Mary Archer</t>
  </si>
  <si>
    <t>Ltd Gonzalez</t>
  </si>
  <si>
    <t>KYLE JOhnSOn</t>
  </si>
  <si>
    <t>Samantha Lewis</t>
  </si>
  <si>
    <t>Inc Campbell</t>
  </si>
  <si>
    <t>brADlEy HAmILtOn</t>
  </si>
  <si>
    <t>Stephen Rogers</t>
  </si>
  <si>
    <t>Brown-Dennis</t>
  </si>
  <si>
    <t>david oLsEN</t>
  </si>
  <si>
    <t>Russell-Knight</t>
  </si>
  <si>
    <t>aMAnDA KIm</t>
  </si>
  <si>
    <t>Brian Rodriguez</t>
  </si>
  <si>
    <t>Bush LLC</t>
  </si>
  <si>
    <t>MiSs DeBorah BurgEsS</t>
  </si>
  <si>
    <t>Hannah Lindsey</t>
  </si>
  <si>
    <t>Proctor LLC</t>
  </si>
  <si>
    <t>CHAD taYLOR</t>
  </si>
  <si>
    <t>James Williamson</t>
  </si>
  <si>
    <t>Ray-Michael</t>
  </si>
  <si>
    <t>tInA FoLEY</t>
  </si>
  <si>
    <t>Andrea Hawkins</t>
  </si>
  <si>
    <t>kiMbeRLY wallace dds</t>
  </si>
  <si>
    <t>Stephanie Valentine</t>
  </si>
  <si>
    <t>ChArLeS SchNEIder</t>
  </si>
  <si>
    <t>Richard Austin</t>
  </si>
  <si>
    <t>and Owens Tran Trujillo,</t>
  </si>
  <si>
    <t>mr. codY SUlliVAn</t>
  </si>
  <si>
    <t>Michael Olson</t>
  </si>
  <si>
    <t>Silva Nguyen, and Hayes</t>
  </si>
  <si>
    <t>sTEPHANiE mCBRIDe</t>
  </si>
  <si>
    <t>Kathleen Rowe</t>
  </si>
  <si>
    <t>Richmond-Munoz</t>
  </si>
  <si>
    <t>MR. MArtIn heRMAn</t>
  </si>
  <si>
    <t>Paul Phillips</t>
  </si>
  <si>
    <t>Hogan-Mclaughlin</t>
  </si>
  <si>
    <t>sUsan LeoN</t>
  </si>
  <si>
    <t>Michael Roach</t>
  </si>
  <si>
    <t>Burns-Hernandez</t>
  </si>
  <si>
    <t>heAThER priCe dVm</t>
  </si>
  <si>
    <t>Jacqueline Waters</t>
  </si>
  <si>
    <t>mITCHElL tatE</t>
  </si>
  <si>
    <t>Brett Dalton</t>
  </si>
  <si>
    <t>and Carroll, Cox Morales</t>
  </si>
  <si>
    <t>StEphEN BiShOP</t>
  </si>
  <si>
    <t>Keith Snyder</t>
  </si>
  <si>
    <t>English-Thomas</t>
  </si>
  <si>
    <t>lINDSAY WOOd</t>
  </si>
  <si>
    <t>Robin Cruz</t>
  </si>
  <si>
    <t>Group Lowe</t>
  </si>
  <si>
    <t>GeralD JohNsoN</t>
  </si>
  <si>
    <t>David Jones</t>
  </si>
  <si>
    <t>and Reid Keith, Blackwell</t>
  </si>
  <si>
    <t>SAraH ConTReraS</t>
  </si>
  <si>
    <t>Adrian Oconnell</t>
  </si>
  <si>
    <t>Williams-Riley</t>
  </si>
  <si>
    <t>jaSON grEeN</t>
  </si>
  <si>
    <t>Victoria Hopkins</t>
  </si>
  <si>
    <t>SaraH rOCHa</t>
  </si>
  <si>
    <t>Heather Green</t>
  </si>
  <si>
    <t>Hunt, Johnson and Walton</t>
  </si>
  <si>
    <t>StePhaniE WOODS</t>
  </si>
  <si>
    <t>John Freeman</t>
  </si>
  <si>
    <t>Wiggins Pacheco, and Vasquez</t>
  </si>
  <si>
    <t>ROger FErReLl</t>
  </si>
  <si>
    <t>Teresa Dennis</t>
  </si>
  <si>
    <t>Watson, Rose Smith and</t>
  </si>
  <si>
    <t>DaNIelLE SHOrT</t>
  </si>
  <si>
    <t>Samuel Cochran</t>
  </si>
  <si>
    <t>Thornton-Pierce</t>
  </si>
  <si>
    <t>lOuIs MoRris</t>
  </si>
  <si>
    <t>Mrs. Laura Hendrix DDS</t>
  </si>
  <si>
    <t>Hernandez, Adams Barnett and</t>
  </si>
  <si>
    <t>TylEr Cox</t>
  </si>
  <si>
    <t>Emily Brown</t>
  </si>
  <si>
    <t>JIlLIaN bROWN</t>
  </si>
  <si>
    <t>Hannah Mitchell</t>
  </si>
  <si>
    <t>and Hill Collins, Navarro</t>
  </si>
  <si>
    <t>EmIlY BERg</t>
  </si>
  <si>
    <t>Michelle Johns</t>
  </si>
  <si>
    <t>and Baker, Anderson Powell</t>
  </si>
  <si>
    <t>RICHaRd RhoDEs</t>
  </si>
  <si>
    <t>Shannon Case</t>
  </si>
  <si>
    <t>NoaH JENniNgS</t>
  </si>
  <si>
    <t>Carol Kelly</t>
  </si>
  <si>
    <t>Rice-Gregory</t>
  </si>
  <si>
    <t>SHANNoN rObINsON</t>
  </si>
  <si>
    <t>Brandon Phillips</t>
  </si>
  <si>
    <t>Hawkins Ltd</t>
  </si>
  <si>
    <t>cAThY FLOReS</t>
  </si>
  <si>
    <t>Shannon Leonard</t>
  </si>
  <si>
    <t>Adams-Mcgrath</t>
  </si>
  <si>
    <t>chriStoPHer gLeNN</t>
  </si>
  <si>
    <t>Justin Santana</t>
  </si>
  <si>
    <t>Johnson Norris Leonard, and</t>
  </si>
  <si>
    <t>susAn Wu</t>
  </si>
  <si>
    <t>Laura Lyons</t>
  </si>
  <si>
    <t>Nichols-Mann</t>
  </si>
  <si>
    <t>PaUL dixoN</t>
  </si>
  <si>
    <t>James Stout</t>
  </si>
  <si>
    <t>Baker-Lee</t>
  </si>
  <si>
    <t>nIcOLe RoGErS</t>
  </si>
  <si>
    <t>Anthony Hatfield</t>
  </si>
  <si>
    <t>Smith and Shepard, May</t>
  </si>
  <si>
    <t>ReBEcca cARlsON</t>
  </si>
  <si>
    <t>Emily Smith</t>
  </si>
  <si>
    <t>and Cardenas Miller, Fisher</t>
  </si>
  <si>
    <t>Ltd Spencer</t>
  </si>
  <si>
    <t>mr. BRIAN JOneS</t>
  </si>
  <si>
    <t>Susan Thompson</t>
  </si>
  <si>
    <t>Group Mccarthy</t>
  </si>
  <si>
    <t>jordAN DUNN</t>
  </si>
  <si>
    <t>Danielle Cox</t>
  </si>
  <si>
    <t>Cortez-Kramer</t>
  </si>
  <si>
    <t>benJAMin aVila</t>
  </si>
  <si>
    <t>Kimberly Murphy</t>
  </si>
  <si>
    <t>Holland and Sons</t>
  </si>
  <si>
    <t>vICTORIA hERRINg</t>
  </si>
  <si>
    <t>Logan Davidson</t>
  </si>
  <si>
    <t>Dominguez Johnson, Baker and</t>
  </si>
  <si>
    <t>roBERt WoLF</t>
  </si>
  <si>
    <t>Kristina Montoya</t>
  </si>
  <si>
    <t>LLC Peterson</t>
  </si>
  <si>
    <t>MICHAELA haRRiS</t>
  </si>
  <si>
    <t>Mason Fernandez</t>
  </si>
  <si>
    <t>ELIZabeth lEsTER</t>
  </si>
  <si>
    <t>Jennifer Walker</t>
  </si>
  <si>
    <t>Thompson-Ryan</t>
  </si>
  <si>
    <t>brUCe JOseph dDS</t>
  </si>
  <si>
    <t>Lee Meyers</t>
  </si>
  <si>
    <t>Johnson Jones Robertson, and</t>
  </si>
  <si>
    <t>mELIssa DaViS</t>
  </si>
  <si>
    <t>Michael Bowen</t>
  </si>
  <si>
    <t>Williams-Stuart</t>
  </si>
  <si>
    <t>JaNIcE caStilLo</t>
  </si>
  <si>
    <t>Gregory Rodriguez</t>
  </si>
  <si>
    <t>Kennedy-Horton</t>
  </si>
  <si>
    <t>MRS. jEnNiFER CHanDLER</t>
  </si>
  <si>
    <t>Jessica Schroeder</t>
  </si>
  <si>
    <t>viNCENt smItH</t>
  </si>
  <si>
    <t>Jeremy Thompson</t>
  </si>
  <si>
    <t>Hernandez-Freeman</t>
  </si>
  <si>
    <t>Dr. COLlEeN MorrIs</t>
  </si>
  <si>
    <t>Kevin Hampton</t>
  </si>
  <si>
    <t>anthonY clARK</t>
  </si>
  <si>
    <t>Matthew Wells</t>
  </si>
  <si>
    <t>and Reeves Jones Conway,</t>
  </si>
  <si>
    <t>robErT braDLeY</t>
  </si>
  <si>
    <t>Brent Fry</t>
  </si>
  <si>
    <t>Booker-Hubbard</t>
  </si>
  <si>
    <t>ChRiSTIne HoUstOn</t>
  </si>
  <si>
    <t>Stacy Clark</t>
  </si>
  <si>
    <t>Booker PLC</t>
  </si>
  <si>
    <t>AMy DurAN</t>
  </si>
  <si>
    <t>Jessica Spencer</t>
  </si>
  <si>
    <t>Moore-Willis</t>
  </si>
  <si>
    <t>MIsty dAvIS</t>
  </si>
  <si>
    <t>Wendy Peters</t>
  </si>
  <si>
    <t>Williams-Henderson</t>
  </si>
  <si>
    <t>jamEs McBRIDE</t>
  </si>
  <si>
    <t>Joseph Cunningham</t>
  </si>
  <si>
    <t>Dean-Gutierrez</t>
  </si>
  <si>
    <t>AlEXANder meNdoza</t>
  </si>
  <si>
    <t>Erika Johnson</t>
  </si>
  <si>
    <t>Neal-Mitchell</t>
  </si>
  <si>
    <t>daVid hoWeLL</t>
  </si>
  <si>
    <t>Megan Flores</t>
  </si>
  <si>
    <t>Patrick Group</t>
  </si>
  <si>
    <t>maRiA aGUiLar</t>
  </si>
  <si>
    <t>Brittany Livingston</t>
  </si>
  <si>
    <t>and Sons Morales</t>
  </si>
  <si>
    <t>jIm DAY</t>
  </si>
  <si>
    <t>Rhonda Davis DVM</t>
  </si>
  <si>
    <t>and Spencer Johnson Lewis,</t>
  </si>
  <si>
    <t>DaViD HAMiLtOn</t>
  </si>
  <si>
    <t>Shepherd-Mitchell</t>
  </si>
  <si>
    <t>BrANDOn Ryan</t>
  </si>
  <si>
    <t>Todd Smith</t>
  </si>
  <si>
    <t>LLC Aguilar</t>
  </si>
  <si>
    <t>NIcOLe GrEen</t>
  </si>
  <si>
    <t>Scott Ross</t>
  </si>
  <si>
    <t>JaMes Olsen</t>
  </si>
  <si>
    <t>Paul Lee</t>
  </si>
  <si>
    <t>eLIZaBETH WILLiams</t>
  </si>
  <si>
    <t>Emily Kelly</t>
  </si>
  <si>
    <t>and Johnston Sons</t>
  </si>
  <si>
    <t>KevIN cAmaCHo</t>
  </si>
  <si>
    <t>Jason Valenzuela</t>
  </si>
  <si>
    <t>Ochoa LLC</t>
  </si>
  <si>
    <t>rubeN jAckSon</t>
  </si>
  <si>
    <t>Katherine Roman</t>
  </si>
  <si>
    <t>and Garcia, Steele Christensen</t>
  </si>
  <si>
    <t>Young Inc</t>
  </si>
  <si>
    <t>AliCia BarNES</t>
  </si>
  <si>
    <t>Justin Brown</t>
  </si>
  <si>
    <t>dOUglAS BRowN dvM</t>
  </si>
  <si>
    <t>Keith Silva</t>
  </si>
  <si>
    <t>Smith-Lucas</t>
  </si>
  <si>
    <t>syDney doUGHErtY</t>
  </si>
  <si>
    <t>James Gutierrez</t>
  </si>
  <si>
    <t>STePHeN RosS</t>
  </si>
  <si>
    <t>Robyn Allen</t>
  </si>
  <si>
    <t>Ltd Li</t>
  </si>
  <si>
    <t>DaVid JoNes</t>
  </si>
  <si>
    <t>Jeremy Morales</t>
  </si>
  <si>
    <t>SherrY CarTEr</t>
  </si>
  <si>
    <t>Angel Moore</t>
  </si>
  <si>
    <t>LLC Thomas</t>
  </si>
  <si>
    <t>viRGiNIA WrIght DDS</t>
  </si>
  <si>
    <t>Brandon Simon</t>
  </si>
  <si>
    <t>Davis Williams and Oconnell,</t>
  </si>
  <si>
    <t>WanDA SiMMoNs</t>
  </si>
  <si>
    <t>Andrea Chambers</t>
  </si>
  <si>
    <t>and Pratt Brown Thomas,</t>
  </si>
  <si>
    <t>antHONY HuNt</t>
  </si>
  <si>
    <t>Andrea Compton</t>
  </si>
  <si>
    <t>Walker-Jones</t>
  </si>
  <si>
    <t>TEResa WebSTeR</t>
  </si>
  <si>
    <t>Mark Johns</t>
  </si>
  <si>
    <t>Mcconnell-Brock</t>
  </si>
  <si>
    <t>dYlAN lOPEZ</t>
  </si>
  <si>
    <t>Diana Simmons</t>
  </si>
  <si>
    <t>Mitchell-Cline</t>
  </si>
  <si>
    <t>soNYa CoLeMan</t>
  </si>
  <si>
    <t>Cassandra Hatfield</t>
  </si>
  <si>
    <t>Landry, Jones Marquez and</t>
  </si>
  <si>
    <t>KeVin AdaMs</t>
  </si>
  <si>
    <t>John Pope</t>
  </si>
  <si>
    <t>Lambert, and Joseph Holland</t>
  </si>
  <si>
    <t>JilLiaN Good</t>
  </si>
  <si>
    <t>Katherine Chavez</t>
  </si>
  <si>
    <t>Montes, Medina and Wilson</t>
  </si>
  <si>
    <t>jESSiCA Jones</t>
  </si>
  <si>
    <t>Kristen Smith</t>
  </si>
  <si>
    <t>Schneider-Schwartz</t>
  </si>
  <si>
    <t>VictorIa pARKS</t>
  </si>
  <si>
    <t>Christopher Edwards</t>
  </si>
  <si>
    <t>Ingram, Reed and Mason</t>
  </si>
  <si>
    <t>AlEXiS ortiz</t>
  </si>
  <si>
    <t>kATHeRINE PITTmaN</t>
  </si>
  <si>
    <t>Jeffrey Warner</t>
  </si>
  <si>
    <t>NAtHan fleMinG</t>
  </si>
  <si>
    <t>Paul Davis</t>
  </si>
  <si>
    <t>Porter-Mueller</t>
  </si>
  <si>
    <t>Jonathan Jones</t>
  </si>
  <si>
    <t>jaMie rIVerA</t>
  </si>
  <si>
    <t>Chelsey Willis</t>
  </si>
  <si>
    <t>Robles-Fry</t>
  </si>
  <si>
    <t>TRaVIS KELLEy</t>
  </si>
  <si>
    <t>Brandon Bowman</t>
  </si>
  <si>
    <t>Thompson-Lamb</t>
  </si>
  <si>
    <t>RITA smiTH</t>
  </si>
  <si>
    <t>Chelsea Wang</t>
  </si>
  <si>
    <t>and Mora Galloway Aguirre,</t>
  </si>
  <si>
    <t>LIsa WaLtErS mD</t>
  </si>
  <si>
    <t>Stephen Hardy</t>
  </si>
  <si>
    <t>Maddox-Sanchez</t>
  </si>
  <si>
    <t>paTRicK Sims</t>
  </si>
  <si>
    <t>Katherine Martinez</t>
  </si>
  <si>
    <t>Boyd-Keith</t>
  </si>
  <si>
    <t>MIchAeL fLOyD</t>
  </si>
  <si>
    <t>Matthew Mann</t>
  </si>
  <si>
    <t>Rocha-Perez</t>
  </si>
  <si>
    <t>bRaNDY lOpez</t>
  </si>
  <si>
    <t>Mark Castillo</t>
  </si>
  <si>
    <t>MARY bRaDY</t>
  </si>
  <si>
    <t>Jason Gibson</t>
  </si>
  <si>
    <t>Cruz-Hayes</t>
  </si>
  <si>
    <t>dAnnY anThOnY</t>
  </si>
  <si>
    <t>Michelle Cummings</t>
  </si>
  <si>
    <t>Robbins Bishop and Hodge,</t>
  </si>
  <si>
    <t>TImothy mANNing</t>
  </si>
  <si>
    <t>Richard Boyd</t>
  </si>
  <si>
    <t>Sons Lee and</t>
  </si>
  <si>
    <t>PaTRICIa riCh</t>
  </si>
  <si>
    <t>Stephanie Boyle</t>
  </si>
  <si>
    <t>Bell-Ramos</t>
  </si>
  <si>
    <t>TRACy ChUrcH</t>
  </si>
  <si>
    <t>Daniel White</t>
  </si>
  <si>
    <t>Romero Calhoun, and Valencia</t>
  </si>
  <si>
    <t>MOniCa BuRkE</t>
  </si>
  <si>
    <t>Melissa Ayers DDS</t>
  </si>
  <si>
    <t>Kaufman and Thomas Diaz,</t>
  </si>
  <si>
    <t>SheRI JoHNSon</t>
  </si>
  <si>
    <t>Alison Hampton</t>
  </si>
  <si>
    <t>Sons and Brennan</t>
  </si>
  <si>
    <t>WillIAM ThOMAS</t>
  </si>
  <si>
    <t>Pham Clayton Gardner, and</t>
  </si>
  <si>
    <t>daviD wErnEr</t>
  </si>
  <si>
    <t>Christopher Lewis</t>
  </si>
  <si>
    <t>Garner-Rowland</t>
  </si>
  <si>
    <t>nancy canTrELl</t>
  </si>
  <si>
    <t>Katie Oliver</t>
  </si>
  <si>
    <t>Daniel Brown</t>
  </si>
  <si>
    <t>EriKa scOtT</t>
  </si>
  <si>
    <t>Jonathan Levy</t>
  </si>
  <si>
    <t>LiSA glass</t>
  </si>
  <si>
    <t>Jennifer Benson</t>
  </si>
  <si>
    <t>Mcguire, and James Adams</t>
  </si>
  <si>
    <t>biANCA HARRIsoN</t>
  </si>
  <si>
    <t>Robert Whitaker</t>
  </si>
  <si>
    <t>PLC Patton</t>
  </si>
  <si>
    <t>taRA UnDERWoOD</t>
  </si>
  <si>
    <t>Mcguire-Jones</t>
  </si>
  <si>
    <t>TammY Kramer</t>
  </si>
  <si>
    <t>Karen Freeman</t>
  </si>
  <si>
    <t>katHEriNe FRAnKlIN</t>
  </si>
  <si>
    <t>Lisa Rose</t>
  </si>
  <si>
    <t>and Gomez Jones Campbell,</t>
  </si>
  <si>
    <t>heatHER BRoOKS</t>
  </si>
  <si>
    <t>Erin Guerra</t>
  </si>
  <si>
    <t>aNTonIo PEReZ</t>
  </si>
  <si>
    <t>Allison Fernandez</t>
  </si>
  <si>
    <t>Bailey-Vaughn</t>
  </si>
  <si>
    <t>dR. lisa aNdRaDe</t>
  </si>
  <si>
    <t>Jennifer Sanders</t>
  </si>
  <si>
    <t>Smith-Jones</t>
  </si>
  <si>
    <t>mICHElLE fisHer</t>
  </si>
  <si>
    <t>Judith Dickerson</t>
  </si>
  <si>
    <t>James, Peterson Jackson and</t>
  </si>
  <si>
    <t>JAmes PhiLliPs</t>
  </si>
  <si>
    <t>Courtney Avery</t>
  </si>
  <si>
    <t>and Greene Hall, Bennett</t>
  </si>
  <si>
    <t>SophiA HArVey</t>
  </si>
  <si>
    <t>Diana Morris</t>
  </si>
  <si>
    <t>and Williamson Barnes Johnson,</t>
  </si>
  <si>
    <t>LiSA CoPElanD</t>
  </si>
  <si>
    <t>Leslie Lyons</t>
  </si>
  <si>
    <t>and Webb Wheeler Fisher,</t>
  </si>
  <si>
    <t>cHRiSTophEr FRaNk</t>
  </si>
  <si>
    <t>Chad Leon</t>
  </si>
  <si>
    <t>Smith-Schneider</t>
  </si>
  <si>
    <t>sUe goNZaLEZ</t>
  </si>
  <si>
    <t>Joshua Clark</t>
  </si>
  <si>
    <t>PLC Boyer</t>
  </si>
  <si>
    <t>Justin SIMS</t>
  </si>
  <si>
    <t>Andre Mcconnell</t>
  </si>
  <si>
    <t>Hernandez and Randolph, Butler</t>
  </si>
  <si>
    <t>EliZabEtH gaRRett</t>
  </si>
  <si>
    <t>David Evans</t>
  </si>
  <si>
    <t>Sons Frazier and</t>
  </si>
  <si>
    <t>jENniFER ThOMas</t>
  </si>
  <si>
    <t>Brown-Hall</t>
  </si>
  <si>
    <t>MARIA HOWARD</t>
  </si>
  <si>
    <t>Andrew Villa</t>
  </si>
  <si>
    <t>Bell-Cannon</t>
  </si>
  <si>
    <t>cyNtHia mosS</t>
  </si>
  <si>
    <t>Ashley Mullen</t>
  </si>
  <si>
    <t>and Robinson Clark Davenport,</t>
  </si>
  <si>
    <t>Billing Category</t>
  </si>
  <si>
    <t>Patient Status</t>
  </si>
  <si>
    <t>Risk Flag</t>
  </si>
  <si>
    <t>Row Labels</t>
  </si>
  <si>
    <t>Count of Name</t>
  </si>
  <si>
    <t>Age_Group</t>
  </si>
  <si>
    <t>19-35</t>
  </si>
  <si>
    <t>65+</t>
  </si>
  <si>
    <t>36-50</t>
  </si>
  <si>
    <t>51-65</t>
  </si>
  <si>
    <t>0-18</t>
  </si>
  <si>
    <t>Sum of Billing Amount</t>
  </si>
  <si>
    <t>Patient Count</t>
  </si>
  <si>
    <t>Average of Billing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</si>
</sst>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,\ &quot;L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2" fontId="0" fillId="0" borderId="10" xfId="0" applyNumberForma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3">
    <dxf>
      <numFmt numFmtId="164" formatCode="#,##0.0,\ &quot;L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4" formatCode="#,##0.0,\ &quot;L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LPA ROY" refreshedDate="46078.911881944441" createdVersion="8" refreshedVersion="8" minRefreshableVersion="3" recordCount="1827" xr:uid="{00DA07FA-CBA1-45C7-BCC4-33A232165B9E}">
  <cacheSource type="worksheet">
    <worksheetSource name="Table1"/>
  </cacheSource>
  <cacheFields count="19">
    <cacheField name="Name" numFmtId="0">
      <sharedItems count="1827">
        <s v="Bobby JacksOn"/>
        <s v="LesLie TErRy"/>
        <s v="DaNnY sMitH"/>
        <s v="andrEw waTtS"/>
        <s v="adrIENNE bEll"/>
        <s v="EMILY JOHNSOn"/>
        <s v="edwArD EDWaRDs"/>
        <s v="CHrisTInA MARtinez"/>
        <s v="JASmINe aGuIlaR"/>
        <s v="ChRISTopher BerG"/>
        <s v="mIchElLe daniELs"/>
        <s v="aaRon MARtiNeZ"/>
        <s v="connOR HANsEn"/>
        <s v="rObeRt bAuer"/>
        <s v="bROOkE brady"/>
        <s v="MS. nAtalIE gAMble"/>
        <s v="haley perkins"/>
        <s v="mRS. jamiE cAMPBELl"/>
        <s v="LuKE BuRgEss"/>
        <s v="dANIEL schmIdt"/>
        <s v="tIMOTHY burNs"/>
        <s v="ChRISToPHEr BRiGhT"/>
        <s v="KatHRYn StewArt"/>
        <s v="dR. EilEEn thomPsoN"/>
        <s v="PAUl hEndERsOn"/>
        <s v="cathy sMaLl"/>
        <s v="mr. KenNEth MoORE"/>
        <s v="MaRy hUNter"/>
        <s v="jOSHUA OLiVer"/>
        <s v="ThOMAS MartInEZ"/>
        <s v="JAmES pattERson"/>
        <s v="WilLIAM cOOPEr"/>
        <s v="Erin oRTEga"/>
        <s v="NicOlE RodriGUEz"/>
        <s v="DAvID AndErSON"/>
        <s v="DEnIse ToRRES"/>
        <s v="CasSAndrA Robinson"/>
        <s v="NIcOlE LUcErO"/>
        <s v="PAmela fErNanDeZ"/>
        <s v="chRiSTOPHer LEe"/>
        <s v="ThomAS morsE"/>
        <s v="Mr. eRiC Lane"/>
        <s v="KAThEriNE SmiTH"/>
        <s v="pAUL wILLiAmS"/>
        <s v="lYNn MaRtinez"/>
        <s v="chRIsTOpHEr CHaPmAN"/>
        <s v="CHRis fRYe"/>
        <s v="kyLE bEnneTT"/>
        <s v="BRandOn coLLINS"/>
        <s v="mIchael LiU"/>
        <s v="STepHaNie kEnt"/>
        <s v="JessE BaNks"/>
        <s v="PeGGY LEe"/>
        <s v="TAmARa hErNAndez"/>
        <s v="mR. DAVID pIERce Md"/>
        <s v="beThaNY MoOrE"/>
        <s v="MIChael MIllS"/>
        <s v="kyle Wiley"/>
        <s v="jACqUeLINE jORdaN"/>
        <s v="ASHleY guTIERreZ"/>
        <s v="Kim ScOtt"/>
        <s v="tRAvIs carTeR"/>
        <s v="LArry rodgeRs"/>
        <s v="Nancy glOVeR"/>
        <s v="JessIca king"/>
        <s v="ChRiStOPhER gOnzAlez"/>
        <s v="jOhN hARTmAN"/>
        <s v="MicHAEl MillEr"/>
        <s v="Erica myERS"/>
        <s v="cAROl PaTtERSoN"/>
        <s v="JOSe LopEz"/>
        <s v="kEVIn SiMmoNs Jr."/>
        <s v="DuANe HaneY"/>
        <s v="JONathAn yaTeS"/>
        <s v="johN THoMaS"/>
        <s v="AdriaN BuckLEY"/>
        <s v="apRil SANTIAgO"/>
        <s v="DIane scHultz"/>
        <s v="tiMOThY myers"/>
        <s v="NICOLE HUGhes"/>
        <s v="ChAd MorEnO"/>
        <s v="SeaN jenniNGs"/>
        <s v="DIAnE brAnch"/>
        <s v="cindY OROzco"/>
        <s v="pAtriCIa MEdinA"/>
        <s v="kayLa padillA"/>
        <s v="JUan klEiN"/>
        <s v="wILLIAM hIlL"/>
        <s v="CARL BEst"/>
        <s v="TInA GriFfin"/>
        <s v="MR. TYler TAYLOR Phd"/>
        <s v="TAyLoR howeLl Dds"/>
        <s v="mIcHAeL MaRTIn"/>
        <s v="heatHER mIller"/>
        <s v="cathERinE gArDnEr"/>
        <s v="ANNE THOMPSoN"/>
        <s v="TOdd coopeR"/>
        <s v="PhILLIP lyOnS"/>
        <s v="MaRk foRD"/>
        <s v="KaTiE hENry"/>
        <s v="wilLIAm morTON"/>
        <s v="KaTRina maRTin"/>
        <s v="HunTeR mckAy"/>
        <s v="dWAYnE DAViS"/>
        <s v="sARAH CalDweLL"/>
        <s v="DAVid higgInS"/>
        <s v="chrisTiNa SChMitt"/>
        <s v="coLtoN stRONg"/>
        <s v="sUZaNnE SchNeIder"/>
        <s v="MIchaEL HUrLEY"/>
        <s v="LIndsEy laMbErt"/>
        <s v="reBEcCA PARsONs"/>
        <s v="jUdy joHNsoN"/>
        <s v="TOnyA caMpbell"/>
        <s v="JAMEs Ross"/>
        <s v="SaRA COOk"/>
        <s v="RENEE bAilEY"/>
        <s v="Jeffrey tuRNER"/>
        <s v="DR. LaUreN ClaRk DDs"/>
        <s v="terRY THoMaS"/>
        <s v="JasOn baKEr"/>
        <s v="JEssicA gUtiERrEz"/>
        <s v="COURTNey HOdGes"/>
        <s v="ANthONy reYEs"/>
        <s v="LeaH cRoSs Dds"/>
        <s v="PaUL MaRTinEz"/>
        <s v="DenisE rOdRIGuEZ"/>
        <s v="ashLEy ERIcKSoN"/>
        <s v="SEaN carDenaS"/>
        <s v="aLaN AlVaREz"/>
        <s v="JeSsICA phiLliPS"/>
        <s v="tiMOthY CoLemaN"/>
        <s v="cHristina wooDS"/>
        <s v="mELIssa sCOtt"/>
        <s v="GaRy hoPkiNS"/>
        <s v="aPRIL VAleNCIA"/>
        <s v="riTA archER"/>
        <s v="kIm PenA"/>
        <s v="ShAUN GuzmAn"/>
        <s v="MATTHeW wHite"/>
        <s v="aLExiS wilsOn"/>
        <s v="JaCQueLiNE maRshAll"/>
        <s v="RoBErt hIGGInS"/>
        <s v="SierRa MoRTON"/>
        <s v="nATAliE sTANtoN"/>
        <s v="jEssica aceveDo"/>
        <s v="JENnIfEr mCmillan"/>
        <s v="ChRISTopher mccLAiN"/>
        <s v="kevIn HiCKs"/>
        <s v="MELIndA richARds"/>
        <s v="roBYn miRaNDa"/>
        <s v="scoTt caSTillO"/>
        <s v="jOHN GarciA"/>
        <s v="miCHAeL TayloR"/>
        <s v="jeFfReY WoOd"/>
        <s v="MiCHAEl smIth"/>
        <s v="wiLLiam grIFfItH"/>
        <s v="CHrISTiNa lAwReNCe"/>
        <s v="traCEY grEenE"/>
        <s v="aMAnda lOpeZ"/>
        <s v="LaurA pEtErS"/>
        <s v="LAUrEn ANDErSOn"/>
        <s v="jEssiCa GoNzAleS"/>
        <s v="brUcE gOnzaleS"/>
        <s v="rOBert WAlsH"/>
        <s v="WiLlIaM RUiZ"/>
        <s v="StEven BALdWIn"/>
        <s v="meGAn CoLON"/>
        <s v="kImbErlY brOoks"/>
        <s v="EdWARd SMiTh jR."/>
        <s v="aLliSoN CorDoVA"/>
        <s v="lINdA THOMAs"/>
        <s v="tanya SOto"/>
        <s v="ChRiSTINA MArTin"/>
        <s v="TrACy BUrke"/>
        <s v="daVID SPeNCE"/>
        <s v="JOsEph fOstER"/>
        <s v="NIcholAs haLl"/>
        <s v="ChriSTiNA maCiAS"/>
        <s v="scoTT JoNes"/>
        <s v="jaMEs AnDerSon"/>
        <s v="sHaUN LonG"/>
        <s v="krIStInA morA"/>
        <s v="joshUa rIcHmOnd"/>
        <s v="Mark lAWrencE"/>
        <s v="JOhN eLlis"/>
        <s v="MRs. TiFFAny DeNnIs"/>
        <s v="cyNTHIa HuANG"/>
        <s v="meLiSSA LawRENcE"/>
        <s v="STEvEn goodwIN"/>
        <s v="mARY HuNT"/>
        <s v="ERic riveRa"/>
        <s v="mIcHaEL cAMPbeLl"/>
        <s v="asHLEY webb ddS"/>
        <s v="SHaNNON broWn"/>
        <s v="LAwrenCE shEPherD"/>
        <s v="heAthER curTis"/>
        <s v="kEvIN jEFFeRsON"/>
        <s v="dAvId gRifFIn"/>
        <s v="GRanT GeoRge"/>
        <s v="eRIc SteWART"/>
        <s v="RoBErt pittmAn"/>
        <s v="SYdNey Cross"/>
        <s v="DaviD CrawfoRD"/>
        <s v="LEAH DRaKE"/>
        <s v="JUsTIN lE"/>
        <s v="KaREn pricE dDs"/>
        <s v="CaROlYN sTEeLE"/>
        <s v="LAURen RAMireZ"/>
        <s v="jAcOb nEWman"/>
        <s v="KAThErInE BARnEtt"/>
        <s v="JODI martiNeZ"/>
        <s v="andrEa aLlEN"/>
        <s v="nOah baxtEr"/>
        <s v="hECTOR MAXweLL"/>
        <s v="holLy WALters"/>
        <s v="JOsepH SmIth"/>
        <s v="albERt tHOmAS"/>
        <s v="jeFfErY WIlliaMSOn"/>
        <s v="joNAthAn meADOWS"/>
        <s v="kRIStIN BeNnETT"/>
        <s v="JOSepH cARpenteR"/>
        <s v="larRy MaYEr"/>
        <s v="CLaYTON PEterSon"/>
        <s v="joHN peReZ"/>
        <s v="Timothy jAcobS"/>
        <s v="dUSTin WriGhT"/>
        <s v="jacOb wilLiAMS"/>
        <s v="wiLlIAm mcCOY"/>
        <s v="dr. MATthEW wilkinS"/>
        <s v="JosEpH gONZaLeZ"/>
        <s v="rObErt fiElDS"/>
        <s v="lawrencE mIRAndA"/>
        <s v="mitCheLl caRrOlL"/>
        <s v="COdY nIcHoLs"/>
        <s v="KELlI tHompSOn"/>
        <s v="dAnIElle lOPeZ"/>
        <s v="melINda JONES"/>
        <s v="KRiSTIN sMith"/>
        <s v="StEphaniE REYNolDs"/>
        <s v="AnNA NORMaN"/>
        <s v="MAria haYeS"/>
        <s v="toNya riLEy mD"/>
        <s v="REgiNa DUnn"/>
        <s v="jaSon mOOrE md"/>
        <s v="eRiC HALl"/>
        <s v="LisA KENNEdY"/>
        <s v="kRIstIn ocHOA"/>
        <s v="joSeph ZuNiGA"/>
        <s v="eric duNCan"/>
        <s v="raChel roMERo"/>
        <s v="emILY clARK"/>
        <s v="danIeL mCKINnEy"/>
        <s v="BOnnIe WILlIaMS"/>
        <s v="MARcUs henry"/>
        <s v="MIchelle pIeRCE"/>
        <s v="Julie Mejia"/>
        <s v="cAMeRoN sAnChEz"/>
        <s v="davId Vincent"/>
        <s v="MeLiSSA gOMez"/>
        <s v="AMAnDa pONCe"/>
        <s v="CArOl GOMEz"/>
        <s v="cHRISTopHEr PalmER"/>
        <s v="PAUL Hahn"/>
        <s v="lINDa haMiLTOn"/>
        <s v="robiN coX"/>
        <s v="AnthoNY HalL"/>
        <s v="roberT smitH"/>
        <s v="dEREK CARTER"/>
        <s v="HEAthER MAY"/>
        <s v="pETer gOnzAlEZ"/>
        <s v="sHIRley wiLkinsoN"/>
        <s v="COurtNey FaRRelL"/>
        <s v="aNDReA WiLliS"/>
        <s v="cHAD huFF"/>
        <s v="dEvin giLBert"/>
        <s v="DOnALD davIS"/>
        <s v="KUrT murphy"/>
        <s v="DONaLd vAZQuEZ"/>
        <s v="REbeCCA rUsH"/>
        <s v="ChrIstoPhER curRY"/>
        <s v="miCHaeL EdwARds"/>
        <s v="RAcheL hickmAn"/>
        <s v="ashlEY grAy"/>
        <s v="eLiZaBeTh PeREz"/>
        <s v="ANgeL RaNDOlPH ddS"/>
        <s v="maRk SaUNderS"/>
        <s v="Pam perKIns"/>
        <s v="kAyLA GrEENe"/>
        <s v="mIcHAEl daVId"/>
        <s v="maTthEw broWN"/>
        <s v="RoBErT sExtON"/>
        <s v="StEVEn trAn"/>
        <s v="JAMeS MilLeR"/>
        <s v="Bonnie hiLl"/>
        <s v="AnTHONy DaviS"/>
        <s v="DaViD ShEPPArD"/>
        <s v="JOdi LAnG"/>
        <s v="VaNeSSa TAylor"/>
        <s v="WAYnE lyncH"/>
        <s v="KEnNETH WilSON"/>
        <s v="JIlLiAn MArks"/>
        <s v="MiCHELLe cruz ddS"/>
        <s v="CLaREnce fORD jr."/>
        <s v="DonAlD kaNe"/>
        <s v="sHeRYl MaRTinez"/>
        <s v="mr. NaTHAN avILA"/>
        <s v="aNnE aNTHONY"/>
        <s v="hOlly LaMBERt"/>
        <s v="SaRAH cannON"/>
        <s v="melInda tannER"/>
        <s v="LauriE josEPh"/>
        <s v="stEPHAnIe hUnteR"/>
        <s v="gIna daviS"/>
        <s v="chRiStoPheR sHEA Jr."/>
        <s v="MrS. SabRIna BaLL"/>
        <s v="JoyCe McCoRmIcK"/>
        <s v="DEVIN bElL"/>
        <s v="alLISoN rAmiREZ"/>
        <s v="lauRA roMERO"/>
        <s v="TONi fAULKNer"/>
        <s v="patrIcia tuRnEr"/>
        <s v="naThaN rAy"/>
        <s v="RYan sAnCHeZ"/>
        <s v="tHOMas DENnIs"/>
        <s v="mR. timOtHY FLoRES"/>
        <s v="WeNDy lEVIne"/>
        <s v="miCHaeL eLlIsoN"/>
        <s v="BRAndON dAVIS"/>
        <s v="vaNESsa GArCia"/>
        <s v="AUtUmn PEck"/>
        <s v="NAthAnIEL REynoLdS"/>
        <s v="JOYCE MoOdY"/>
        <s v="brETT FerGusoN"/>
        <s v="TravIS SiMMOnS"/>
        <s v="jEremY fRye"/>
        <s v="cAmerOn MilLER"/>
        <s v="wilLIAM wiLliams dDS"/>
        <s v="tRACIe WrigHt"/>
        <s v="pAiGE KIng"/>
        <s v="James gArCIA"/>
        <s v="lOri hArvEY"/>
        <s v="amy wANG"/>
        <s v="joRDAn vARgaS"/>
        <s v="GORDON kELLY"/>
        <s v="nathaN Scott"/>
        <s v="amY CoMbS"/>
        <s v="KelLY sANfoRD"/>
        <s v="mrs. jEssIcA BlAck md"/>
        <s v="rObERT GoulD"/>
        <s v="cHRISTiNe VArgaS"/>
        <s v="jOHn washIngtON"/>
        <s v="DEVIn stEWaRt"/>
        <s v="JAMeS ROBeRTs"/>
        <s v="JaMes YATEs"/>
        <s v="PeTEr nIcHOLs"/>
        <s v="chRisTOPHEr jONes"/>
        <s v="LaRRY LeoNarD"/>
        <s v="MiChELle zHaNg"/>
        <s v="kriSTEn FlOrES"/>
        <s v="brADLeY MIraNdA"/>
        <s v="dan PINEDA"/>
        <s v="saBRINa cOoK"/>
        <s v="MelIssA hOFfMAN"/>
        <s v="Joseph MARtiN"/>
        <s v="meLissA SIms"/>
        <s v="SaraH evans"/>
        <s v="MariA JOHnStON"/>
        <s v="JaMES COle"/>
        <s v="iSaiaH hOlT"/>
        <s v="joSEPH gonzaLeS"/>
        <s v="HecTOR jonES"/>
        <s v="IsaBeLlA martIn"/>
        <s v="daNiEL pALMeR"/>
        <s v="sTEPhanIe BeNsoN"/>
        <s v="AshleY WiLliamS"/>
        <s v="GReGOrY NguYEn"/>
        <s v="joE SmItH"/>
        <s v="alexAnDER GArcia"/>
        <s v="LAuRA WELLS"/>
        <s v="robErT mCcORmICk"/>
        <s v="MICHAEL yu"/>
        <s v="aNdrea kenNedy"/>
        <s v="StacEY aNderson"/>
        <s v="jasOn mArsh"/>
        <s v="mark hErnaNdEZ"/>
        <s v="KEITH HenRy"/>
        <s v="mIChelLE WRIghT"/>
        <s v="TRoY DaVIS"/>
        <s v="MiSty burton"/>
        <s v="RObERt rObINsOn"/>
        <s v="CHrISTiNA caldeROn"/>
        <s v="JOhN GRahAm"/>
        <s v="mICHAEl PARkER"/>
        <s v="vAlEriE hodgES"/>
        <s v="brENda BecK"/>
        <s v="keVIN dANiEl"/>
        <s v="BRIttney WagNER"/>
        <s v="criStIaN bUChANAn"/>
        <s v="jOrdan LEON"/>
        <s v="kAteLyn cunNINGHam"/>
        <s v="KRyStal mENDoZA"/>
        <s v="aLEx RodriGUEz"/>
        <s v="GeoFfrEy barkER"/>
        <s v="ALEc miTCheLl"/>
        <s v="JasOn joRDaN"/>
        <s v="philiP ReYES"/>
        <s v="AarOn BradsHaw"/>
        <s v="ERicA fOrd"/>
        <s v="dr. KAtIe baRReTt DVM"/>
        <s v="amY RAMos"/>
        <s v="sOpHIA cONwAY"/>
        <s v="jamES mOORE"/>
        <s v="ChRisTOPHeR cOChRan"/>
        <s v="RObeRT Carter"/>
        <s v="moRgAn NGUYEn"/>
        <s v="jOE Berry PhD"/>
        <s v="daNIeL oRtiz"/>
        <s v="mATthEw cLaRk"/>
        <s v="JAcQuELINE hArDY"/>
        <s v="eMiLY JoSEPh"/>
        <s v="sarAH HiCKs"/>
        <s v="bRiANa rOsS"/>
        <s v="maRY mcculLOUgH"/>
        <s v="cORY PIERCe"/>
        <s v="ANn dUNCAN"/>
        <s v="Sarah pOrTEr"/>
        <s v="jACquEliNE DeAN"/>
        <s v="AnNE lam"/>
        <s v="joSHUa JOHnsON"/>
        <s v="jEReMy bOwen"/>
        <s v="denNIs cLarkE"/>
        <s v="jeNNiFER spEnCe"/>
        <s v="cAiTLIN bEndEr"/>
        <s v="bRENda fULleR"/>
        <s v="CASSaNdrA rIcE"/>
        <s v="SeRgIO saNcheZ"/>
        <s v="keviN stein"/>
        <s v="MAUrEEN grANT Md"/>
        <s v="GEORgE woodwARd"/>
        <s v="KErRY HaWkiNs"/>
        <s v="EDWArd JOneS jR."/>
        <s v="HeatHER mELeNdez"/>
        <s v="SHeILA bAXtEr"/>
        <s v="DAVE PaRrISH"/>
        <s v="brYaN SteWart"/>
        <s v="JaMes beLL"/>
        <s v="Joshua LOve"/>
        <s v="rObErT CLArk"/>
        <s v="marisa GOlDEN"/>
        <s v="NanCy HaMIltOn"/>
        <s v="NIColE mArTIN"/>
        <s v="TOM BRoWN"/>
        <s v="TODD gROSS"/>
        <s v="sTEphAnie cHung"/>
        <s v="KayLA PeREZ"/>
        <s v="joshuA neLson"/>
        <s v="JAkE COpeLand"/>
        <s v="pETeR ramSey"/>
        <s v="LaURA rYan"/>
        <s v="TiMoThY lOpeZ"/>
        <s v="ANThoNy gUZmAn"/>
        <s v="MIChael ShaRP"/>
        <s v="daVId CarrOlL"/>
        <s v="AnGElA SCOtT"/>
        <s v="DAvID ORTiz"/>
        <s v="paTRicK pierce"/>
        <s v="KeiTH JohnSoN"/>
        <s v="antonio smITh"/>
        <s v="barbAra stEwarT"/>
        <s v="lArRy TaNnEr"/>
        <s v="MAllORy diAz"/>
        <s v="jOhN WILLiams"/>
        <s v="peter miller"/>
        <s v="rYaN bUtLeR"/>
        <s v="SaMANTHa lOwERY"/>
        <s v="TiFFAny LEe"/>
        <s v="cARLA walkER"/>
        <s v="SHEllEY FlEmInG"/>
        <s v="MARK bLakE"/>
        <s v="JesSicA dAvis"/>
        <s v="charleS bRoWN"/>
        <s v="raChel DaVIS"/>
        <s v="SAndRa mccALl"/>
        <s v="NiCole FraNCIS"/>
        <s v="STEVEN SmitH"/>
        <s v="KAREn johnsoN"/>
        <s v="anna ROgERs"/>
        <s v="pRiSCiLlA dEckEr"/>
        <s v="tREVor WRiGHt"/>
        <s v="WiLlIAm tuCKEr"/>
        <s v="JEsSIca KElLer"/>
        <s v="RobiN Clarke"/>
        <s v="jessIca gARZa"/>
        <s v="stevEN VAugHaN"/>
        <s v="MIChAeL contreraS"/>
        <s v="AllEn roBeRTs"/>
        <s v="aMy POwEll"/>
        <s v="KeNNeth sMitH"/>
        <s v="maTThEW WEsT"/>
        <s v="ERIK MOntoyA"/>
        <s v="aUSTin lEwis"/>
        <s v="KennEtH ThOmPSon"/>
        <s v="stEphen HUdSON"/>
        <s v="suSAN peNA"/>
        <s v="anTHoNY PerKinS"/>
        <s v="bRiAn FoSTER"/>
        <s v="david AYaLa"/>
        <s v="gRegoRY cANnON"/>
        <s v="ELIzabEtH ShIelDs"/>
        <s v="JessiCA sOto"/>
        <s v="Joseph MaddEN"/>
        <s v="RebECCa hOGAN"/>
        <s v="jUlIa muEllER"/>
        <s v="KAITLyn SmItH"/>
        <s v="DAnIEL KemP"/>
        <s v="laurA mYeRs"/>
        <s v="JesSIcA caRtER"/>
        <s v="vANeSsa ScHaEFeR"/>
        <s v="MIgUeL GOmeZ"/>
        <s v="annEtTE JAMES"/>
        <s v="sUSaN HuRLEY"/>
        <s v="carOLyN Wade"/>
        <s v="aNgeLA DelEon"/>
        <s v="cAROLYN COoPer"/>
        <s v="reBEcca hARRIs"/>
        <s v="garY cUrtIS"/>
        <s v="ryaN LIU"/>
        <s v="DenNiS MOrROw"/>
        <s v="JEnNiFEr COOpER"/>
        <s v="JaCOB loPez"/>
        <s v="mIChaeL RiChArdsoN"/>
        <s v="EriC COOk"/>
        <s v="kRISTeN STEPheNS"/>
        <s v="DaNa WAltoN"/>
        <s v="Scott arNOLd"/>
        <s v="MEGan wHEEleR"/>
        <s v="AaRON coX"/>
        <s v="CassanDRA MArTineZ"/>
        <s v="SHawn bROwn"/>
        <s v="jenniFeR sTephEnS"/>
        <s v="CaROlIne mCinTyRe"/>
        <s v="Mr. cAMeROn RoBINsoN"/>
        <s v="taMmY pINEdA"/>
        <s v="nATaLiE aNdeRson"/>
        <s v="deBRA MCkee"/>
        <s v="sANDRa GReENe"/>
        <s v="cRystAl MorRIS"/>
        <s v="jaSoN pArKER"/>
        <s v="emIly yOUNg"/>
        <s v="sANDy halL"/>
        <s v="Jason stEELe"/>
        <s v="liSA JAcKsOn"/>
        <s v="HeRberT RodRIGUEZ"/>
        <s v="OliviA pOWELl"/>
        <s v="SAmaNThA PERkins"/>
        <s v="mIchaeL POtTs"/>
        <s v="KeRRy HErnANDEz"/>
        <s v="jOSHUa reyEs"/>
        <s v="JeNniFER oRteGA"/>
        <s v="daniel cHEn"/>
        <s v="amandA aGUIrRE"/>
        <s v="mark hIcKs"/>
        <s v="TIMOtHy daVIS"/>
        <s v="LONNIE DomInguEZ"/>
        <s v="KIMbERLY hALE"/>
        <s v="mr. GEORGe BROwN jr."/>
        <s v="ALLEn cAmACho"/>
        <s v="NATHan woOdS"/>
        <s v="caTheriNe sMitH"/>
        <s v="JerRy leE"/>
        <s v="AlexaNder COLEMan"/>
        <s v="dAvid JENSEN"/>
        <s v="DeBORAH EVaNs"/>
        <s v="ALEXaNdRIa coLon"/>
        <s v="sAMUEL HANSOn"/>
        <s v="BryaN phILliPS"/>
        <s v="naThaN wileY"/>
        <s v="ALiShA muRpHy"/>
        <s v="AMANdA lUcEro"/>
        <s v="SHeIla SelLErs"/>
        <s v="sUSaN Chan"/>
        <s v="AnGEL MiTChelL"/>
        <s v="DARleNE cohEN"/>
        <s v="sHErrI gArCia"/>
        <s v="MIChaEL wEber"/>
        <s v="BETh sChwaRTZ"/>
        <s v="MArK GiLES"/>
        <s v="TAmara beltRaN"/>
        <s v="JAmiE jimeNEZ"/>
        <s v="chARles MUrPHY"/>
        <s v="SCOTT wERNeR"/>
        <s v="TeRRi stEWart"/>
        <s v="dAVId DaviS"/>
        <s v="StEpheN HaRRIS"/>
        <s v="briDgeT Adams"/>
        <s v="brIAN OlSOn"/>
        <s v="TRaCEy harRiSOn"/>
        <s v="ERiKa joHNsoN"/>
        <s v="PEteR CuNnInghAm"/>
        <s v="eDdIe rUSsO dVm"/>
        <s v="jameS cHArLes"/>
        <s v="ALexis ALlEn"/>
        <s v="stephAnIe martIN"/>
        <s v="SHelBy AndeRson"/>
        <s v="aBIGail FarmEr"/>
        <s v="chrIStINa MiLLER"/>
        <s v="MAtTHew wYAtt"/>
        <s v="dAvID MOnTOYa"/>
        <s v="eRic ParK"/>
        <s v="dWaYNe CASTIllO"/>
        <s v="kRIStInE mcCALl"/>
        <s v="jOsepH SelLeRs"/>
        <s v="dR. DONalD AndersON"/>
        <s v="VicToRiA WiLLiAMS"/>
        <s v="mR. RobeRT DaVIS"/>
        <s v="tERrY GRAvEs"/>
        <s v="tAmARA davENpOrT"/>
        <s v="JOnatHAN SiMON"/>
        <s v="rONaLd bAnKs"/>
        <s v="rYAn BRadforD DDS"/>
        <s v="jaNICE hAlL"/>
        <s v="JaCOB mcDOnaLD"/>
        <s v="GlENN maSSeY"/>
        <s v="jerEmY rIcH"/>
        <s v="ErIn MaRtiN"/>
        <s v="pAul Rogers"/>
        <s v="JEnNiFEr edWArDS"/>
        <s v="BRian halL"/>
        <s v="dAniEl Wolf"/>
        <s v="RobeRT RoSS"/>
        <s v="DOuglAS fosTEr"/>
        <s v="LOuIS LoWERY"/>
        <s v="JESsICA Tyler"/>
        <s v="wiLLiAm davIES"/>
        <s v="dAnIEl JoneS"/>
        <s v="DAvId spEArS"/>
        <s v="ScoTT bErRY"/>
        <s v="JaMIE bAKEr"/>
        <s v="wILLiAm waRE"/>
        <s v="AmBer andeRSoN"/>
        <s v="chrIstOPhEr heNdERSon"/>
        <s v="jOsEPh bROWn"/>
        <s v="KYle pEREz"/>
        <s v="ErIc bUtleR"/>
        <s v="jEfFREY bROWn"/>
        <s v="ThOmAs hAAS"/>
        <s v="kelLY tURner"/>
        <s v="lANce SiMPsOn"/>
        <s v="brIanNa wiLlIaMs"/>
        <s v="RoBerT gRavEs"/>
        <s v="VIcToR sULLivan"/>
        <s v="Mark BRaDShaw"/>
        <s v="JeSSicA duNn"/>
        <s v="KELsEy foX"/>
        <s v="MarY RICE"/>
        <s v="RACHeL jaCKSON"/>
        <s v="leah FRederICk"/>
        <s v="COnnOr ODoNNell"/>
        <s v="clAUdIa DoWNS"/>
        <s v="LIsA MORAn"/>
        <s v="bRANdon sMith"/>
        <s v="jeSSiCa MURPHY"/>
        <s v="brAndY GEORGE"/>
        <s v="ANDrea Buck"/>
        <s v="STephanIE bUrKE"/>
        <s v="sHaRON joHnsON"/>
        <s v="MaTtHeW haLEY"/>
        <s v="SaBRInA May"/>
        <s v="melindA aUstiN"/>
        <s v="angElA MonTgOmery"/>
        <s v="VAnessA MaRTiN"/>
        <s v="MichAEL wOLfE"/>
        <s v="bROokE TorreS"/>
        <s v="vicTOr DUKE"/>
        <s v="josepH gaRrETt"/>
        <s v="jUan kEllEy"/>
        <s v="sHawNA rUsseLl"/>
        <s v="LOrI LawREnce"/>
        <s v="lISa KELlEr"/>
        <s v="jOrdAN BUSh"/>
        <s v="BrEnDA yU"/>
        <s v="JASmine sHort"/>
        <s v="keVIN wong"/>
        <s v="JoDy loPEZ"/>
        <s v="JONaTHaN wOODs"/>
        <s v="eMMa RAY"/>
        <s v="waYnE SHArp"/>
        <s v="sHelby BLack"/>
        <s v="maRthA MARTiN"/>
        <s v="amanDA wilSoN"/>
        <s v="JErEMy NGuyeN"/>
        <s v="johN becKEr"/>
        <s v="FelICIa wILey"/>
        <s v="JESsE JOneS"/>
        <s v="CAROLine sWanSoN"/>
        <s v="KelLy tHOmAS"/>
        <s v="stevEn McgeE"/>
        <s v="sHeLleY waRE"/>
        <s v="MELiSSA bRADY"/>
        <s v="MArIA hAll"/>
        <s v="AnDRE sMITh"/>
        <s v="KareN GOnZaleZ"/>
        <s v="brANDon buRKe"/>
        <s v="MR. MArK hANCocK"/>
        <s v="kenNETH PEReZ"/>
        <s v="niCOle ALVAraDO"/>
        <s v="JeSsicA RodRiGUeZ"/>
        <s v="tiNA PriCE"/>
        <s v="mR. jaCk wIlliS"/>
        <s v="COry PERry"/>
        <s v="JeSsica BarrY"/>
        <s v="cyNthIA thOmAs"/>
        <s v="jUSTIn whITE"/>
        <s v="reGINA sTewarT"/>
        <s v="emmA beNNeTt"/>
        <s v="AlaN lEe"/>
        <s v="KatELYn MiLler"/>
        <s v="aManda morriS"/>
        <s v="MAtTheW cunnINGHAm"/>
        <s v="meliNda WIlSOn"/>
        <s v="NancY HaNSEn"/>
        <s v="aMBer NiXoN"/>
        <s v="KriStIn fRancO"/>
        <s v="JEremIAH vAZQuEz"/>
        <s v="vIcToRiA brADy"/>
        <s v="erIN cLaRk"/>
        <s v="hEAtHer BOyLe"/>
        <s v="eLiZAbeTH ShEPPARd"/>
        <s v="geoFFrEy DANiELs"/>
        <s v="joHN khAn"/>
        <s v="JeNNiFER lopez"/>
        <s v="LiSa fRanKLin"/>
        <s v="KRisTIN BURtoN"/>
        <s v="jEnNiFer KNiGht"/>
        <s v="BOnnIE WiLSon"/>
        <s v="ELleN mCCuLloUgh"/>
        <s v="THomAS SToNe"/>
        <s v="katHLEEn ArMstrong"/>
        <s v="kRISTIN NGuYeN"/>
        <s v="aNgEla rANdOLph"/>
        <s v="mEAGAN MIranDA"/>
        <s v="stAcY GIlLEspiE"/>
        <s v="cINdy SHaW"/>
        <s v="Andrew eriCKsON"/>
        <s v="aShleY roDrIguez"/>
        <s v="dARrYl CruZ"/>
        <s v="shEiLA cHurcH"/>
        <s v="NANcY munOZ"/>
        <s v="LANce TORREs"/>
        <s v="tImotHy TErrY"/>
        <s v="joHn MOorE"/>
        <s v="kelLy brown"/>
        <s v="jonATHan chAVEZ"/>
        <s v="deniSe Wall"/>
        <s v="ToDd martinez"/>
        <s v="KATie hOwARd"/>
        <s v="AmandA LAWSon"/>
        <s v="JAmEs MorRis"/>
        <s v="MaTTHew cOlliNs"/>
        <s v="maRcUS bRoWn"/>
        <s v="mItcHElL DeCkeR"/>
        <s v="dONald mURPhY"/>
        <s v="JOSePh faRlEy"/>
        <s v="BReNdaN paRKer"/>
        <s v="SaMuEL dAVis"/>
        <s v="mArk bRYaNt"/>
        <s v="mARGAret ZamoRa"/>
        <s v="tony salAs pHD"/>
        <s v="AdRiaN bowMan"/>
        <s v="MRS. laUrEn morgaN"/>
        <s v="joSHuA muRRay"/>
        <s v="JAsoN webER"/>
        <s v="reBeCcA LeWis"/>
        <s v="JOAn aRcHeR"/>
        <s v="brittAnY EDwarDs"/>
        <s v="tiMotHy dIAz"/>
        <s v="sTEphANIe anderSOn"/>
        <s v="MiCHaeL DOyle"/>
        <s v="KAThlEEn MARsHAll"/>
        <s v="dONaLD lYNch"/>
        <s v="DaVid EspInoza"/>
        <s v="KRiStEN cOhEn"/>
        <s v="Kevin rOBInSoN"/>
        <s v="sARA caNTrelL"/>
        <s v="ScOtT sImON"/>
        <s v="MARY ruIz"/>
        <s v="sean bENNeTt"/>
        <s v="Ryan hARRis"/>
        <s v="TylER gonZalez"/>
        <s v="CHRistOPheR rOdRIgUEZ"/>
        <s v="DanIeLLe cANNOn"/>
        <s v="pamEla KeLLY"/>
        <s v="laURie EdWaRdS"/>
        <s v="chAd crOss"/>
        <s v="KYLe grAy"/>
        <s v="CaseY HamIlToN"/>
        <s v="JIlLIAN sILva"/>
        <s v="DOnAld AYAlA"/>
        <s v="IsABella kENNEDy"/>
        <s v="jUSTIN BrOwN"/>
        <s v="kATHERIne WhITakEr"/>
        <s v="JeREmy camPBELl"/>
        <s v="joEl MOntgomeRY"/>
        <s v="chRiStinE FrAziER"/>
        <s v="bRittany NorMaN"/>
        <s v="HenRY CastRo"/>
        <s v="dR. aARon AndErseN"/>
        <s v="REgIna MATthEWs"/>
        <s v="AlAn roACH"/>
        <s v="miChAel hofFMAn"/>
        <s v="DYlAN SiMON"/>
        <s v="petER kelLY"/>
        <s v="sanDra FLYnn"/>
        <s v="KatHryn SMiTH"/>
        <s v="JACQUEliNE StANtON"/>
        <s v="emMA FredERIck"/>
        <s v="KYle REEd"/>
        <s v="CHad peRez"/>
        <s v="COUrtnEy bArnETT"/>
        <s v="sTEVEN James"/>
        <s v="hOLLY coLON"/>
        <s v="PaTRICK Cook"/>
        <s v="daNIEL heNdriCks"/>
        <s v="RyAn BeRg"/>
        <s v="DEbbiE thoMPsON"/>
        <s v="JESsE SanCHeZ"/>
        <s v="NORMAN tHoMaS"/>
        <s v="wAYNE hODGE"/>
        <s v="ElAINE LYncH"/>
        <s v="DERek LAwSoN"/>
        <s v="Dr. LEONarD BrEWEr Ii"/>
        <s v="VAnEsSa WALKeR"/>
        <s v="jusTIN LEwis"/>
        <s v="bilLY JOhNSOn"/>
        <s v="saRaH LoPEZ"/>
        <s v="LAWrencE wIlliAmS"/>
        <s v="sUSAN NicHOLs"/>
        <s v="JeNNIfER leOn"/>
        <s v="meREdIth HILl"/>
        <s v="LaUra lAwrenCe"/>
        <s v="KRiSTa THORNton"/>
        <s v="Ian DuFFy"/>
        <s v="jaDe BaKER"/>
        <s v="BiLlY pEtersEn"/>
        <s v="joHn doNAlDsON"/>
        <s v="rAYMond gaLvaN"/>
        <s v="SARAH GrEEn"/>
        <s v="ambER rEid"/>
        <s v="jEnnifEr EvAns"/>
        <s v="NIChoLas bEll"/>
        <s v="sHARon ferREll"/>
        <s v="BRYcE klEIN"/>
        <s v="GAbRIeL GaRciA"/>
        <s v="JuSTIn gibbs"/>
        <s v="keLly JOhNSON"/>
        <s v="lISa CHamBERS"/>
        <s v="deaNNA colLiNS"/>
        <s v="THErEsA COlEMan"/>
        <s v="lAURa mORgaN"/>
        <s v="nIcOlE CRaNE"/>
        <s v="RoBert aRELlaNO"/>
        <s v="KevIn sMiTH"/>
        <s v="DanIEL mORRiS"/>
        <s v="bRENT RObiNsON"/>
        <s v="paTRicIA bEniTez"/>
        <s v="micHAEl ROgERS"/>
        <s v="aMy HartmAN"/>
        <s v="Greg whItE"/>
        <s v="JEfFReY FergUSON"/>
        <s v="TRAVIS rOMAn"/>
        <s v="aNgela sUlLIVaN"/>
        <s v="asHlEY bell"/>
        <s v="CraiG cLaRkE"/>
        <s v="keLLy HIlL"/>
        <s v="JOnaTHan HODges"/>
        <s v="JAMie CollINs"/>
        <s v="RAChEl SWanSON"/>
        <s v="nICoLE kNiGhT"/>
        <s v="Steven ROBiNson"/>
        <s v="elaINe gUZMAn"/>
        <s v="JaSon sMitH"/>
        <s v="jeNnIfeR HayES"/>
        <s v="charLENe BrowN MD"/>
        <s v="jEROmE DAY"/>
        <s v="bILL waLKER"/>
        <s v="aarOn siMMonS"/>
        <s v="Craig WYaTt"/>
        <s v="CLaYTOn hoffmAn"/>
        <s v="MIsTy CLaRK"/>
        <s v="ReBecca fULLEr"/>
        <s v="joHN loPeZ"/>
        <s v="aNGeLA GIlBErT"/>
        <s v="FAitH fOstER"/>
        <s v="EliZabeTh TAyLoR"/>
        <s v="eLIZAbEth huNt"/>
        <s v="LAUrIe garcIa"/>
        <s v="oSCar nElSOn"/>
        <s v="JOHN milLer"/>
        <s v="ANdreW Brooks"/>
        <s v="JOhn HowARD"/>
        <s v="RobyN thOMpson"/>
        <s v="dOnnA joHnSON"/>
        <s v="denise GuERRero"/>
        <s v="jessE mOLina"/>
        <s v="Rita NelSon"/>
        <s v="cHArLeS tHOmPson"/>
        <s v="aNGElA miLlER"/>
        <s v="MAriA sUtTon"/>
        <s v="laureN tayloR"/>
        <s v="DOuGlAS tUrNeR"/>
        <s v="AlExaNdRIa cOLemaN"/>
        <s v="vICToRIa evanS"/>
        <s v="wILliE maY"/>
        <s v="JOsEPH eLLiS"/>
        <s v="wilLiAm baSs"/>
        <s v="cHRIStoPhEr WIlsON"/>
        <s v="MatTHEW sHANnOn"/>
        <s v="CHRIStIna bROwN"/>
        <s v="DaViD LopeZ"/>
        <s v="maUREen duNn"/>
        <s v="andREw aRnoLd"/>
        <s v="samaNtHa bateS"/>
        <s v="liNda BUtler"/>
        <s v="eRic sMIth"/>
        <s v="jIlL LANe"/>
        <s v="jAMES NGuyEn"/>
        <s v="dEbbIe sHaw"/>
        <s v="sArA Green"/>
        <s v="JeSsicA MilLEr"/>
        <s v="JoNaTHan gArcIa"/>
        <s v="jOHn ThOmPsoN"/>
        <s v="HEiDI EVaNs"/>
        <s v="lUIs BarNES"/>
        <s v="KIMBErly vasqueZ"/>
        <s v="beNjAmIn KErR"/>
        <s v="ALeXIS sImMoNs"/>
        <s v="DAvid HEnsleY"/>
        <s v="sHari wIllIaMs"/>
        <s v="KiMBErLy cRawFOrd"/>
        <s v="CHriS sTEVeNsON"/>
        <s v="DEBORaH moORE"/>
        <s v="kArLa CrAWFoRd"/>
        <s v="mARilYN TRAn"/>
        <s v="tEReSA HARriSOn"/>
        <s v="ThOMAS arNold"/>
        <s v="crYstAl simPSon"/>
        <s v="gEORGe PHILlIPS"/>
        <s v="kIMBeRLy rAmirez"/>
        <s v="CHLoe hUNT"/>
        <s v="Heidi POpe"/>
        <s v="megAn GRaY"/>
        <s v="brenda LE"/>
        <s v="DeBRa hArriS"/>
        <s v="ChAd GrEEn"/>
        <s v="TErRy mARTIn"/>
        <s v="madISon PAlmEr"/>
        <s v="MIchaEl JONes"/>
        <s v="NIcoLE HaLL"/>
        <s v="rOBert ROBeRtS"/>
        <s v="REbecCA moore"/>
        <s v="STEve goODMAN"/>
        <s v="saRa HARRIs"/>
        <s v="sTAcy jOnes"/>
        <s v="MichAEl MezA"/>
        <s v="jENniFER jOhnsON"/>
        <s v="jonAtHaN yOUNG"/>
        <s v="GLEnn RodrIgueZ"/>
        <s v="patRIcK smITh"/>
        <s v="aNneTte PruiTt"/>
        <s v="JAY galloWaY"/>
        <s v="lEE WHIte"/>
        <s v="sUsan leE"/>
        <s v="mike mcbRIdE"/>
        <s v="HEaTHeR cARtEr"/>
        <s v="GRACE haWKinS"/>
        <s v="KImBeRLy wElcH"/>
        <s v="ChrISTopheR CaSTIlLo"/>
        <s v="lARry SinGleTOn"/>
        <s v="DANiel brooKs"/>
        <s v="CUrTis GArCia"/>
        <s v="chrISTOpheR GReEn"/>
        <s v="wILLiAm SIms"/>
        <s v="BoNnie bUckLey"/>
        <s v="EliZAbeTh MicHAeL"/>
        <s v="sUsaN LynCh"/>
        <s v="ANdRew WaLsH"/>
        <s v="mOniCA JameS"/>
        <s v="aMY OsBorNE"/>
        <s v="AnTHony JoNeS"/>
        <s v="ChrISTiNA burNS"/>
        <s v="RObERT edWArds"/>
        <s v="tRoY goULd"/>
        <s v="John HOBbS"/>
        <s v="MArK hUnteR"/>
        <s v="BrianNa MoreNo"/>
        <s v="jOhN YOUng"/>
        <s v="AmanDa WHitE"/>
        <s v="JuliE rIvaS"/>
        <s v="Tammy hall"/>
        <s v="TYLER camPbelL"/>
        <s v="DesIRee FraZiEr"/>
        <s v="weNDY CAIN"/>
        <s v="BretT sTEvenS"/>
        <s v="marIO HaLeY"/>
        <s v="kaRen clarK"/>
        <s v="brEnda dAvIS"/>
        <s v="anGeLA YounG md"/>
        <s v="brIaN SMiTh"/>
        <s v="daniEl FLORes"/>
        <s v="MARCuS gilLEspIE"/>
        <s v="SUSan jOHNSon"/>
        <s v="mArIE tURNeR"/>
        <s v="meLAnie mORalEs"/>
        <s v="nIcOLE fLyNn"/>
        <s v="brAndI woodArD"/>
        <s v="jACoB CuNNINGhAM"/>
        <s v="marK RoDRigUez"/>
        <s v="aManDa mIlLs"/>
        <s v="DaNieL moOre"/>
        <s v="MicHaEl BRuce"/>
        <s v="tiMOthY bEnNeTt"/>
        <s v="CArlOs burton"/>
        <s v="jAmiE PRiCe"/>
        <s v="nANCy MAy"/>
        <s v="eLiZaBETh FlOrEs"/>
        <s v="DaVID FlorEs"/>
        <s v="joSePh CohEn jR."/>
        <s v="ErNEsT TAyLOR"/>
        <s v="nicole thOrNtOn"/>
        <s v="dawN tHomas"/>
        <s v="JeSsIca booTh"/>
        <s v="dOuGLAs MyERs"/>
        <s v="kEndrA WalKeR"/>
        <s v="tHOmaS martIN"/>
        <s v="lINDA kenNEDY"/>
        <s v="AllIsOn pricE"/>
        <s v="fRED sNYDer"/>
        <s v="JorGE rIchaRD"/>
        <s v="ROBert niChols"/>
        <s v="BRETT mARshAll"/>
        <s v="ChaSe goOD"/>
        <s v="mIchaeL cHRisTiaN"/>
        <s v="bRIaNA bOwen"/>
        <s v="jEfF mOSS"/>
        <s v="kimbErlY SINglETon"/>
        <s v="sTevEn THoMPSON"/>
        <s v="laURen CUEVaS"/>
        <s v="MiCHaEL GomeZ"/>
        <s v="dENISE ramIReZ"/>
        <s v="eRIc FernaNDeZ"/>
        <s v="rOBeRT BURton"/>
        <s v="BrYAn HARpER"/>
        <s v="CHARLES jOHNsON"/>
        <s v="DeAnna feRreLl"/>
        <s v="jErry CrUZ ddS"/>
        <s v="KrisTa cALdwell"/>
        <s v="kiMbERly mejia"/>
        <s v="sHawn kIng"/>
        <s v="RoBErT robBiNS"/>
        <s v="jAMES whIte"/>
        <s v="ISAbeLla dAnIeL"/>
        <s v="aNDREW JoHNsON"/>
        <s v="BECkY RivERa"/>
        <s v="DonNA BERNard"/>
        <s v="KELLY ZAMOra"/>
        <s v="KAra HERring"/>
        <s v="RiChARd haLl"/>
        <s v="gReGORY OLSon"/>
        <s v="kEnneth ClaRk"/>
        <s v="ShannoN EdWArds"/>
        <s v="CalvIn BArRy"/>
        <s v="paMElA lOpeZ"/>
        <s v="AdAm sMItH"/>
        <s v="CurTiS hArdING"/>
        <s v="maRY WaLKer"/>
        <s v="PauLa vEgA"/>
        <s v="MATthew beNTLeY"/>
        <s v="CAiTLiN hILL"/>
        <s v="NAncY dAVis"/>
        <s v="joNatHAn mILLer"/>
        <s v="AMBEr sCHneIDer"/>
        <s v="eric CARRiLLo"/>
        <s v="KrySTAL rOdrIGUEZ"/>
        <s v="maDIson MyERs"/>
        <s v="lisA DowNs DDS"/>
        <s v="mARCus JoneS"/>
        <s v="JAcqUelINe SwaNSon"/>
        <s v="maRK waLKEr"/>
        <s v="MIchAEl HarvEy"/>
        <s v="BeckY ROBInsON"/>
        <s v="MariAh baRTOn"/>
        <s v="TOnya sHAh"/>
        <s v="rUTh RHOdES"/>
        <s v="RaCheL EvanS"/>
        <s v="cynthIa FRye"/>
        <s v="brAd fArLey"/>
        <s v="MARy rILEy"/>
        <s v="ClaytOn BroWn"/>
        <s v="JAsoN TorrES"/>
        <s v="nAtalie knigHt"/>
        <s v="REBeccA HAyEs"/>
        <s v="tAmaRA CASTiLlO"/>
        <s v="jOsepH whEELer"/>
        <s v="JOHn walkEr"/>
        <s v="NanCy sTevENS"/>
        <s v="BRian bUtLEr"/>
        <s v="eLiZaBetH BRIdGES"/>
        <s v="dR. Lisa DUNN mD"/>
        <s v="aNtHony goNzAlEz"/>
        <s v="Jason HANEY"/>
        <s v="LindSAY spARks"/>
        <s v="Dale ReyeS"/>
        <s v="JESSICa WILlIaMs"/>
        <s v="shEena zunIgA"/>
        <s v="RAYmONd ChaNdler"/>
        <s v="STepHEN MOORe"/>
        <s v="nicoLe Smith"/>
        <s v="BrETt dAvEnPorT"/>
        <s v="MaRiA joHnSoN"/>
        <s v="JUlIe mattHEWS"/>
        <s v="MiChaeL HoWE"/>
        <s v="JOshUa dOYLE"/>
        <s v="gregOry thomas"/>
        <s v="jENNiFEr wEST"/>
        <s v="SHANNOn key"/>
        <s v="kAThY wHite"/>
        <s v="MICHELE FeRNaNDeZ"/>
        <s v="STEPHanie HARRIs"/>
        <s v="keitH WhiTE"/>
        <s v="MiCHELLE jOhnsON"/>
        <s v="brADlEY jorDan"/>
        <s v="WiLLIAM BaKer"/>
        <s v="HOllY bisHop"/>
        <s v="dEnNis GOnZAlEZ"/>
        <s v="zachAry LYONs"/>
        <s v="laUrA WU"/>
        <s v="VAneSSa kiNg"/>
        <s v="cLAIre RaMIREz"/>
        <s v="ScOtt waLker"/>
        <s v="vicToriA cRAwFOrd"/>
        <s v="cYntHia CalDWELL"/>
        <s v="brEnDa bURgeSs"/>
        <s v="vANesSa mCINToSh"/>
        <s v="jenNIFEr DixoN"/>
        <s v="kEnNeth wilLIaMs"/>
        <s v="cHarlEs BArAJAs"/>
        <s v="petEr cOnway"/>
        <s v="MaRY BaldwIn"/>
        <s v="WILLIaM matHIs"/>
        <s v="mRs. JilliaN sOsa"/>
        <s v="AMbEr LAWsoN"/>
        <s v="baRBaRA mAY"/>
        <s v="aNGEla bROWN"/>
        <s v="DArRElL jOhNStOn"/>
        <s v="GarY sAntoS"/>
        <s v="trAcy garciA"/>
        <s v="joSEPH fiGUEroA"/>
        <s v="bRitTney CheN"/>
        <s v="David gRAHam"/>
        <s v="vALeRiE ChaVEZ"/>
        <s v="ELIZabEtH bAKEr"/>
        <s v="pRisCillA sanDERS"/>
        <s v="courtNeY sCHrOEDER"/>
        <s v="aMBER NGuyEN"/>
        <s v="TifFanY cooPEr"/>
        <s v="SHanE GarDnEr"/>
        <s v="tHOMas cruz"/>
        <s v="michaEl obriEN"/>
        <s v="ValeriE NelsoN"/>
        <s v="Lisa vAleNCIa"/>
        <s v="AutUMN sUtton"/>
        <s v="juSTiN EAton"/>
        <s v="BrEnt mcCArthY"/>
        <s v="joSHUA SMItH"/>
        <s v="NICole HIcKS"/>
        <s v="BreNDa ColLins"/>
        <s v="Dr. RObErT tODd"/>
        <s v="eriC BLACkBurn"/>
        <s v="JulIe broWn"/>
        <s v="BRenDA baiRD"/>
        <s v="megan roCHA"/>
        <s v="JOnAThAn mCGrAtH"/>
        <s v="MichaEl wilKiNs"/>
        <s v="jAmES bradlEy"/>
        <s v="ScOTT aNDErsOn"/>
        <s v="MAttHew BrYANt"/>
        <s v="AngELIcA mARTIneZ"/>
        <s v="briTtaNY SanChEz"/>
        <s v="AnGEla WalkER"/>
        <s v="ErIn maSoN"/>
        <s v="Kenneth DavIDson"/>
        <s v="TIMoThy GeORGE"/>
        <s v="sTEPhaNie CrUZ"/>
        <s v="SCOtt bOWeN"/>
        <s v="CharlotTE tHOMas"/>
        <s v="Keith AlLEn"/>
        <s v="aNNA MILlER"/>
        <s v="alyssA LittlE"/>
        <s v="RhonDA WILSOn"/>
        <s v="KIMBerLy lee"/>
        <s v="JaSOn MeLEnDEZ"/>
        <s v="joHNAThAn dIXon"/>
        <s v="coDy MOorE"/>
        <s v="MAtthEw sHaw"/>
        <s v="KEvIn gALLagher"/>
        <s v="cathEriNe WALl"/>
        <s v="lUis pATtErsoN"/>
        <s v="LEroy priCE"/>
        <s v="mattHeW GlOVer"/>
        <s v="MArK Cox"/>
        <s v="AAROn wiLsON"/>
        <s v="KEiTh WILSoN"/>
        <s v="SHAwN rAmIRez"/>
        <s v="regInA mitcHElL"/>
        <s v="MEgaN ReEsE"/>
        <s v="TErRENce RIChArd"/>
        <s v="MattHEw WAtts"/>
        <s v="SAraH MorRiS"/>
        <s v="KeviN mArShalL"/>
        <s v="JONathan clarKE"/>
        <s v="PaULA MonTOYA"/>
        <s v="CalEB BrANch"/>
        <s v="ChRiSTopHEr tHoMas"/>
        <s v="jEReMy bArRett"/>
        <s v="rIChARd SANCHEz"/>
        <s v="antHonY RAy"/>
        <s v="JAmIe laMB"/>
        <s v="cOdy maHOnEy"/>
        <s v="RIcHard york"/>
        <s v="ANdREw mARSHaLl"/>
        <s v="JoAn MILler"/>
        <s v="krIsTiN frY"/>
        <s v="jASMine OLiVER"/>
        <s v="jOHnnY galLEgoS"/>
        <s v="chRiSTopHeR AGUiLAr"/>
        <s v="lauRen REeD"/>
        <s v="KImBeRly CArpenTer"/>
        <s v="marIA REEd"/>
        <s v="eLIZabETH wANg"/>
        <s v="PauL rOss"/>
        <s v="tAmAra toDd"/>
        <s v="ISaIaH RichaRdSON"/>
        <s v="allISON CrosBy"/>
        <s v="maTthEW wiLliamsON"/>
        <s v="melIssa maYnaRD"/>
        <s v="KaylA CLArK"/>
        <s v="DeBorAH DAvis"/>
        <s v="kaTHrYN yOuNg"/>
        <s v="wENdy LOng"/>
        <s v="DOUGlas faRleY"/>
        <s v="JULIa edWaRdS"/>
        <s v="KEViN pOwEll"/>
        <s v="meGan bASS"/>
        <s v="DEnNis MelEnDEZ"/>
        <s v="tIMotHy SanCHEZ"/>
        <s v="jAMIE DUraN"/>
        <s v="ANTHoNY hOusE"/>
        <s v="mArY FloRes"/>
        <s v="mIChael jEnSen"/>
        <s v="AlYSSA meNDoZA"/>
        <s v="pAtRICk WhItE"/>
        <s v="bIll cuNningHam"/>
        <s v="aprIl DEAN"/>
        <s v="lucAS jonES"/>
        <s v="EDwArd rEed"/>
        <s v="liNdSay eLLiott"/>
        <s v="sUsaN COleMAN"/>
        <s v="viCTORIA fOrD"/>
        <s v="AndreA moODY"/>
        <s v="ClintON BauEr"/>
        <s v="andREW TRan"/>
        <s v="bRendA Rogers"/>
        <s v="MAriA rAMiReZ"/>
        <s v="KELlY CLAY"/>
        <s v="mIchELlE veGA"/>
        <s v="MISTY taTe"/>
        <s v="sUSan YOuNG"/>
        <s v="RICHArd MoORe"/>
        <s v="chRIsToPHeR CLArK"/>
        <s v="KIM RoGERs"/>
        <s v="DeAnNA fitzgERaLD"/>
        <s v="EdWArD MItchELL"/>
        <s v="COURtNeY EDWaRds"/>
        <s v="PHillIP aLvarEZ"/>
        <s v="eLIzABeTh HILl"/>
        <s v="mAUrICe CArPentEr"/>
        <s v="JaMES gOod"/>
        <s v="DOrOthy dOYLe"/>
        <s v="chARLes WhItAker"/>
        <s v="CINdY dAViS"/>
        <s v="jAmiE GARcIa"/>
        <s v="janICe bRiggS"/>
        <s v="miCHellE CALlAHan"/>
        <s v="Sara PatTErSON"/>
        <s v="amY kirK"/>
        <s v="leon wAlTEr"/>
        <s v="JoHN McbridE"/>
        <s v="dana SCOTT"/>
        <s v="brYAN kelLY"/>
        <s v="sHArOn hERRerA"/>
        <s v="john cuRTIs"/>
        <s v="JOhN Bauer"/>
        <s v="riChard tayLoR"/>
        <s v="GInA BroOkS"/>
        <s v="vICtOria johNsOn"/>
        <s v="RiCHaRD AlLISon"/>
        <s v="MICHAEL dawson"/>
        <s v="raYmond MORrIS"/>
        <s v="lyNn FeRnANdEZ"/>
        <s v="kIMBeRLY eVans"/>
        <s v="dAVID warrEN"/>
        <s v="AndREw mooRe"/>
        <s v="amY tayLoR"/>
        <s v="MichElE MoNtoYa"/>
        <s v="jANiCE tHoMAS"/>
        <s v="VALERiE lANg"/>
        <s v="JUstin pEARsOn"/>
        <s v="tHomAs WILLiAmS"/>
        <s v="jaSOn chUNg"/>
        <s v="MarK knigHt"/>
        <s v="tOMMy gaInes"/>
        <s v="JennIFEr JoNes"/>
        <s v="WalTEr BenNetT"/>
        <s v="ASHLEy SuLlIVan"/>
        <s v="marY JAmeS"/>
        <s v="kATHleEn roBERTS"/>
        <s v="wENdy bLAnCHaRD"/>
        <s v="dARyL noBle"/>
        <s v="eric weLls"/>
        <s v="jeSSICa foRd"/>
        <s v="TraceY cHaSE"/>
        <s v="taMi Baker"/>
        <s v="wiLLiAm baRr"/>
        <s v="KIM RoDrIGUEZ"/>
        <s v="AnTHonY FLyNn"/>
        <s v="mIChelE sToNe"/>
        <s v="DAvid HeRnandEZ"/>
        <s v="OLivIA roWe"/>
        <s v="SamUeL FrANCo"/>
        <s v="caMeRON MooRe"/>
        <s v="caLVIN SToKes"/>
        <s v="NiCHOlAS PERry"/>
        <s v="tamAra CLAYTOn"/>
        <s v="joEl rIchARdS"/>
        <s v="geORGE cAMPbEll"/>
        <s v="TODd HENDErSON"/>
        <s v="ARIaNA CLarK"/>
        <s v="SHeRRy SChuLtz"/>
        <s v="gRAce sALaZar"/>
        <s v="JUlIa pERRy"/>
        <s v="jOY SChROedER"/>
        <s v="JaSoN jOhNsON"/>
        <s v="Lance reid"/>
        <s v="chRisTY NielsEN"/>
        <s v="brIAnnA LAM"/>
        <s v="JAy WerNER"/>
        <s v="jAson willIaMS"/>
        <s v="SARah heRNAndeZ"/>
        <s v="dOnAlD JOhnSON"/>
        <s v="mITcHELl Stone"/>
        <s v="nOAh lOwe"/>
        <s v="DaVid LeviNE"/>
        <s v="lARrY watTS"/>
        <s v="KeNnetH torRes"/>
        <s v="sARah maRTIneZ"/>
        <s v="rOBERT lONG"/>
        <s v="kEnnEtH SaNCHeZ"/>
        <s v="sTePhaNIe coNTRerAs"/>
        <s v="amy JohnsOn"/>
        <s v="cassaNDRA vASQuEZ"/>
        <s v="SARah FRAZier"/>
        <s v="MICHAEl hOlMeS"/>
        <s v="anGElA tHOmpsOn"/>
        <s v="JENnIFer gRiffIn"/>
        <s v="james WILKINson"/>
        <s v="saNDra oNeaL"/>
        <s v="AnTHONY CArrILLO"/>
        <s v="JustiN rHodES"/>
        <s v="sHERrY JaMEs"/>
        <s v="toNYa OnEal"/>
        <s v="breNDa RoBERsoN"/>
        <s v="KEVin rose"/>
        <s v="asHLeE DaNIEl mD"/>
        <s v="samanTHA SMIth"/>
        <s v="DianE MOrRiSon"/>
        <s v="MaKAyLA aRcher"/>
        <s v="ChrIStopheR MaSON"/>
        <s v="FERNanDo PeReZ"/>
        <s v="michAel heRNandez"/>
        <s v="dUStIN PERry"/>
        <s v="joHn CasTrO"/>
        <s v="aLYSsa HArpeR"/>
        <s v="kARen dixON"/>
        <s v="JaMiE ChaNDlEr"/>
        <s v="SheILA joRdan"/>
        <s v="Latoya JEnsEN"/>
        <s v="erIn BLAir"/>
        <s v="AlejaNDrO lopez"/>
        <s v="sArAH BRYAnT"/>
        <s v="ShElBy DIcKERSoN Dvm"/>
        <s v="pAUL mYers"/>
        <s v="wEslEY LEvY"/>
        <s v="CoRy SANToS"/>
        <s v="ALiSHA cantreLl"/>
        <s v="eDgAR Bailey"/>
        <s v="domINIque benneTT"/>
        <s v="aNNa COLeMaN"/>
        <s v="ZaCHARy mCCARtY"/>
        <s v="WiLlIam gonzALES"/>
        <s v="PAuLA flOrEs"/>
        <s v="cOurtNeY pETerS"/>
        <s v="REbeCCa wEsT"/>
        <s v="ChRisTOpHeR leonArD"/>
        <s v="robErt sImon"/>
        <s v="BRYAn boyd"/>
        <s v="rEBeCCa brOWn"/>
        <s v="dANIel ToRres"/>
        <s v="eRic JIMenEz"/>
        <s v="taYLor EnGLISh"/>
        <s v="THoMaS feRguSOn"/>
        <s v="RoDNey WIlliaMs"/>
        <s v="bRandoN lEwis"/>
        <s v="jacQueLInE sAncHEZ"/>
        <s v="pAtRick mYErs"/>
        <s v="BRAdLEy bAkeR"/>
        <s v="Sean BeNjAmin"/>
        <s v="SarAH ShORT"/>
        <s v="Amanda cHAPMaN"/>
        <s v="anthoNy nGUyen"/>
        <s v="AMANda MCclaIN"/>
        <s v="kELly maRSHALl"/>
        <s v="RobIn jOneS"/>
        <s v="kelLY loZAnO"/>
        <s v="nAtAsha cOoK"/>
        <s v="JeNnIfeR fiShEr"/>
        <s v="LaUra DAVis"/>
        <s v="laURIE broWn"/>
        <s v="jOHnny ToWNsend"/>
        <s v="jaSMiNE brOWn"/>
        <s v="BryAn AreLLaNo"/>
        <s v="AnDReW reyeS"/>
        <s v="jasoN HEnSoN"/>
        <s v="SHIrLEY ward"/>
        <s v="WiLliAM dAvIs"/>
        <s v="jONAtHAN wILLiams"/>
        <s v="mELANIE gONZALez"/>
        <s v="taMMY GEorge"/>
        <s v="kathlEeN hULl"/>
        <s v="krIsta MitchEll"/>
        <s v="ANdrew ReeSE"/>
        <s v="pATricIa gRIfFiN"/>
        <s v="DAVid STaFfoRD"/>
        <s v="lesLiE wArd"/>
        <s v="BevERlY MCcoy"/>
        <s v="MArk McPhERsON"/>
        <s v="ShANNOn SMItH md"/>
        <s v="liSa mOrales"/>
        <s v="StACey OrteGa"/>
        <s v="jAMIE huyNh"/>
        <s v="daNieL ball"/>
        <s v="MAtthew WaLker"/>
        <s v="KEvIN oWEn"/>
        <s v="SArAH mCdoNaLD"/>
        <s v="ShERRy feRgusoN"/>
        <s v="dEvIN ACEVEdO"/>
        <s v="PHiLip SmItH"/>
        <s v="emiLY SparkS"/>
        <s v="rAnDY liTTLe"/>
        <s v="tIffANy jaCKsON"/>
        <s v="daVID WiLSON"/>
        <s v="CArMen ReEd"/>
        <s v="daVID aLLEN"/>
        <s v="emILY WILLIAMS"/>
        <s v="tHOMas Preston"/>
        <s v="Daniel JohNson"/>
        <s v="PaTRIcIA fletchER"/>
        <s v="JEnnIFer cOokE"/>
        <s v="Barbara taYloR"/>
        <s v="STePHeN ONeal"/>
        <s v="ELizabeTh brOWn"/>
        <s v="DAnieL CASey"/>
        <s v="eRIK MAson"/>
        <s v="BOBby HAMIlTon"/>
        <s v="gaiL JONEs"/>
        <s v="mIcHaEl daViS"/>
        <s v="deboRah chAPMaN"/>
        <s v="mR. mIchaEL simON MD"/>
        <s v="carl sTEWART"/>
        <s v="Perry browN"/>
        <s v="kAReN bRIGgs"/>
        <s v="AnDREA AnDeRSon"/>
        <s v="gINa QUInN"/>
        <s v="GregOrY chrIStEnseN"/>
        <s v="PATrIcIa muRPhY"/>
        <s v="PAuL PuGH"/>
        <s v="TayLOr wHEELEr"/>
        <s v="nANCy rAmIrez"/>
        <s v="ChRisTIna tuRnER"/>
        <s v="BraNdoN CaMpBelL"/>
        <s v="RObERt bOYD"/>
        <s v="TiNA CRaWFOrd"/>
        <s v="CaROLyn kElLER"/>
        <s v="SaNdRA milLeR"/>
        <s v="mArk rYaN"/>
        <s v="JOrgE siNgletoN"/>
        <s v="BREtt CoBb"/>
        <s v="LISa DeAn"/>
        <s v="JOaN glover"/>
        <s v="dr. JULIA waTSOn"/>
        <s v="sABRiNA MiLLER"/>
        <s v="MELisSa MonTgomerY"/>
        <s v="amy NGuyEN"/>
        <s v="SCott DAlTOn"/>
        <s v="GREGOry ShanNon"/>
        <s v="aLEXANdRiA williaMs"/>
        <s v="ELIZAbeth reEd"/>
        <s v="deniSe COlEman"/>
        <s v="RaYMoND NeLsON"/>
        <s v="mR. gREgOry joRDaN"/>
        <s v="CHARlEs MEyeRS"/>
        <s v="LiSA HOLdEr"/>
        <s v="bRIAn maYER"/>
        <s v="jenNIfEr tAYLOR"/>
        <s v="CHAD mORgaN"/>
        <s v="vICTOria durhaM"/>
        <s v="vinCEnT bASS"/>
        <s v="aMbEr Jones"/>
        <s v="JoSEpH ButlEr"/>
        <s v="THerEsa whitE"/>
        <s v="DIAna gRoSS"/>
        <s v="tiFFany bEnJamIN"/>
        <s v="wIlLIaM MAtthews"/>
        <s v="HaYlEy GArCiA"/>
        <s v="JoSEPh crUz"/>
        <s v="Adam mArQUEz"/>
        <s v="stevEn sTevENS"/>
        <s v="rEbEcCA JeNkInS"/>
        <s v="kEViN ThOmas"/>
        <s v="dusTin GUzmAN"/>
        <s v="kIm MORgan"/>
        <s v="jaMIE HAyNeS"/>
        <s v="JONAthan SotO"/>
        <s v="mIcHAeL bRown"/>
        <s v="mATTHEw PaYne"/>
        <s v="DR. sTaCY simpsON"/>
        <s v="THOMas rOwe"/>
        <s v="GrEGOry PHiLLIPS"/>
        <s v="AnTHONY rivera"/>
        <s v="miCHELLe WallACE"/>
        <s v="mark niCHolSoN"/>
        <s v="noAh RObErTS"/>
        <s v="CARlOs tReViNO"/>
        <s v="matTheW GaRcIa"/>
        <s v="REBECCa Nicholson"/>
        <s v="kiMbeRly wArren"/>
        <s v="mIchele MCMIllAn"/>
        <s v="kEvIN PiNEda"/>
        <s v="Mr. wilLIam mahONey"/>
        <s v="SUsAn MIllEr"/>
        <s v="TylEr chUrcH"/>
        <s v="jAneT HarRIS"/>
        <s v="cody BaSS"/>
        <s v="caleB lyonS"/>
        <s v="lawrEnCe WAtkInS"/>
        <s v="chaRles contRERaS"/>
        <s v="jodY hANcOck"/>
        <s v="RyAn gARCIA"/>
        <s v="hector MurPHy"/>
        <s v="jESsica broOks"/>
        <s v="PhIlLiP AllEN"/>
        <s v="HaLEY DUnn"/>
        <s v="kYliE JoHnsOn"/>
        <s v="ralph bookeR"/>
        <s v="AmY FisHEr"/>
        <s v="JOrDAn MCdonAld"/>
        <s v="jULIA fisHEr"/>
        <s v="chaRLEs peteRson"/>
        <s v="WillIAM woOd"/>
        <s v="MiGueL WaLToN"/>
        <s v="laUren BraNdt"/>
        <s v="RONaLd Wright"/>
        <s v="loGan BaRBER"/>
        <s v="George GARCia iii"/>
        <s v="STeVEN jACkSon"/>
        <s v="AlicIA MatHEws"/>
        <s v="DeaNna Wood"/>
        <s v="cOnnie rodRiGUEZ"/>
        <s v="DeRek HuBbArD"/>
        <s v="THereSA MYERs"/>
        <s v="AlysSA CURRY"/>
        <s v="DaViD weBB"/>
        <s v="daWn RIchaRd"/>
        <s v="andrew CastilLo"/>
        <s v="eRIKa OnEAL"/>
        <s v="TyLeR BOwERs"/>
        <s v="MS. alLiSoN tHOMas MD"/>
        <s v="SuSaN watSoN"/>
        <s v="CyntHIa wASHiNGtOn"/>
        <s v="DANIel DanieLS"/>
        <s v="jennIfeR kiNG"/>
        <s v="mIraNDa lONG"/>
        <s v="LoUIs Green"/>
        <s v="paTriciA wHIte"/>
        <s v="JAImE DANIels"/>
        <s v="dAvID VElaZQuEZ"/>
        <s v="AmY cuNniNGHAM"/>
        <s v="aMY wArrEN"/>
        <s v="CrAIG doYLe"/>
        <s v="riChard frANKliN"/>
        <s v="CAROLINe PRicE"/>
        <s v="miCHael FRiEDmaN"/>
        <s v="MArK bERgEr"/>
        <s v="RhoNDa LEvINe"/>
        <s v="HarOLD Boone"/>
        <s v="rAcHEL lOnG"/>
        <s v="daN steWart"/>
        <s v="KAteLyn RiCHArdSON"/>
        <s v="liSA HEnslEY"/>
        <s v="dEbra wIlSOn"/>
        <s v="cHrIsty AUstIN"/>
        <s v="joHNnY goNzALEz"/>
        <s v="devIn pOTtEr"/>
        <s v="MEGan braUN"/>
        <s v="sTephen clemenTs"/>
        <s v="daNa AGuILAR"/>
        <s v="RoBErt greeNe"/>
        <s v="CRystAL wyAtT"/>
        <s v="AlICia phiLLIps"/>
        <s v="FRAncisCO BeRrY"/>
        <s v="jaSON pAYNe"/>
        <s v="rIchArD OWEn"/>
        <s v="BRAnDi pAYNE"/>
        <s v="eVan HarDIn"/>
        <s v="JEssiCA RAmirEz"/>
        <s v="coRey orTega"/>
        <s v="cHelSEy Liu"/>
        <s v="alicIa WIlSon"/>
        <s v="brian hoFfMaN"/>
        <s v="pErrY waLLace"/>
        <s v="aNgEla MuRpHY"/>
        <s v="emilY mARtineZ"/>
        <s v="StEPhanie VIllarreAl"/>
        <s v="REbecca lAmb"/>
        <s v="HALey mcgrAth"/>
        <s v="DEBorah gRaHAM"/>
        <s v="NOaH wILLiams"/>
        <s v="dOUgLAS YU"/>
        <s v="kaTrIna aDAmS"/>
        <s v="JoDi wilsON"/>
        <s v="cASeY TuCKER"/>
        <s v="kevIn doNalDsON"/>
        <s v="RYAN haMiLton"/>
        <s v="CoDY bRown"/>
        <s v="AlAn brIghT"/>
        <s v="MRs. cARol THoMAs md"/>
        <s v="LISA hUDSon"/>
        <s v="NICHOLe lEE"/>
        <s v="JaMes BroWn"/>
        <s v="lauRen martIn"/>
        <s v="alexIS mILlER"/>
        <s v="shErI ZaMORa"/>
        <s v="JOsEph sHEPherd"/>
        <s v="chrIsTOPher HernAnDEZ"/>
        <s v="doNNA Cabrera"/>
        <s v="WEndy sMiTH"/>
        <s v="wiLliam LEe"/>
        <s v="EmILy wilkiNS"/>
        <s v="RONNIe RiCE"/>
        <s v="gLENDa COLliNs"/>
        <s v="dOUgLaS marTINeZ"/>
        <s v="MATthEw frazIER"/>
        <s v="ANDRew RuIZ"/>
        <s v="ADaM leE"/>
        <s v="aNtHonY WrIGHT"/>
        <s v="SHAwn GArDnEr"/>
        <s v="dAwN GraNt"/>
        <s v="AnTHONY mArtinEz"/>
        <s v="wIlliAm mYerS"/>
        <s v="VIrgiNiA AyALa"/>
        <s v="cHeLSEa berRy"/>
        <s v="VaLErie MorrIs"/>
        <s v="andre MuElleR"/>
        <s v="EDWArd ZaVALA"/>
        <s v="miChellE Love"/>
        <s v="robert HOlmEs"/>
        <s v="sCOTT JACoBSon"/>
        <s v="bEvERLY JohNSON"/>
        <s v="JennIfeR ROdrIguez"/>
        <s v="AnTONIO mARSH"/>
        <s v="RIcHArd mURraY"/>
        <s v="AnToniO Le"/>
        <s v="KEVIN GUzmAn"/>
        <s v="mElissa LeaCh"/>
        <s v="matTheW aNdErsOn"/>
        <s v="leOnard miLLeR"/>
        <s v="maTTheW haRrinGtoN"/>
        <s v="Paul ALVaREz"/>
        <s v="debbiE lewis"/>
        <s v="TanYA BRAnch dds"/>
        <s v="BRiaN tAylOr"/>
        <s v="DoUGLaS smith"/>
        <s v="jaMIE THOMas"/>
        <s v="LISa CHEN"/>
        <s v="KYLE JOhnSOn"/>
        <s v="brADlEy HAmILtOn"/>
        <s v="david oLsEN"/>
        <s v="aMAnDA KIm"/>
        <s v="MiSs DeBorah BurgEsS"/>
        <s v="CHAD taYLOR"/>
        <s v="tInA FoLEY"/>
        <s v="kiMbeRLY wallace dds"/>
        <s v="ChArLeS SchNEIder"/>
        <s v="mr. codY SUlliVAn"/>
        <s v="sTEPHANiE mCBRIDe"/>
        <s v="MR. MArtIn heRMAn"/>
        <s v="sUsan LeoN"/>
        <s v="heAThER priCe dVm"/>
        <s v="mITCHElL tatE"/>
        <s v="StEphEN BiShOP"/>
        <s v="lINDSAY WOOd"/>
        <s v="GeralD JohNsoN"/>
        <s v="SAraH ConTReraS"/>
        <s v="jaSON grEeN"/>
        <s v="SaraH rOCHa"/>
        <s v="StePhaniE WOODS"/>
        <s v="ROger FErReLl"/>
        <s v="DaNIelLE SHOrT"/>
        <s v="lOuIs MoRris"/>
        <s v="TylEr Cox"/>
        <s v="JIlLIaN bROWN"/>
        <s v="EmIlY BERg"/>
        <s v="RICHaRd RhoDEs"/>
        <s v="NoaH JENniNgS"/>
        <s v="SHANNoN rObINsON"/>
        <s v="cAThY FLOReS"/>
        <s v="chriStoPHer gLeNN"/>
        <s v="susAn Wu"/>
        <s v="PaUL dixoN"/>
        <s v="nIcOLe RoGErS"/>
        <s v="ReBEcca cARlsON"/>
        <s v="mr. BRIAN JOneS"/>
        <s v="jordAN DUNN"/>
        <s v="benJAMin aVila"/>
        <s v="vICTORIA hERRINg"/>
        <s v="roBERt WoLF"/>
        <s v="MICHAELA haRRiS"/>
        <s v="ELIZabeth lEsTER"/>
        <s v="brUCe JOseph dDS"/>
        <s v="mELIssa DaViS"/>
        <s v="JaNIcE caStilLo"/>
        <s v="MRS. jEnNiFER CHanDLER"/>
        <s v="viNCENt smItH"/>
        <s v="Dr. COLlEeN MorrIs"/>
        <s v="anthonY clARK"/>
        <s v="robErT braDLeY"/>
        <s v="ChRiSTIne HoUstOn"/>
        <s v="AMy DurAN"/>
        <s v="MIsty dAvIS"/>
        <s v="jamEs McBRIDE"/>
        <s v="AlEXANder meNdoza"/>
        <s v="daVid hoWeLL"/>
        <s v="maRiA aGUiLar"/>
        <s v="jIm DAY"/>
        <s v="DaViD HAMiLtOn"/>
        <s v="BrANDOn Ryan"/>
        <s v="NIcOLe GrEen"/>
        <s v="JaMes Olsen"/>
        <s v="eLIZaBETH WILLiams"/>
        <s v="KevIN cAmaCHo"/>
        <s v="rubeN jAckSon"/>
        <s v="AliCia BarNES"/>
        <s v="dOUglAS BRowN dvM"/>
        <s v="syDney doUGHErtY"/>
        <s v="STePHeN RosS"/>
        <s v="DaVid JoNes"/>
        <s v="SherrY CarTEr"/>
        <s v="viRGiNIA WrIght DDS"/>
        <s v="WanDA SiMMoNs"/>
        <s v="antHONY HuNt"/>
        <s v="TEResa WebSTeR"/>
        <s v="dYlAN lOPEZ"/>
        <s v="soNYa CoLeMan"/>
        <s v="KeVin AdaMs"/>
        <s v="JilLiaN Good"/>
        <s v="jESSiCA Jones"/>
        <s v="VictorIa pARKS"/>
        <s v="AlEXiS ortiz"/>
        <s v="kATHeRINE PITTmaN"/>
        <s v="NAtHan fleMinG"/>
        <s v="jaMie rIVerA"/>
        <s v="TRaVIS KELLEy"/>
        <s v="RITA smiTH"/>
        <s v="LIsa WaLtErS mD"/>
        <s v="paTRicK Sims"/>
        <s v="MIchAeL fLOyD"/>
        <s v="bRaNDY lOpez"/>
        <s v="MARY bRaDY"/>
        <s v="dAnnY anThOnY"/>
        <s v="TImothy mANNing"/>
        <s v="PaTRICIa riCh"/>
        <s v="TRACy ChUrcH"/>
        <s v="MOniCa BuRkE"/>
        <s v="SheRI JoHNSon"/>
        <s v="WillIAM ThOMAS"/>
        <s v="daviD wErnEr"/>
        <s v="nancy canTrELl"/>
        <s v="EriKa scOtT"/>
        <s v="LiSA glass"/>
        <s v="biANCA HARRIsoN"/>
        <s v="taRA UnDERWoOD"/>
        <s v="TammY Kramer"/>
        <s v="katHEriNe FRAnKlIN"/>
        <s v="heatHER BRoOKS"/>
        <s v="aNTonIo PEReZ"/>
        <s v="dR. lisa aNdRaDe"/>
        <s v="mICHElLE fisHer"/>
        <s v="JAmes PhiLliPs"/>
        <s v="SophiA HArVey"/>
        <s v="LiSA CoPElanD"/>
        <s v="cHRiSTophEr FRaNk"/>
        <s v="sUe goNZaLEZ"/>
        <s v="Justin SIMS"/>
        <s v="EliZabEtH gaRRett"/>
        <s v="jENniFER ThOMas"/>
        <s v="MARIA HOWARD"/>
        <s v="cyNtHia mosS"/>
      </sharedItems>
    </cacheField>
    <cacheField name="Age" numFmtId="0">
      <sharedItems containsSemiMixedTypes="0" containsString="0" containsNumber="1" containsInteger="1" minValue="18" maxValue="85"/>
    </cacheField>
    <cacheField name="Gender" numFmtId="0">
      <sharedItems count="2">
        <s v="Male"/>
        <s v="Female"/>
      </sharedItems>
    </cacheField>
    <cacheField name="Blood Type" numFmtId="0">
      <sharedItems/>
    </cacheField>
    <cacheField name="Medical Condition" numFmtId="0">
      <sharedItems count="6">
        <s v="Cancer"/>
        <s v="Obesity"/>
        <s v="Diabetes"/>
        <s v="Asthma"/>
        <s v="Hypertension"/>
        <s v="Arthritis"/>
      </sharedItems>
    </cacheField>
    <cacheField name="Date of Admission" numFmtId="14">
      <sharedItems containsSemiMixedTypes="0" containsNonDate="0" containsDate="1" containsString="0" minDate="2019-05-08T00:00:00" maxDate="2024-05-08T00:00:00"/>
    </cacheField>
    <cacheField name="Doctor" numFmtId="0">
      <sharedItems count="1807">
        <s v="Matthew Smith"/>
        <s v="Samantha Davies"/>
        <s v="Tiffany Mitchell"/>
        <s v="Kevin Wells"/>
        <s v="Kathleen Hanna"/>
        <s v="Taylor Newton"/>
        <s v="Kelly Olson"/>
        <s v="Suzanne Thomas"/>
        <s v="Daniel Ferguson"/>
        <s v="Heather Day"/>
        <s v="John Duncan"/>
        <s v="Douglas Mayo"/>
        <s v="Kenneth Fletcher"/>
        <s v="Theresa Freeman"/>
        <s v="Roberta Stewart"/>
        <s v="Maria Dougherty"/>
        <s v="Erica Spencer"/>
        <s v="Justin Kim"/>
        <s v="Justin Moore Jr."/>
        <s v="Denise Galloway"/>
        <s v="Krista Smith"/>
        <s v="Gregory Smith"/>
        <s v="Vanessa Newton"/>
        <s v="Donna Martinez MD"/>
        <s v="Stephanie Kramer"/>
        <s v="Wendy Glenn"/>
        <s v="James Ellis"/>
        <s v="Jared Bruce Jr."/>
        <s v="Brandy Mitchell"/>
        <s v="Jacob Huynh"/>
        <s v="Kristina Frazier"/>
        <s v="John Hartman"/>
        <s v="Heather Garcia"/>
        <s v="Lynn Young"/>
        <s v="Emma Allison"/>
        <s v="Laura Myers"/>
        <s v="Travis Parsons"/>
        <s v="Christine Johnson"/>
        <s v="Emily Taylor"/>
        <s v="William Reynolds"/>
        <s v="Jennifer Carter"/>
        <s v="Matthew Thomas"/>
        <s v="Mary Logan"/>
        <s v="Kristin Martinez"/>
        <s v="Daniel Murphy"/>
        <s v="Emily Patterson"/>
        <s v="Heather Smith"/>
        <s v="John Smith"/>
        <s v="Cameron Young"/>
        <s v="Vicki Nguyen"/>
        <s v="Mary Moss"/>
        <s v="Alexander Garcia"/>
        <s v="Patrick Burns"/>
        <s v="Kayla Powers"/>
        <s v="Julia Cox"/>
        <s v="Penny Pruitt"/>
        <s v="Mrs. Lori Hurst PhD"/>
        <s v="Stephen Carr"/>
        <s v="Jacob Daniel"/>
        <s v="Tyler Braun"/>
        <s v="Cindy Ellis"/>
        <s v="Megan Hahn"/>
        <s v="Eric Kelly"/>
        <s v="Jennifer Larson"/>
        <s v="William Hess"/>
        <s v="Patricia Dunn"/>
        <s v="Jack Jackson"/>
        <s v="Jonathan Drake"/>
        <s v="Ian Benitez"/>
        <s v="Jamie Baker"/>
        <s v="Erika Jackson"/>
        <s v="Amanda Garcia"/>
        <s v="Raven Wong"/>
        <s v="Cynthia Scott"/>
        <s v="Mark Padilla"/>
        <s v="Julie Ramirez"/>
        <s v="Jacob Rich"/>
        <s v="Mark Hartman Jr."/>
        <s v="Timothy Baker"/>
        <s v="Lori Sanchez"/>
        <s v="Connie Boyd"/>
        <s v="James Tucker"/>
        <s v="Juan Acevedo"/>
        <s v="Julie Finley"/>
        <s v="Miguel Parker"/>
        <s v="Jermaine Peters"/>
        <s v="Lisa Edwards"/>
        <s v="Matthew Walker"/>
        <s v="Gregory Hansen"/>
        <s v="Jessica Cruz"/>
        <s v="Robert Salazar"/>
        <s v="Kyle Patterson"/>
        <s v="John Summers"/>
        <s v="Scott Grant"/>
        <s v="David Ruiz"/>
        <s v="Kyle Smith"/>
        <s v="Jason Price"/>
        <s v="Stephanie Clements"/>
        <s v="Steven James"/>
        <s v="Roberto Petersen"/>
        <s v="Christina Hammond"/>
        <s v="Patricia Colon"/>
        <s v="Dominic Mitchell"/>
        <s v="Wendy Davis"/>
        <s v="Daniel Carson"/>
        <s v="Erin Henderson MD"/>
        <s v="Samuel Robles"/>
        <s v="Benjamin Webb"/>
        <s v="Bruce Garrett"/>
        <s v="Jonathan Watson"/>
        <s v="Christopher Guerra"/>
        <s v="Steven Adams"/>
        <s v="Victoria Patel"/>
        <s v="Louis Bell"/>
        <s v="Michael Baker"/>
        <s v="Douglas Fleming"/>
        <s v="Sarah Shaffer"/>
        <s v="Matthew Carter"/>
        <s v="Brian Wagner"/>
        <s v="Lucas Cole"/>
        <s v="Julia Yoder"/>
        <s v="Crystal Chavez"/>
        <s v="Brenda Lopez"/>
        <s v="Michael Cole"/>
        <s v="Michael Larson"/>
        <s v="Tracey Spence"/>
        <s v="Susan Gibson"/>
        <s v="Gerald Hooper"/>
        <s v="Todd Sanchez"/>
        <s v="Elizabeth Morales"/>
        <s v="Kimberly Petersen"/>
        <s v="Misty Garcia"/>
        <s v="Melissa Fernandez"/>
        <s v="Kari Moore"/>
        <s v="David Hubbard"/>
        <s v="Lonnie Morgan"/>
        <s v="Victoria Gonzales"/>
        <s v="Cindy White"/>
        <s v="Lori Mendoza"/>
        <s v="Ryan Ross"/>
        <s v="Brian Walton"/>
        <s v="Michael Berg"/>
        <s v="Scott Davis"/>
        <s v="Daniel Shelton"/>
        <s v="Tara Moreno"/>
        <s v="Kristie Morgan"/>
        <s v="Joseph Jones"/>
        <s v="Maria Tran"/>
        <s v="Kelly Murphy"/>
        <s v="Katherine Brown"/>
        <s v="Elizabeth Frank"/>
        <s v="Alyssa Edwards"/>
        <s v="Jesse Thomas"/>
        <s v="Erica Mccormick"/>
        <s v="Amber Holmes"/>
        <s v="Austin Jackson"/>
        <s v="Shane Morris"/>
        <s v="Brent Smith"/>
        <s v="Rose Zuniga"/>
        <s v="Ethan Wagner"/>
        <s v="Phillip Williams"/>
        <s v="Maureen Hill"/>
        <s v="Kimberly Gonzalez"/>
        <s v="Rebecca Morgan"/>
        <s v="Sabrina Rogers"/>
        <s v="Sarah Cole"/>
        <s v="Jennifer Hall"/>
        <s v="Emily Cruz"/>
        <s v="Michael Anderson"/>
        <s v="Natalie Sellers"/>
        <s v="Patrick Ochoa"/>
        <s v="Daniel Rodgers"/>
        <s v="Adam Ross"/>
        <s v="Martha Graham"/>
        <s v="Emily Thomas"/>
        <s v="Terrance Rosales"/>
        <s v="Daniel Smith"/>
        <s v="Marissa Stevenson"/>
        <s v="Katie Fitzpatrick"/>
        <s v="Dennis Small"/>
        <s v="Chris Holt"/>
        <s v="Jenny Griffith"/>
        <s v="Gregory Lambert"/>
        <s v="Michael Armstrong"/>
        <s v="Melissa Terry"/>
        <s v="Thomas Bruce"/>
        <s v="James James DVM"/>
        <s v="Sean Smith"/>
        <s v="John Hansen"/>
        <s v="Teresa Mccarthy"/>
        <s v="Stephanie Barnett"/>
        <s v="Mr. Luke Nunez Jr."/>
        <s v="Andrea Oneal"/>
        <s v="Eric Coleman"/>
        <s v="Anthony Barnes"/>
        <s v="Michael Hickman"/>
        <s v="Amanda Wells"/>
        <s v="Jason Miller"/>
        <s v="Holly James"/>
        <s v="April Cox"/>
        <s v="Virginia Lynch"/>
        <s v="Patricia Fuller"/>
        <s v="Michelle Ward"/>
        <s v="Robin Adams"/>
        <s v="Emily Morales"/>
        <s v="Michael Mitchell"/>
        <s v="Caroline Choi"/>
        <s v="Michael Robinson"/>
        <s v="Heather Miller"/>
        <s v="Howard Obrien"/>
        <s v="Faith Cook"/>
        <s v="Donna Colon"/>
        <s v="David Lindsey"/>
        <s v="Anthony Nixon"/>
        <s v="Doris Hawkins"/>
        <s v="Caleb James"/>
        <s v="Patricia Moore"/>
        <s v="Matthew Gray"/>
        <s v="Justin Lowe"/>
        <s v="Danny Mcdonald"/>
        <s v="Gina Weaver"/>
        <s v="Miss Valerie Saunders MD"/>
        <s v="Richard Petty"/>
        <s v="Patricia Bean"/>
        <s v="Felicia Morrison"/>
        <s v="Crystal Schultz"/>
        <s v="Michael Guzman"/>
        <s v="Elizabeth Flowers"/>
        <s v="Whitney Vaughan"/>
        <s v="Seth Nelson"/>
        <s v="Erin Wright"/>
        <s v="Jennifer Flores"/>
        <s v="Brandi Knight"/>
        <s v="Chad Irwin"/>
        <s v="Victoria Williams"/>
        <s v="Travis Walton"/>
        <s v="Catherine Hernandez"/>
        <s v="Kristen Johnson"/>
        <s v="Tammy Chavez"/>
        <s v="Savannah Colon"/>
        <s v="Jessica Parks MD"/>
        <s v="Joshua Singleton"/>
        <s v="Vincent Ramirez"/>
        <s v="Natasha Smith"/>
        <s v="Michelle Gutierrez"/>
        <s v="Rachel Williams"/>
        <s v="Mr. Michael White MD"/>
        <s v="Mary Drake"/>
        <s v="Tonya Wade"/>
        <s v="Jennifer Freeman"/>
        <s v="Reginald Becker"/>
        <s v="Emily Perez"/>
        <s v="Rachel Thomas"/>
        <s v="Christopher Flores"/>
        <s v="Jennifer Stevenson"/>
        <s v="Brett Meyer"/>
        <s v="David Murphy"/>
        <s v="Erin Henson"/>
        <s v="Katrina Fuentes"/>
        <s v="Harold Jackson"/>
        <s v="Christopher Merritt"/>
        <s v="Haley Kim"/>
        <s v="Dr. Steven Johnson"/>
        <s v="Erin Cole"/>
        <s v="Frank Gonzalez"/>
        <s v="Matthew Williams"/>
        <s v="Jonathan Gray"/>
        <s v="Timothy Rodriguez"/>
        <s v="Victor Welch"/>
        <s v="Robert Adams MD"/>
        <s v="Sharon Hensley"/>
        <s v="Eugene Branch"/>
        <s v="Anthony Greer"/>
        <s v="Bob Moyer"/>
        <s v="Heather Shea"/>
        <s v="Nicholas Stevenson"/>
        <s v="Laura Guerra"/>
        <s v="Mr. Jesse Cook"/>
        <s v="Heather Simon"/>
        <s v="Larry Mendez"/>
        <s v="Taylor Smith"/>
        <s v="Angela Burton"/>
        <s v="Lisa Payne"/>
        <s v="Sara Perry"/>
        <s v="Ann Brown"/>
        <s v="David Marshall"/>
        <s v="Susan Hernandez"/>
        <s v="Gina Edwards"/>
        <s v="Laura Howell"/>
        <s v="Nicholas Gomez"/>
        <s v="Richard Buchanan"/>
        <s v="Kelly King"/>
        <s v="Jeffery Morgan"/>
        <s v="Patricia Fowler"/>
        <s v="David Patterson"/>
        <s v="Daisy Eaton"/>
        <s v="Benjamin Bryant"/>
        <s v="Cynthia Velazquez"/>
        <s v="William Brock"/>
        <s v="Alex Mcknight"/>
        <s v="Gregory Fox"/>
        <s v="Carrie Navarro"/>
        <s v="Laura Murillo"/>
        <s v="Alyssa Walsh"/>
        <s v="Ricky Anderson"/>
        <s v="John Hurst"/>
        <s v="Cristina Wyatt"/>
        <s v="Christina Fowler"/>
        <s v="Frederick Whitney"/>
        <s v="Mary Miller"/>
        <s v="Evan Lewis"/>
        <s v="Adrienne Howard"/>
        <s v="Daniel Jones"/>
        <s v="Craig Wolfe"/>
        <s v="Tina Griffin"/>
        <s v="Trevor Evans"/>
        <s v="Mark Johnson"/>
        <s v="James Hays"/>
        <s v="Nicholas Ferguson"/>
        <s v="Mr. Jeffrey Powell"/>
        <s v="Timothy Carter"/>
        <s v="Jennifer Gonzales"/>
        <s v="Leonard Chen"/>
        <s v="Margaret Ramos"/>
        <s v="Joy Davis"/>
        <s v="John Evans"/>
        <s v="Benjamin Payne"/>
        <s v="Jeanne Allen"/>
        <s v="Kelly Jackson"/>
        <s v="Michael Barber"/>
        <s v="Steven Clark"/>
        <s v="Cody Houston"/>
        <s v="Gregory Nichols"/>
        <s v="Christopher Odom"/>
        <s v="Raymond Bell"/>
        <s v="Autumn Fitzgerald"/>
        <s v="James Armstrong"/>
        <s v="Katherine Dunn"/>
        <s v="Katherine Flynn"/>
        <s v="Julian Perkins"/>
        <s v="Holly Taylor"/>
        <s v="Mark King"/>
        <s v="Shelby Johnson"/>
        <s v="Angela Logan MD"/>
        <s v="Victor Morales"/>
        <s v="Nancy Vaughn"/>
        <s v="Christopher Rivera"/>
        <s v="Brittany Rocha"/>
        <s v="Patricia Hall"/>
        <s v="Walter Perez"/>
        <s v="Jonathan Chang"/>
        <s v="Maria Ritter"/>
        <s v="Elizabeth Snyder"/>
        <s v="Dennis Harris"/>
        <s v="Joseph Rivera"/>
        <s v="Charles Reynolds"/>
        <s v="Patricia Valentine"/>
        <s v="Angela Reed"/>
        <s v="Devin Pratt"/>
        <s v="Phyllis Nguyen"/>
        <s v="Christopher Bates"/>
        <s v="April Cummings"/>
        <s v="Andrew Hill"/>
        <s v="Susan Sampson"/>
        <s v="Darren Becker"/>
        <s v="Holly Walton"/>
        <s v="Craig Howard"/>
        <s v="Diane Riley"/>
        <s v="John Schroeder"/>
        <s v="Diane Griffin"/>
        <s v="Victoria Hernandez"/>
        <s v="David Zavala"/>
        <s v="Frederick Fields"/>
        <s v="Michael Nguyen"/>
        <s v="Casey Fowler"/>
        <s v="Michael Miller"/>
        <s v="Amber Gordon"/>
        <s v="Eileen Hernandez"/>
        <s v="Carrie Wright"/>
        <s v="Jeffrey Schmidt"/>
        <s v="Brian Cooper"/>
        <s v="Anthony Graves"/>
        <s v="Traci White MD"/>
        <s v="Brenda Hill"/>
        <s v="Peter Brown"/>
        <s v="Benjamin Banks"/>
        <s v="Natalie Perez"/>
        <s v="Erica Williams"/>
        <s v="Jasmine Webb"/>
        <s v="David Cabrera"/>
        <s v="Julie Gonzales"/>
        <s v="Julia Campbell"/>
        <s v="Christine Smith"/>
        <s v="Barbara Burgess"/>
        <s v="Diana Shaw"/>
        <s v="Michael Mason"/>
        <s v="Alexis Bradford"/>
        <s v="Christina Lopez"/>
        <s v="Richard Franco"/>
        <s v="Marc Reid"/>
        <s v="Ryan Simmons"/>
        <s v="Clinton Sanchez"/>
        <s v="Cindy Gonzalez"/>
        <s v="Christy Ochoa"/>
        <s v="Gabriel Livingston"/>
        <s v="Mackenzie Phillips"/>
        <s v="Gabriel Lane"/>
        <s v="Whitney Chavez"/>
        <s v="Dustin Alvarez"/>
        <s v="Heidi Wood"/>
        <s v="David Gordon"/>
        <s v="Jonathan Thomas"/>
        <s v="Lori Diaz"/>
        <s v="Martin Dominguez"/>
        <s v="Nancy Beck"/>
        <s v="Christy Hughes"/>
        <s v="Charles Hernandez"/>
        <s v="Hannah Clay"/>
        <s v="Steven Dixon"/>
        <s v="Monica Thomas"/>
        <s v="Alexander Moore"/>
        <s v="Curtis Mckinney"/>
        <s v="Brandon Montoya"/>
        <s v="Daniel Sanders"/>
        <s v="Jeremiah Nunez"/>
        <s v="Carolyn Peters"/>
        <s v="Paul Ruiz"/>
        <s v="Ronald Russell"/>
        <s v="Tracey Smith"/>
        <s v="Mark Baker"/>
        <s v="Austin Perry"/>
        <s v="Timothy Aguilar"/>
        <s v="Cynthia Stanton MD"/>
        <s v="Craig Delgado"/>
        <s v="Courtney Parsons"/>
        <s v="Sandra Barker"/>
        <s v="Michael Hogan"/>
        <s v="William Bailey"/>
        <s v="Willie Lowery"/>
        <s v="Tiffany Frank"/>
        <s v="Joe Mora"/>
        <s v="Robert Lester"/>
        <s v="Sandra Bender"/>
        <s v="Martin Smith"/>
        <s v="Martha Johnson"/>
        <s v="Mercedes Harris"/>
        <s v="Gregory Chung"/>
        <s v="James Young"/>
        <s v="Carla Combs"/>
        <s v="Christopher Spears"/>
        <s v="Tina Ray"/>
        <s v="Anthony Ortiz"/>
        <s v="Jason Stewart"/>
        <s v="Derek Dorsey"/>
        <s v="Angel Jones"/>
        <s v="Christopher Fowler"/>
        <s v="Angela Cook"/>
        <s v="Bradley Holt"/>
        <s v="Sandra Powers"/>
        <s v="Evan Campbell"/>
        <s v="Sylvia Villarreal"/>
        <s v="Matthew Hopkins"/>
        <s v="Charles Palmer"/>
        <s v="Michael Walters"/>
        <s v="Scott Smith"/>
        <s v="Nicole Jensen"/>
        <s v="Brent Dickerson"/>
        <s v="Jared Kemp"/>
        <s v="Dennis Gilbert"/>
        <s v="William Mcguire"/>
        <s v="Jesus Wagner"/>
        <s v="Jose Cooley"/>
        <s v="Andrew Clark"/>
        <s v="Evelyn Patterson"/>
        <s v="Maria Estes"/>
        <s v="Olivia Nichols"/>
        <s v="Nathaniel Jacobson"/>
        <s v="Kayla Clark"/>
        <s v="Lynn Benson"/>
        <s v="David Nunez"/>
        <s v="Lindsay Pierce"/>
        <s v="Dr. Jeffrey Barnes Jr."/>
        <s v="Kristie Roberts"/>
        <s v="Allison Harper"/>
        <s v="Heather Howard"/>
        <s v="Vickie King"/>
        <s v="Christopher Yoder"/>
        <s v="Matthew Nelson"/>
        <s v="Martin Lynch"/>
        <s v="David Hall"/>
        <s v="Tyler Adams DDS"/>
        <s v="William White"/>
        <s v="Travis Holmes"/>
        <s v="Amy Small"/>
        <s v="Katherine Gutierrez"/>
        <s v="Susan Hess"/>
        <s v="Kristen Thornton"/>
        <s v="Jerry Fisher"/>
        <s v="Elizabeth Miller"/>
        <s v="Reginald Grimes"/>
        <s v="Steven Smith"/>
        <s v="Matthew Jones"/>
        <s v="Kevin Kelley"/>
        <s v="Anthony Green"/>
        <s v="James Thompson"/>
        <s v="Lucas Torres"/>
        <s v="Amanda Alvarado"/>
        <s v="David Maxwell"/>
        <s v="Shannon Sanchez"/>
        <s v="Stacey Nguyen"/>
        <s v="Peter Wright"/>
        <s v="Susan Gaines"/>
        <s v="Richard Harris"/>
        <s v="Charles Fernandez"/>
        <s v="Kyle Williams MD"/>
        <s v="Sarah Ibarra"/>
        <s v="Jonathan Burns MD"/>
        <s v="Jennifer Miller"/>
        <s v="Dennis Robbins"/>
        <s v="Sean Rodgers"/>
        <s v="Nathan Payne"/>
        <s v="Kristina Gray"/>
        <s v="Regina Bryant"/>
        <s v="Karen Donovan"/>
        <s v="Amber Lopez"/>
        <s v="Vernon Diaz"/>
        <s v="Luke Nunez"/>
        <s v="Mary Williams"/>
        <s v="Gina Richards"/>
        <s v="Greg Scott"/>
        <s v="Rhonda Gilbert"/>
        <s v="Penny Bryant"/>
        <s v="Edward Webster"/>
        <s v="Brandon Flores"/>
        <s v="Courtney Crane"/>
        <s v="Eric Wallace"/>
        <s v="Nicole Norton"/>
        <s v="Angela Cunningham"/>
        <s v="Shari Foster"/>
        <s v="Beth Mckenzie"/>
        <s v="Evan Johnson"/>
        <s v="Wendy Rivera"/>
        <s v="Cindy Maxwell"/>
        <s v="Jay Barr"/>
        <s v="Lisa Long"/>
        <s v="Brianna Kelly"/>
        <s v="David Hanson"/>
        <s v="Karen Jones"/>
        <s v="Seth Burnett"/>
        <s v="Brian Mack"/>
        <s v="Joseph Barnes"/>
        <s v="Jonathan Edwards"/>
        <s v="Adam Hardy"/>
        <s v="Robert Ashley"/>
        <s v="Mary Vaughn"/>
        <s v="Steven Simmons"/>
        <s v="Mrs. Jessica Martinez"/>
        <s v="Erin Arias"/>
        <s v="Anthony Malone"/>
        <s v="Frederick White"/>
        <s v="Lisa Ruiz"/>
        <s v="Cody Rice"/>
        <s v="April Foster"/>
        <s v="Justin Russell"/>
        <s v="Emily Williamson"/>
        <s v="Veronica Christian"/>
        <s v="Monica Odonnell"/>
        <s v="Cody Berger"/>
        <s v="Jeffrey White"/>
        <s v="Stacey Burgess"/>
        <s v="Ethan Spencer"/>
        <s v="Jonathan Baker"/>
        <s v="Tonya Burton"/>
        <s v="Phillip Campos"/>
        <s v="Billy Rodgers"/>
        <s v="Sherri Campbell"/>
        <s v="Alex Neal"/>
        <s v="Mark Martin"/>
        <s v="James Smith"/>
        <s v="Amber Walker"/>
        <s v="Laura Pena"/>
        <s v="Tracy Wilson"/>
        <s v="Marie Reed"/>
        <s v="Philip Vaughn"/>
        <s v="Kyle Montes"/>
        <s v="Daniel Hurley"/>
        <s v="Nicole Young"/>
        <s v="Richard Webster"/>
        <s v="David Soto"/>
        <s v="Ashley Lane"/>
        <s v="Jennifer Brown"/>
        <s v="Kristen Aguirre"/>
        <s v="Kathryn Trevino"/>
        <s v="Amanda Ramos"/>
        <s v="Bryan Brock"/>
        <s v="Austin Henderson"/>
        <s v="Jessica Bruce MD"/>
        <s v="Kenneth Green"/>
        <s v="Justin Douglas"/>
        <s v="Stephanie Davis"/>
        <s v="Ronald Parker"/>
        <s v="Kevin Tucker"/>
        <s v="Katrina Allen"/>
        <s v="Alicia Lopez"/>
        <s v="Stephen Lopez"/>
        <s v="Alexandra Sims"/>
        <s v="Andrea Lee"/>
        <s v="Olivia Anderson"/>
        <s v="Johnathan Mcmahon"/>
        <s v="Deborah Lawson"/>
        <s v="Diana Boyd"/>
        <s v="Crystal Ritter"/>
        <s v="Carla Mcneil"/>
        <s v="Kenneth White"/>
        <s v="Henry Rogers"/>
        <s v="Meghan Bailey"/>
        <s v="Jason Phillips"/>
        <s v="Kelsey Simpson"/>
        <s v="Sarah Guerra"/>
        <s v="Tony Matthews"/>
        <s v="David Gonzalez"/>
        <s v="Michael Villanueva"/>
        <s v="David Poole"/>
        <s v="Rebecca Reed"/>
        <s v="Bryan Wu"/>
        <s v="James Quinn"/>
        <s v="Ryan Rich"/>
        <s v="Kirk Rich II"/>
        <s v="Andrew Neal"/>
        <s v="Susan Silva"/>
        <s v="Lynn York"/>
        <s v="Ellen Bush"/>
        <s v="Anthony Smith"/>
        <s v="Victoria Osborne"/>
        <s v="Craig Ray"/>
        <s v="Carlos Steele"/>
        <s v="Shane Green"/>
        <s v="Christopher Sharp"/>
        <s v="Joseph Chandler"/>
        <s v="Nicole Phelps"/>
        <s v="Lorraine Powers"/>
        <s v="Taylor Sullivan"/>
        <s v="Bruce Rivera"/>
        <s v="Jordan Shannon"/>
        <s v="Cindy Jones"/>
        <s v="Reginald Mckinney"/>
        <s v="Tiffany Hunt"/>
        <s v="Laura Hill"/>
        <s v="Angela Rogers"/>
        <s v="Ashley Bishop"/>
        <s v="Charles Harris"/>
        <s v="Brandon Richardson"/>
        <s v="Shane Wong"/>
        <s v="Michael Oliver"/>
        <s v="John Cooper"/>
        <s v="Daniel Freeman"/>
        <s v="Adriana Gould"/>
        <s v="Michael Mcbride"/>
        <s v="Ronald Edwards"/>
        <s v="Raymond Bowen"/>
        <s v="Jennifer Pope"/>
        <s v="Taylor Craig"/>
        <s v="Kristy Waters"/>
        <s v="Janice Jones"/>
        <s v="Joann Anderson"/>
        <s v="Christine Mejia"/>
        <s v="Pamela Reed"/>
        <s v="William Holmes"/>
        <s v="Heather Bowman"/>
        <s v="Amber Carpenter"/>
        <s v="Kimberly Castaneda"/>
        <s v="Jessica Vasquez"/>
        <s v="Joseph Robinson"/>
        <s v="Carrie Montes"/>
        <s v="Alexander Walters"/>
        <s v="Justin Paul"/>
        <s v="Mark Maynard"/>
        <s v="Randy Graham"/>
        <s v="Michael Jenkins"/>
        <s v="Amy Johnson"/>
        <s v="Kara Stevens"/>
        <s v="Chris Green"/>
        <s v="Kurt Hamilton"/>
        <s v="Richard Jones"/>
        <s v="Robert Perkins"/>
        <s v="Peter Nunez"/>
        <s v="Diane Richardson"/>
        <s v="Julia Monroe"/>
        <s v="Michael Palmer"/>
        <s v="Michael Webster"/>
        <s v="Christy Maxwell"/>
        <s v="Jorge Armstrong"/>
        <s v="Richard Rodgers"/>
        <s v="Nancy Sutton"/>
        <s v="Brittany Anderson"/>
        <s v="Heather Long"/>
        <s v="Amy Hawkins"/>
        <s v="Victor Fowler"/>
        <s v="Sharon Hall"/>
        <s v="Jeffrey Arellano"/>
        <s v="Kimberly Key"/>
        <s v="Tara Lopez"/>
        <s v="Angela Lara"/>
        <s v="Adam Bowers"/>
        <s v="Renee Odom"/>
        <s v="Amanda Morris"/>
        <s v="Gregory Oneill"/>
        <s v="Shane Russell"/>
        <s v="Rhonda Miller"/>
        <s v="Aaron Turner"/>
        <s v="Caitlin Jackson"/>
        <s v="Jeremy Stout"/>
        <s v="Eric English"/>
        <s v="Shirley Armstrong"/>
        <s v="Steve Anderson"/>
        <s v="Rhonda Lucas"/>
        <s v="Scott Adams DDS"/>
        <s v="Jason Dixon"/>
        <s v="Candice Gray"/>
        <s v="Michael Richardson"/>
        <s v="Megan Allen"/>
        <s v="Benjamin Cruz"/>
        <s v="Tracy Marks"/>
        <s v="Nathan Benjamin"/>
        <s v="Sara Cole"/>
        <s v="Stanley Moreno"/>
        <s v="Nina Smith"/>
        <s v="Michele Ramos"/>
        <s v="Luke York"/>
        <s v="Whitney Phillips"/>
        <s v="Donald Wagner"/>
        <s v="Lisa Fisher"/>
        <s v="Patrick Medina"/>
        <s v="Sheri Castro"/>
        <s v="Crystal Thornton"/>
        <s v="Frederick Arnold"/>
        <s v="Anna Atkinson"/>
        <s v="Dorothy Garcia"/>
        <s v="Karen Lynn"/>
        <s v="Rachel Lopez"/>
        <s v="Samuel Williams"/>
        <s v="Steven Rogers"/>
        <s v="Melanie Lloyd"/>
        <s v="Bobby Mayo"/>
        <s v="Fernando Hodge"/>
        <s v="John Rodriguez MD"/>
        <s v="Ashley Jackson"/>
        <s v="Samuel Hebert"/>
        <s v="Kenneth Watson"/>
        <s v="Jo Donaldson"/>
        <s v="Ronald Patrick"/>
        <s v="Lonnie Patton"/>
        <s v="Justin Clark"/>
        <s v="Charles Schmidt"/>
        <s v="Patricia Kidd"/>
        <s v="Christopher Fleming"/>
        <s v="Adrian Powell"/>
        <s v="Alexander Rivera"/>
        <s v="Pam Johnson"/>
        <s v="Tracy Howard"/>
        <s v="Matthew Taylor"/>
        <s v="Sharon Harding"/>
        <s v="Timothy Kim"/>
        <s v="Joshua Ross"/>
        <s v="Richard Andrews"/>
        <s v="Julie Warren"/>
        <s v="Angela Mathis"/>
        <s v="Beth Williams"/>
        <s v="Alejandra Williams"/>
        <s v="Jennifer Mitchell"/>
        <s v="Bradley Hunter"/>
        <s v="Todd Houston"/>
        <s v="Michael Grant"/>
        <s v="Kyle Gray"/>
        <s v="Sarah Jackson"/>
        <s v="Alyssa Cox"/>
        <s v="Angela Johnson"/>
        <s v="Debbie Browning"/>
        <s v="Brandy Nichols"/>
        <s v="Larry Collier"/>
        <s v="Kimberly Gregory"/>
        <s v="John Bryant"/>
        <s v="Anita Ortega"/>
        <s v="Timothy Johnson"/>
        <s v="Erica Gallagher"/>
        <s v="Megan Zimmerman"/>
        <s v="Kyle Nelson"/>
        <s v="Stephanie Howard"/>
        <s v="Joseph Powers"/>
        <s v="Kevin Mack"/>
        <s v="Savannah Mahoney"/>
        <s v="Taylor Juarez"/>
        <s v="Stephanie Thompson"/>
        <s v="Christopher Ross"/>
        <s v="Cassandra Howe"/>
        <s v="Raymond Mercer"/>
        <s v="Wendy Morgan"/>
        <s v="Michael Munoz"/>
        <s v="Frederick Smith"/>
        <s v="Ricky King"/>
        <s v="Richard Fox"/>
        <s v="Alexander Preston"/>
        <s v="Cole Harris"/>
        <s v="Kimberly Martinez"/>
        <s v="Zachary Lopez"/>
        <s v="Dwayne Bradley"/>
        <s v="Katherine Taylor"/>
        <s v="Laura Shaw"/>
        <s v="Stephanie Lamb"/>
        <s v="Sherry Parker"/>
        <s v="Daniel Johnson"/>
        <s v="Mr. Joseph Smith"/>
        <s v="Abigail Flores"/>
        <s v="Stacy Bender"/>
        <s v="John Moore"/>
        <s v="Michael Craig"/>
        <s v="Patrick Ross"/>
        <s v="Maureen Jones"/>
        <s v="Eric Beard"/>
        <s v="Colleen Lawrence"/>
        <s v="Stefanie Howard"/>
        <s v="Mark Wallace"/>
        <s v="Nichole Washington"/>
        <s v="Gabrielle Brown"/>
        <s v="Nicole Manning"/>
        <s v="Donna Callahan"/>
        <s v="Ashley Warner"/>
        <s v="Robert Gomez"/>
        <s v="Cody Shaw"/>
        <s v="Ryan Mclean"/>
        <s v="Preston Werner"/>
        <s v="Alexandra Kim"/>
        <s v="David Moore"/>
        <s v="John Barker"/>
        <s v="Michael Preston"/>
        <s v="Mark Brown"/>
        <s v="Alyssa Tapia"/>
        <s v="Kevin Chan"/>
        <s v="Gregory Braun"/>
        <s v="Todd Evans"/>
        <s v="Donald Hebert"/>
        <s v="Diana Lee"/>
        <s v="Cory Mitchell"/>
        <s v="Kelly Warren"/>
        <s v="Brian Wright"/>
        <s v="Alvin Guzman"/>
        <s v="John Whitney"/>
        <s v="Jennifer Snyder"/>
        <s v="Joshua Vargas"/>
        <s v="Calvin Evans"/>
        <s v="Olivia Morales"/>
        <s v="Jessica Leblanc"/>
        <s v="Lucas Woods"/>
        <s v="Ashley Steele"/>
        <s v="Jonathon Galvan"/>
        <s v="Ronald Stafford"/>
        <s v="Rebecca Davis"/>
        <s v="Kathleen Wheeler"/>
        <s v="Ryan Patterson"/>
        <s v="Amy Perry"/>
        <s v="Aaron Johnson"/>
        <s v="Christopher King"/>
        <s v="Debbie Peters"/>
        <s v="Dustin Russell"/>
        <s v="Michael Mcdaniel"/>
        <s v="Lisa Thompson"/>
        <s v="Tanya Gutierrez"/>
        <s v="Sonya Fletcher"/>
        <s v="Donald Maynard"/>
        <s v="George Thompson"/>
        <s v="Lisa Small"/>
        <s v="Robert Evans"/>
        <s v="Nathaniel Williams"/>
        <s v="Andrea Mitchell"/>
        <s v="Marie Glass"/>
        <s v="Monica Costa"/>
        <s v="Christian Allen"/>
        <s v="Tracy Sandoval"/>
        <s v="Kerry Johnson"/>
        <s v="Christopher Barnes"/>
        <s v="Michael Thomas"/>
        <s v="Lauren Hines"/>
        <s v="Kelly Spencer"/>
        <s v="Ellen Brown"/>
        <s v="Lauren Stevens"/>
        <s v="Heather Santiago"/>
        <s v="Janet Holt"/>
        <s v="Danielle Turner"/>
        <s v="Christopher Griffin"/>
        <s v="Daniel Lucero"/>
        <s v="Mitchell Kerr"/>
        <s v="Amanda Simmons"/>
        <s v="Bruce Moss"/>
        <s v="Crystal Schwartz"/>
        <s v="Brenda Clements"/>
        <s v="Melissa Tyler"/>
        <s v="Crystal Cortez"/>
        <s v="Anthony Sanchez"/>
        <s v="Daniel Molina"/>
        <s v="Andrea Roach"/>
        <s v="Nicholas Obrien"/>
        <s v="Elijah Potts"/>
        <s v="Raymond Watson"/>
        <s v="Daniel Padilla"/>
        <s v="Sydney Garcia"/>
        <s v="Alexander Mcintosh"/>
        <s v="Jacob Cabrera"/>
        <s v="Alex Davis"/>
        <s v="Megan Cohen"/>
        <s v="Victoria Horton"/>
        <s v="Joshua Graham"/>
        <s v="David Lee"/>
        <s v="Nicole Craig"/>
        <s v="Taylor Gregory"/>
        <s v="Raven Turner"/>
        <s v="Lisa Adams"/>
        <s v="Angela Brown"/>
        <s v="Amber Martinez"/>
        <s v="Richard Martin"/>
        <s v="Michael Owens"/>
        <s v="Mr. Brendan Young"/>
        <s v="Kenneth Brown"/>
        <s v="Travis Johnson"/>
        <s v="Michael Mcdowell"/>
        <s v="Denise Rivera"/>
        <s v="Matthew Lopez"/>
        <s v="Jason Williams"/>
        <s v="Thomas Schwartz"/>
        <s v="Joseph Cole"/>
        <s v="Dustin Mcdaniel"/>
        <s v="Jennifer Bennett"/>
        <s v="John Bush"/>
        <s v="Sheila Schwartz"/>
        <s v="Mrs. Stephanie Miller"/>
        <s v="Eric Haynes"/>
        <s v="Kimberly Bernard"/>
        <s v="Deborah Mccarthy"/>
        <s v="Angela Massey"/>
        <s v="Ian Davenport"/>
        <s v="Vanessa Mclaughlin"/>
        <s v="Brandon Crawford"/>
        <s v="Jordan Martinez"/>
        <s v="Sara Simmons"/>
        <s v="Timothy Guerra"/>
        <s v="Robert Wyatt"/>
        <s v="Craig Hunt"/>
        <s v="Wanda Sanchez"/>
        <s v="Scott Kennedy"/>
        <s v="Julian Hernandez"/>
        <s v="Mary Richardson"/>
        <s v="Karen Oconnor"/>
        <s v="Tasha Meyer"/>
        <s v="Jose Smith"/>
        <s v="Mr. Zachary Williams"/>
        <s v="Dennis Cabrera"/>
        <s v="Michelle Perez"/>
        <s v="Joy Lewis"/>
        <s v="Rodney Hall"/>
        <s v="Sydney Robbins"/>
        <s v="Daniel Watkins"/>
        <s v="Kimberly Freeman"/>
        <s v="Mrs. Lisa Lucas DVM"/>
        <s v="Rachel Wallace"/>
        <s v="Jamie Bright"/>
        <s v="Jimmy Savage"/>
        <s v="Debra Everett"/>
        <s v="Kim Dean"/>
        <s v="Joy Rojas"/>
        <s v="Ashley Petersen"/>
        <s v="Daniel Barnes"/>
        <s v="Jennifer Taylor"/>
        <s v="Kerri Wright"/>
        <s v="Nicholas Fuller"/>
        <s v="Ryan Hall"/>
        <s v="Emma Kramer"/>
        <s v="Donna Jones"/>
        <s v="Sean White"/>
        <s v="Kurt Scott"/>
        <s v="Zachary Crawford"/>
        <s v="Jasmine Zimmerman"/>
        <s v="Brenda White"/>
        <s v="Steven Mills"/>
        <s v="Theresa Martin"/>
        <s v="Steve Hood"/>
        <s v="Maria Morales"/>
        <s v="John King"/>
        <s v="Thomas Miranda"/>
        <s v="Kimberly Malone"/>
        <s v="Destiny Nichols"/>
        <s v="Michael Johnson"/>
        <s v="Christopher Jones"/>
        <s v="Lauren Mendoza"/>
        <s v="Janet Pratt"/>
        <s v="Debbie Johnson"/>
        <s v="Isaiah Foster"/>
        <s v="Ryan Kim"/>
        <s v="Emma Costa"/>
        <s v="Michelle Brown"/>
        <s v="Curtis Gonzalez"/>
        <s v="Chelsea Alvarado"/>
        <s v="Joseph Howell"/>
        <s v="Eric Hudson"/>
        <s v="Gary Ramos"/>
        <s v="Stephanie Melendez"/>
        <s v="Derek Gonzalez"/>
        <s v="Mary Henry"/>
        <s v="Michele Roy"/>
        <s v="Glenn Riggs"/>
        <s v="Andrea White"/>
        <s v="Gregory James"/>
        <s v="Blake Thomas"/>
        <s v="David Sanchez"/>
        <s v="Mary Jacobs"/>
        <s v="Tina Francis"/>
        <s v="Jamie Green"/>
        <s v="Willie Bonilla"/>
        <s v="Steven Moore"/>
        <s v="Karen White"/>
        <s v="Mitchell Ayala"/>
        <s v="Scott Costa"/>
        <s v="Kimberly Johnson"/>
        <s v="Christopher Thompson"/>
        <s v="Melissa Miller"/>
        <s v="Bethany Smith"/>
        <s v="Molly Russell"/>
        <s v="Allen Estes"/>
        <s v="Anthony Daniels"/>
        <s v="Robert Bailey"/>
        <s v="Donald Hendrix"/>
        <s v="Teresa Olson"/>
        <s v="Gina Coffey"/>
        <s v="Jennifer Johnson"/>
        <s v="William Waters"/>
        <s v="Julia Dominguez"/>
        <s v="Aaron Fox"/>
        <s v="Robert Hartman"/>
        <s v="Jordan Gordon"/>
        <s v="Marcus Warren"/>
        <s v="Rita Sandoval"/>
        <s v="Crystal Smith"/>
        <s v="Laura Taylor"/>
        <s v="Michelle Evans"/>
        <s v="Paula Gray"/>
        <s v="Clayton Thomas"/>
        <s v="Amy Garcia"/>
        <s v="Trevor Farrell"/>
        <s v="Nicole Perez"/>
        <s v="Ann Alvarez"/>
        <s v="Mrs. Hannah Davis MD"/>
        <s v="Natalie Bauer"/>
        <s v="Darlene Carr"/>
        <s v="Jerry Ward"/>
        <s v="Christina Baker"/>
        <s v="Erin Ross"/>
        <s v="John Woodard"/>
        <s v="Haley Williams"/>
        <s v="James Webb"/>
        <s v="Kyle Brown"/>
        <s v="Jared Schmitt"/>
        <s v="Jasmine Lawrence"/>
        <s v="Jacob Marshall"/>
        <s v="David Harding"/>
        <s v="Luke Santiago"/>
        <s v="Elizabeth Boone"/>
        <s v="Courtney Gonzalez"/>
        <s v="Amy Miles"/>
        <s v="Tiffany Myers"/>
        <s v="Alex Herrera"/>
        <s v="Michael Middleton"/>
        <s v="Tracy Johnson DDS"/>
        <s v="Deanna Gonzalez"/>
        <s v="Brianna Allen"/>
        <s v="Christopher Anderson"/>
        <s v="Robert Moore"/>
        <s v="Tiffany Moody"/>
        <s v="Laura Hunt"/>
        <s v="Joseph Good"/>
        <s v="Ian Tyler"/>
        <s v="Marie Case"/>
        <s v="Charlene Lewis"/>
        <s v="Connor Simmons"/>
        <s v="Elizabeth Herrera"/>
        <s v="Reginald Jimenez"/>
        <s v="Brett Schaefer"/>
        <s v="Allison Campbell"/>
        <s v="Brittany Hunt"/>
        <s v="Corey Webb"/>
        <s v="Jesse Waters"/>
        <s v="Alexis Brown"/>
        <s v="Aaron Walker"/>
        <s v="Matthew Kane"/>
        <s v="Anna Buckley"/>
        <s v="Christina Perry"/>
        <s v="Amber Valdez"/>
        <s v="Jeremiah Bender"/>
        <s v="David Navarro"/>
        <s v="Brian Elliott"/>
        <s v="Jonathan Austin"/>
        <s v="Ashley English"/>
        <s v="Yolanda Harris"/>
        <s v="Arthur Barker"/>
        <s v="Laura Russo"/>
        <s v="Jeff Perez"/>
        <s v="Alejandra Clark"/>
        <s v="Dawn Harding"/>
        <s v="Alexander Stewart"/>
        <s v="Christopher Bentley"/>
        <s v="Juan Barnett"/>
        <s v="Christopher Fitzpatrick"/>
        <s v="Sarah Hill"/>
        <s v="Melissa Reyes"/>
        <s v="Robert Gill"/>
        <s v="Patrick Parrish"/>
        <s v="Kimberly Tucker"/>
        <s v="Nancy Watson"/>
        <s v="Brenda Torres MD"/>
        <s v="Dawn Rodriguez"/>
        <s v="Lauren Lowe"/>
        <s v="Scott Meyer"/>
        <s v="Evan George"/>
        <s v="James Bray"/>
        <s v="Christine Hines"/>
        <s v="Allison Roberson"/>
        <s v="Cynthia Martin"/>
        <s v="Lynn Miller"/>
        <s v="Julie Jones"/>
        <s v="John Gaines"/>
        <s v="Erik Woods"/>
        <s v="Carol Moore"/>
        <s v="Hailey Jackson"/>
        <s v="Frank Stephens"/>
        <s v="Karen Rodriguez MD"/>
        <s v="Sarah Lawrence"/>
        <s v="Allison Ruiz"/>
        <s v="Phillip Green"/>
        <s v="John Moody"/>
        <s v="Diane Hood"/>
        <s v="Kathryn Guerra"/>
        <s v="Melissa Weeks"/>
        <s v="John White"/>
        <s v="John Long"/>
        <s v="Tammy Cisneros"/>
        <s v="Benjamin Taylor"/>
        <s v="Nichole Rodriguez"/>
        <s v="Jenna Larson"/>
        <s v="Joseph Dixon"/>
        <s v="Derrick Martinez"/>
        <s v="Maurice Dunn"/>
        <s v="Jesus Mitchell"/>
        <s v="Gerald Chase"/>
        <s v="Dr. Joseph Mitchell"/>
        <s v="Edward Burgess"/>
        <s v="Christian Dawson"/>
        <s v="Sarah Lopez"/>
        <s v="James Barnes"/>
        <s v="Caroline Castillo"/>
        <s v="Daniel Contreras"/>
        <s v="Amy Roberts"/>
        <s v="Susan Brown"/>
        <s v="Alexandra Pena"/>
        <s v="Russell Cox"/>
        <s v="Brenda Chavez"/>
        <s v="Angela Sweeney"/>
        <s v="Cheryl Hamilton"/>
        <s v="Maurice Ramos"/>
        <s v="Aaron Pace"/>
        <s v="Collin Gaines"/>
        <s v="Mary Moore"/>
        <s v="Maria Parker"/>
        <s v="Yvonne Santana"/>
        <s v="Ashley Johnson"/>
        <s v="James Bryan"/>
        <s v="Amy Mcdonald"/>
        <s v="Ricky Mccormick"/>
        <s v="Brandon Mejia"/>
        <s v="Meghan Hardin"/>
        <s v="Roberta Garcia"/>
        <s v="Kevin Oliver"/>
        <s v="Maria Brown PhD"/>
        <s v="Samantha Banks"/>
        <s v="Kathleen Lawrence"/>
        <s v="Savannah Herrera"/>
        <s v="Seth Kennedy"/>
        <s v="Brandon Dixon"/>
        <s v="Elizabeth Nixon"/>
        <s v="Sheena Weaver"/>
        <s v="Ashley Walters"/>
        <s v="Christopher Green"/>
        <s v="Jacqueline Bowman"/>
        <s v="Julie Nelson"/>
        <s v="David Simmons"/>
        <s v="Jack Reilly"/>
        <s v="Leah Guerra"/>
        <s v="Eric Simpson"/>
        <s v="Debra Johnson"/>
        <s v="Amanda Miller"/>
        <s v="Pamela Harris"/>
        <s v="Krystal Bowman"/>
        <s v="Joshua Jones"/>
        <s v="Tyler Pearson"/>
        <s v="Sharon Morris"/>
        <s v="Erika Gordon"/>
        <s v="David Sims"/>
        <s v="Brianna Mccoy"/>
        <s v="Michelle James"/>
        <s v="Victor Dixon"/>
        <s v="Ryan Andersen"/>
        <s v="William Mcdonald"/>
        <s v="Melanie Ortiz"/>
        <s v="Bonnie Johnson"/>
        <s v="Jeremy Vaughn"/>
        <s v="Tiffany Dickerson"/>
        <s v="William Fisher"/>
        <s v="Matthew Medina"/>
        <s v="Molly Rios"/>
        <s v="Michelle Gilbert"/>
        <s v="Nina Stephens"/>
        <s v="Angela Richard"/>
        <s v="Andrew Collins"/>
        <s v="Meghan Mccullough"/>
        <s v="Antonio Mcdonald"/>
        <s v="Dawn Ward"/>
        <s v="Randy Shea"/>
        <s v="Steven Morales"/>
        <s v="Robert Garcia"/>
        <s v="Cynthia Wright"/>
        <s v="Phillip Harris"/>
        <s v="Christopher Johnson"/>
        <s v="Timothy Salazar"/>
        <s v="Tamara Mckee"/>
        <s v="Brittney Roberson"/>
        <s v="Robert Mack"/>
        <s v="Michelle Jackson"/>
        <s v="David Johnson"/>
        <s v="Deborah Kennedy"/>
        <s v="Johnny Reed"/>
        <s v="Steven Hubbard"/>
        <s v="Anna Gallagher"/>
        <s v="Christian Richardson"/>
        <s v="Chris Klein"/>
        <s v="Joshua Schwartz"/>
        <s v="Todd Lowe"/>
        <s v="Susan Hansen"/>
        <s v="Dennis Torres"/>
        <s v="Chad Newman"/>
        <s v="Raven Lewis"/>
        <s v="Phillip Huff"/>
        <s v="Kristen Woods"/>
        <s v="Mrs. Olivia Wood DVM"/>
        <s v="Richard Rodriguez"/>
        <s v="Michael Brown"/>
        <s v="Diana Willis"/>
        <s v="Eric Colon"/>
        <s v="Renee Wilson"/>
        <s v="Samantha Baker"/>
        <s v="Erica Mckay"/>
        <s v="Kenneth Jackson"/>
        <s v="Erin Thomas"/>
        <s v="Luis Pierce"/>
        <s v="Jessica Williams"/>
        <s v="Lisa Williams"/>
        <s v="Ronald Dawson"/>
        <s v="Michelle Lam"/>
        <s v="Wayne Robbins"/>
        <s v="Lucas Rodriguez"/>
        <s v="Cody Hernandez"/>
        <s v="Ashley Lynch"/>
        <s v="James Ryan"/>
        <s v="Dr. Thomas Chan Jr."/>
        <s v="John Rivera"/>
        <s v="Lindsay Castaneda"/>
        <s v="Dr. Jacob Aguilar"/>
        <s v="James Thomas"/>
        <s v="Carla Davis"/>
        <s v="Leslie Hernandez"/>
        <s v="Charles Webb"/>
        <s v="Kimberly Woodward"/>
        <s v="Crystal Williams"/>
        <s v="Steven Nicholson"/>
        <s v="Jonathan Morris"/>
        <s v="Maxwell Andrews"/>
        <s v="Bryan Ross"/>
        <s v="Tracy Miller"/>
        <s v="Thomas Jackson"/>
        <s v="Ryan Callahan"/>
        <s v="Mason Santana"/>
        <s v="Amanda Fletcher"/>
        <s v="Stephen Sweeney"/>
        <s v="William Ryan"/>
        <s v="Toni Frazier"/>
        <s v="Lori Kelley"/>
        <s v="Sean Scott"/>
        <s v="Eric Crawford"/>
        <s v="Michael Kelley"/>
        <s v="Matthew Gonzalez"/>
        <s v="Michael Riley"/>
        <s v="Jonathan Harris"/>
        <s v="Pamela Bartlett"/>
        <s v="Ethan Li"/>
        <s v="Jessica Neal"/>
        <s v="Angel Smith"/>
        <s v="Michelle Torres"/>
        <s v="Shannon David"/>
        <s v="Jason Davis"/>
        <s v="Stephanie Dillon"/>
        <s v="Mary Anderson"/>
        <s v="Terry Norris"/>
        <s v="Miss Sandra Tyler DVM"/>
        <s v="Amy Young"/>
        <s v="Megan Davis"/>
        <s v="Jeffrey Jacobs"/>
        <s v="Steve Johnson"/>
        <s v="Linda Anderson"/>
        <s v="Dale Ford"/>
        <s v="Kathleen Diaz"/>
        <s v="Amanda Williams"/>
        <s v="Monica Sanders"/>
        <s v="Dr. Pamela Ramos"/>
        <s v="Jennifer Henry"/>
        <s v="Heather Rowe"/>
        <s v="Andrew Jackson"/>
        <s v="Beth Porter"/>
        <s v="Hunter Sparks"/>
        <s v="Amy Stafford"/>
        <s v="Alexis Gonzales"/>
        <s v="Amanda Murray"/>
        <s v="Jennifer Evans"/>
        <s v="Harold Griffin"/>
        <s v="Vanessa Roberts"/>
        <s v="Cameron Campbell"/>
        <s v="Denise Gardner"/>
        <s v="Lindsey Hale DDS"/>
        <s v="Seth Rivers"/>
        <s v="Christine Morris"/>
        <s v="Jeffrey Edwards"/>
        <s v="Gwendolyn Clayton"/>
        <s v="James Bailey"/>
        <s v="Jonathan Berry"/>
        <s v="Lindsey Craig"/>
        <s v="William Patel"/>
        <s v="Casey Long"/>
        <s v="Benjamin Anthony"/>
        <s v="Raymond Roberts"/>
        <s v="Sonya Costa"/>
        <s v="Ashley Vincent"/>
        <s v="Linda Diaz"/>
        <s v="Ashley Wilson"/>
        <s v="Jessica Smith"/>
        <s v="Adam Richardson"/>
        <s v="Natasha Sutton"/>
        <s v="Krista Peterson"/>
        <s v="Timothy Hendricks"/>
        <s v="Nancy Thomas"/>
        <s v="Shawn Peters"/>
        <s v="Christopher Gonzalez"/>
        <s v="Mary Brown"/>
        <s v="Emily Miller"/>
        <s v="James George"/>
        <s v="Molly Andrade"/>
        <s v="Derek Fuentes"/>
        <s v="Dylan Reyes"/>
        <s v="Kenneth Nichols"/>
        <s v="Ronald Phillips"/>
        <s v="Jerry Payne"/>
        <s v="Elizabeth Rodriguez MD"/>
        <s v="April Williams"/>
        <s v="Michelle Dunn"/>
        <s v="Rebekah Prince"/>
        <s v="Christopher Mitchell"/>
        <s v="Shannon Crawford"/>
        <s v="Jacob Harris"/>
        <s v="Julie Smith"/>
        <s v="Sean Chambers"/>
        <s v="Paul Stevenson"/>
        <s v="Leslie Kennedy"/>
        <s v="Caleb Hernandez"/>
        <s v="Kristin Hernandez"/>
        <s v="Sean Lawson"/>
        <s v="Michael Romero"/>
        <s v="Jennifer White"/>
        <s v="Pam Hensley"/>
        <s v="Jason Weaver"/>
        <s v="Derek Phillips"/>
        <s v="Diana Jimenez"/>
        <s v="Brandy Burns"/>
        <s v="Alexandra Hayes"/>
        <s v="Anthony Dennis"/>
        <s v="Craig Cox"/>
        <s v="Darlene Poole"/>
        <s v="Natalie Little"/>
        <s v="Christian Todd"/>
        <s v="Christina Wolf"/>
        <s v="Joseph Robbins"/>
        <s v="Douglas Murphy"/>
        <s v="Steven Little"/>
        <s v="Shane Lyons"/>
        <s v="Travis Irwin"/>
        <s v="Catherine Mora"/>
        <s v="Christine King"/>
        <s v="Christopher Mccann"/>
        <s v="Amy Bullock"/>
        <s v="Marcus Strong"/>
        <s v="Rachel Brennan"/>
        <s v="Kristen Chambers"/>
        <s v="Michael Rollins"/>
        <s v="Miss Kristen Valdez"/>
        <s v="Laura Reed"/>
        <s v="Noah Valdez"/>
        <s v="Eric Keith"/>
        <s v="Karen Smith"/>
        <s v="Anthony Jensen"/>
        <s v="Taylor Moore"/>
        <s v="Logan Kaiser"/>
        <s v="David Haynes"/>
        <s v="Glenn Newman"/>
        <s v="Connie Caldwell MD"/>
        <s v="Allison Clayton"/>
        <s v="Danny Parks"/>
        <s v="Shannon Clarke"/>
        <s v="Jessica Reed"/>
        <s v="Willie Mccall"/>
        <s v="Brian Jones"/>
        <s v="Kevin Craig"/>
        <s v="Carmen Moody"/>
        <s v="Wesley Tucker"/>
        <s v="Tina Lewis"/>
        <s v="Kelly Simmons"/>
        <s v="Steven Mcmillan"/>
        <s v="Sean Davis"/>
        <s v="Jeffrey Davis"/>
        <s v="Kimberly Cross"/>
        <s v="Deanna Thomas"/>
        <s v="Mary Weiss"/>
        <s v="Cheyenne Garcia"/>
        <s v="John Fernandez"/>
        <s v="Joseph Hill"/>
        <s v="Melanie Wilson"/>
        <s v="Judith Gross"/>
        <s v="Nicholas Murray"/>
        <s v="Jose Moore"/>
        <s v="Gloria Burns"/>
        <s v="Kathy Shelton"/>
        <s v="Brandi Kirby"/>
        <s v="Kayla Bridges"/>
        <s v="James Hamilton"/>
        <s v="Joshua Mccoy"/>
        <s v="Krystal Wilson"/>
        <s v="Richard Welch"/>
        <s v="Edward Montgomery"/>
        <s v="Victoria Simmons"/>
        <s v="Brent Lee"/>
        <s v="Ronald Burch"/>
        <s v="Tara Bender"/>
        <s v="William Aguilar"/>
        <s v="Ann Rodriguez"/>
        <s v="Bethany Jones"/>
        <s v="William Sharp"/>
        <s v="Bradley Walker"/>
        <s v="Ryan Allen"/>
        <s v="Patricia Reed"/>
        <s v="Kevin Davis"/>
        <s v="Monique Miller"/>
        <s v="Sharon Campbell"/>
        <s v="Miss Tammy Robinson MD"/>
        <s v="David Bartlett"/>
        <s v="Jennifer Reese"/>
        <s v="John Parsons"/>
        <s v="Curtis Mckay"/>
        <s v="Kimberly Nunez"/>
        <s v="Charles Johnson"/>
        <s v="Jillian Bauer"/>
        <s v="Erik Andrade"/>
        <s v="Christian Hall"/>
        <s v="Andrew Green"/>
        <s v="Joseph Davis"/>
        <s v="Jason Costa"/>
        <s v="Darrell Riley"/>
        <s v="Mary Oliver"/>
        <s v="Dale Lang"/>
        <s v="Scott Gibson"/>
        <s v="William Henry"/>
        <s v="Daniel Allen"/>
        <s v="Barbara Gamble"/>
        <s v="Alex Carroll"/>
        <s v="Elijah Rivera"/>
        <s v="Natalie Elliott"/>
        <s v="Earl Johnson"/>
        <s v="Joshua Adams"/>
        <s v="Annette Williams"/>
        <s v="Jacqueline Fry"/>
        <s v="Deanna Wade"/>
        <s v="Gregory Harvey"/>
        <s v="Donna Carr"/>
        <s v="Erika Bright"/>
        <s v="Jennifer Jones"/>
        <s v="Erik Lambert DVM"/>
        <s v="Sherry Vazquez"/>
        <s v="Bryan Hill"/>
        <s v="Anthony Howell"/>
        <s v="Benjamin Ritter"/>
        <s v="Benjamin Turner"/>
        <s v="Leslie Smith"/>
        <s v="Joseph Brooks"/>
        <s v="Carla Curtis"/>
        <s v="Allen Salas"/>
        <s v="Stephen Mills"/>
        <s v="Carol West"/>
        <s v="Richard Gonzalez"/>
        <s v="James Navarro"/>
        <s v="Holly Smith"/>
        <s v="Bradley Smith"/>
        <s v="Roberta Carter"/>
        <s v="Brian Drake"/>
        <s v="Benjamin Mcconnell"/>
        <s v="Brittany Dixon"/>
        <s v="Rose Meyers"/>
        <s v="Amy Davenport"/>
        <s v="Jeffrey Bruce"/>
        <s v="James Mcguire"/>
        <s v="Kim Miller"/>
        <s v="Tiffany Moore"/>
        <s v="Brian Davis"/>
        <s v="Travis Ross"/>
        <s v="Tracy Wells"/>
        <s v="Elizabeth Carter"/>
        <s v="Michele Haynes"/>
        <s v="Jessica Brown"/>
        <s v="Tamara Miles"/>
        <s v="Brianna Tucker"/>
        <s v="Rachel House"/>
        <s v="Austin Thompson"/>
        <s v="Edward Garza"/>
        <s v="Adrienne Stevens"/>
        <s v="Zoe Avery"/>
        <s v="Stephanie Harrison"/>
        <s v="Natalie Banks"/>
        <s v="Stephanie Vazquez"/>
        <s v="Keith Henry"/>
        <s v="Michael Harvey"/>
        <s v="Leslie Hines"/>
        <s v="Donald Sherman"/>
        <s v="Kelsey Davis"/>
        <s v="Jay Hernandez"/>
        <s v="Michael Strickland"/>
        <s v="Jennifer Gibson"/>
        <s v="Joann Hunter"/>
        <s v="Sarah Hahn"/>
        <s v="David Elliott"/>
        <s v="Steven Dawson"/>
        <s v="Michael Hernandez"/>
        <s v="Chad Campbell"/>
        <s v="Daniel Wong"/>
        <s v="Jane Davis"/>
        <s v="Heather Lee"/>
        <s v="Lisa Peters"/>
        <s v="Aaron Ryan"/>
        <s v="Kenneth Ponce"/>
        <s v="Devin Marshall"/>
        <s v="Sara Butler"/>
        <s v="Jeffrey Wood"/>
        <s v="Melissa Hansen"/>
        <s v="Mrs. Emma Johnson"/>
        <s v="Jeffrey Hodges"/>
        <s v="Deborah Jones"/>
        <s v="Sarah Jennings"/>
        <s v="Christine Short"/>
        <s v="Eileen Delgado"/>
        <s v="Emily Holt"/>
        <s v="Zachary Stanley"/>
        <s v="Robert Parsons"/>
        <s v="Courtney Taylor"/>
        <s v="Brandy Bailey"/>
        <s v="Keith Wilson"/>
        <s v="Lisa Cowan"/>
        <s v="Sean Hodges"/>
        <s v="Andre Morris"/>
        <s v="Rachel Clark"/>
        <s v="Judith Maxwell"/>
        <s v="Brad Pollard"/>
        <s v="James Myers"/>
        <s v="Andrew Nolan"/>
        <s v="Erica Sampson"/>
        <s v="Catherine Hansen"/>
        <s v="Sharon Howell"/>
        <s v="Dawn Wallace"/>
        <s v="Melissa Jones"/>
        <s v="Rachel Phillips"/>
        <s v="Keith Robinson"/>
        <s v="Christopher Marquez"/>
        <s v="Madeline Robinson"/>
        <s v="Gregory Pena"/>
        <s v="Tony Carroll"/>
        <s v="Megan Booth"/>
        <s v="Alexis Espinoza"/>
        <s v="Brittany Melendez"/>
        <s v="Dr. Jennifer Houston"/>
        <s v="Jessica Eaton"/>
        <s v="Andrea Rodriguez"/>
        <s v="Kathryn Ochoa"/>
        <s v="Larry King"/>
        <s v="Mary Sheppard"/>
        <s v="Samantha Gray"/>
        <s v="Christopher Howe"/>
        <s v="Lindsey Arias"/>
        <s v="Steven Benson"/>
        <s v="Laurie Gates"/>
        <s v="Dr. Catherine Smith DDS"/>
        <s v="John May"/>
        <s v="Michael Clark"/>
        <s v="Todd French"/>
        <s v="Kyle Sandoval"/>
        <s v="Natalie Stark"/>
        <s v="Mary Butler"/>
        <s v="Melissa Hanson"/>
        <s v="Nicole Knox"/>
        <s v="Rachel Aguirre"/>
        <s v="Brenda Peterson"/>
        <s v="Adam Whitehead"/>
        <s v="Jose Maldonado"/>
        <s v="Travis Whitaker"/>
        <s v="Johnny Miller"/>
        <s v="Brian Barnes"/>
        <s v="Natalie Savage"/>
        <s v="Amanda Gibson"/>
        <s v="Justin Garrett"/>
        <s v="Todd Spears"/>
        <s v="Molly Pierce"/>
        <s v="Henry Baxter"/>
        <s v="Amanda Meza"/>
        <s v="John Marquez"/>
        <s v="Brandy Henderson"/>
        <s v="Phillip Ortega"/>
        <s v="Sara Woods"/>
        <s v="Eric Meyers"/>
        <s v="Allen Willis"/>
        <s v="Melanie Johnson"/>
        <s v="Jerry Lopez"/>
        <s v="Christina Griffith"/>
        <s v="Alan Morris"/>
        <s v="Brandon Harrison"/>
        <s v="Heather Lin"/>
        <s v="Kristen Baker"/>
        <s v="Erica Roberts"/>
        <s v="Rebecca West"/>
        <s v="Brittany Green"/>
        <s v="Christopher Davis"/>
        <s v="Mr. Jay Wright"/>
        <s v="Stephanie Gibson"/>
        <s v="Lauren Montgomery"/>
        <s v="Frances Contreras"/>
        <s v="Christina Newman"/>
        <s v="Janet Hall"/>
        <s v="Melanie Anderson"/>
        <s v="Victoria Porter"/>
        <s v="Christine Grant"/>
        <s v="Dr. Gary Anderson"/>
        <s v="Kelly Aguirre"/>
        <s v="Audrey Zimmerman DDS"/>
        <s v="Todd Faulkner"/>
        <s v="Deborah Mann"/>
        <s v="Mariah Cook"/>
        <s v="Alison Humphrey"/>
        <s v="Rhonda Dennis"/>
        <s v="Evelyn Boyd"/>
        <s v="Alan Fletcher"/>
        <s v="Shannon Huang"/>
        <s v="James Warren"/>
        <s v="Jason Ortega"/>
        <s v="Frank Palmer"/>
        <s v="Kristen Carroll"/>
        <s v="David Harrington"/>
        <s v="Robert Esparza"/>
        <s v="Melanie Dunn"/>
        <s v="Tara Martinez"/>
        <s v="David Michael"/>
        <s v="Melvin May"/>
        <s v="Veronica Owens"/>
        <s v="Bryan Wilcox"/>
        <s v="Larry Ortiz"/>
        <s v="Tonya Hughes"/>
        <s v="Renee Rogers"/>
        <s v="Tara Martin"/>
        <s v="Charles Ellis"/>
        <s v="Rhonda Moore"/>
        <s v="Mary Archer"/>
        <s v="Samantha Lewis"/>
        <s v="Stephen Rogers"/>
        <s v="Michael Harris"/>
        <s v="Brian Rodriguez"/>
        <s v="Hannah Lindsey"/>
        <s v="James Williamson"/>
        <s v="Andrea Hawkins"/>
        <s v="Stephanie Valentine"/>
        <s v="Richard Austin"/>
        <s v="Michael Olson"/>
        <s v="Kathleen Rowe"/>
        <s v="Paul Phillips"/>
        <s v="Michael Roach"/>
        <s v="Jacqueline Waters"/>
        <s v="Brett Dalton"/>
        <s v="Keith Snyder"/>
        <s v="Robin Cruz"/>
        <s v="David Jones"/>
        <s v="Adrian Oconnell"/>
        <s v="Victoria Hopkins"/>
        <s v="Heather Green"/>
        <s v="John Freeman"/>
        <s v="Teresa Dennis"/>
        <s v="Samuel Cochran"/>
        <s v="Mrs. Laura Hendrix DDS"/>
        <s v="Emily Brown"/>
        <s v="Hannah Mitchell"/>
        <s v="Michelle Johns"/>
        <s v="Shannon Case"/>
        <s v="Carol Kelly"/>
        <s v="Brandon Phillips"/>
        <s v="Shannon Leonard"/>
        <s v="Justin Santana"/>
        <s v="Laura Lyons"/>
        <s v="James Stout"/>
        <s v="Anthony Hatfield"/>
        <s v="Emily Smith"/>
        <s v="Susan Thompson"/>
        <s v="Danielle Cox"/>
        <s v="Kimberly Murphy"/>
        <s v="Logan Davidson"/>
        <s v="Kristina Montoya"/>
        <s v="Mason Fernandez"/>
        <s v="Jennifer Walker"/>
        <s v="Lee Meyers"/>
        <s v="Michael Bowen"/>
        <s v="Gregory Rodriguez"/>
        <s v="Jessica Schroeder"/>
        <s v="Jeremy Thompson"/>
        <s v="Kevin Hampton"/>
        <s v="Matthew Wells"/>
        <s v="Brent Fry"/>
        <s v="Stacy Clark"/>
        <s v="Jessica Spencer"/>
        <s v="Wendy Peters"/>
        <s v="Joseph Cunningham"/>
        <s v="Erika Johnson"/>
        <s v="Megan Flores"/>
        <s v="Brittany Livingston"/>
        <s v="Rhonda Davis DVM"/>
        <s v="Robert Jimenez"/>
        <s v="Todd Smith"/>
        <s v="Scott Ross"/>
        <s v="Paul Lee"/>
        <s v="Emily Kelly"/>
        <s v="Jason Valenzuela"/>
        <s v="Katherine Roman"/>
        <s v="Justin Brown"/>
        <s v="Keith Silva"/>
        <s v="James Gutierrez"/>
        <s v="Robyn Allen"/>
        <s v="Jeremy Morales"/>
        <s v="Angel Moore"/>
        <s v="Brandon Simon"/>
        <s v="Andrea Chambers"/>
        <s v="Andrea Compton"/>
        <s v="Mark Johns"/>
        <s v="Diana Simmons"/>
        <s v="Cassandra Hatfield"/>
        <s v="John Pope"/>
        <s v="Katherine Chavez"/>
        <s v="Kristen Smith"/>
        <s v="Christopher Edwards"/>
        <s v="Jeffrey Warner"/>
        <s v="Paul Davis"/>
        <s v="Chelsey Willis"/>
        <s v="Brandon Bowman"/>
        <s v="Chelsea Wang"/>
        <s v="Stephen Hardy"/>
        <s v="Katherine Martinez"/>
        <s v="Matthew Mann"/>
        <s v="Mark Castillo"/>
        <s v="Jason Gibson"/>
        <s v="Michelle Cummings"/>
        <s v="Richard Boyd"/>
        <s v="Stephanie Boyle"/>
        <s v="Daniel White"/>
        <s v="Melissa Ayers DDS"/>
        <s v="Alison Hampton"/>
        <s v="David West"/>
        <s v="Christopher Lewis"/>
        <s v="Katie Oliver"/>
        <s v="Jonathan Levy"/>
        <s v="Jennifer Benson"/>
        <s v="Robert Whitaker"/>
        <s v="Jonathan Jones"/>
        <s v="Karen Freeman"/>
        <s v="Lisa Rose"/>
        <s v="Erin Guerra"/>
        <s v="Allison Fernandez"/>
        <s v="Jennifer Sanders"/>
        <s v="Judith Dickerson"/>
        <s v="Courtney Avery"/>
        <s v="Diana Morris"/>
        <s v="Leslie Lyons"/>
        <s v="Chad Leon"/>
        <s v="Joshua Clark"/>
        <s v="Andre Mcconnell"/>
        <s v="David Evans"/>
        <s v="Daniel Brown"/>
        <s v="Andrew Villa"/>
        <s v="Ashley Mullen"/>
      </sharedItems>
    </cacheField>
    <cacheField name="Hospital" numFmtId="0">
      <sharedItems/>
    </cacheField>
    <cacheField name="Insurance Provider" numFmtId="0">
      <sharedItems count="5">
        <s v="Blue Cross"/>
        <s v="Medicare"/>
        <s v="Aetna"/>
        <s v="UnitedHealthcare"/>
        <s v="Cigna"/>
      </sharedItems>
    </cacheField>
    <cacheField name="Billing Amount" numFmtId="2">
      <sharedItems containsSemiMixedTypes="0" containsString="0" containsNumber="1" minValue="-502.507812700947" maxValue="52181.837792398997"/>
    </cacheField>
    <cacheField name="Room Number" numFmtId="0">
      <sharedItems containsSemiMixedTypes="0" containsString="0" containsNumber="1" containsInteger="1" minValue="101" maxValue="500"/>
    </cacheField>
    <cacheField name="Admission Type" numFmtId="0">
      <sharedItems count="3">
        <s v="Urgent"/>
        <s v="Emergency"/>
        <s v="Elective"/>
      </sharedItems>
    </cacheField>
    <cacheField name="Discharge Date" numFmtId="14">
      <sharedItems containsSemiMixedTypes="0" containsNonDate="0" containsDate="1" containsString="0" minDate="2019-05-12T00:00:00" maxDate="2024-05-31T00:00:00"/>
    </cacheField>
    <cacheField name="Medication" numFmtId="0">
      <sharedItems/>
    </cacheField>
    <cacheField name="Test Results" numFmtId="0">
      <sharedItems count="3">
        <s v="Normal"/>
        <s v="Inconclusive"/>
        <s v="Abnormal"/>
      </sharedItems>
    </cacheField>
    <cacheField name="Billing Category" numFmtId="0">
      <sharedItems/>
    </cacheField>
    <cacheField name="Patient Status" numFmtId="0">
      <sharedItems/>
    </cacheField>
    <cacheField name="Risk Flag" numFmtId="0">
      <sharedItems/>
    </cacheField>
    <cacheField name="Age_Group" numFmtId="0">
      <sharedItems count="5">
        <s v="19-35"/>
        <s v="51-65"/>
        <s v="65+"/>
        <s v="36-50"/>
        <s v="0-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7">
  <r>
    <x v="0"/>
    <n v="30"/>
    <x v="0"/>
    <s v="B-"/>
    <x v="0"/>
    <d v="2024-01-31T00:00:00"/>
    <x v="0"/>
    <s v="Sons and Miller"/>
    <x v="0"/>
    <n v="18856.2813059781"/>
    <n v="328"/>
    <x v="0"/>
    <d v="2024-02-02T00:00:00"/>
    <s v="Paracetamol"/>
    <x v="0"/>
    <s v="High"/>
    <s v="Under Treatment"/>
    <s v="High Risk"/>
    <x v="0"/>
  </r>
  <r>
    <x v="1"/>
    <n v="62"/>
    <x v="0"/>
    <s v="A+"/>
    <x v="1"/>
    <d v="2019-08-20T00:00:00"/>
    <x v="1"/>
    <s v="Kim Inc"/>
    <x v="1"/>
    <n v="33643.327286577798"/>
    <n v="265"/>
    <x v="1"/>
    <d v="2019-08-26T00:00:00"/>
    <s v="Ibuprofen"/>
    <x v="1"/>
    <s v="High"/>
    <s v="Under Treatment"/>
    <s v="High Risk"/>
    <x v="1"/>
  </r>
  <r>
    <x v="2"/>
    <n v="76"/>
    <x v="1"/>
    <s v="A-"/>
    <x v="1"/>
    <d v="2022-09-22T00:00:00"/>
    <x v="2"/>
    <s v="Cook PLC"/>
    <x v="2"/>
    <n v="27955.096078842402"/>
    <n v="205"/>
    <x v="1"/>
    <d v="2022-10-07T00:00:00"/>
    <s v="Aspirin"/>
    <x v="0"/>
    <s v="High"/>
    <s v="Under Treatment"/>
    <s v="High Risk"/>
    <x v="2"/>
  </r>
  <r>
    <x v="3"/>
    <n v="28"/>
    <x v="1"/>
    <s v="O+"/>
    <x v="2"/>
    <d v="2020-11-18T00:00:00"/>
    <x v="3"/>
    <s v="Hernandez Rogers and Vang,"/>
    <x v="1"/>
    <n v="37909.782409875203"/>
    <n v="450"/>
    <x v="2"/>
    <d v="2020-12-18T00:00:00"/>
    <s v="Ibuprofen"/>
    <x v="2"/>
    <s v="High"/>
    <s v="Under Treatment"/>
    <s v="High Risk"/>
    <x v="0"/>
  </r>
  <r>
    <x v="4"/>
    <n v="43"/>
    <x v="1"/>
    <s v="AB+"/>
    <x v="0"/>
    <d v="2022-09-19T00:00:00"/>
    <x v="4"/>
    <s v="White-White"/>
    <x v="2"/>
    <n v="14238.3178139376"/>
    <n v="458"/>
    <x v="0"/>
    <d v="2022-10-09T00:00:00"/>
    <s v="Penicillin"/>
    <x v="2"/>
    <s v="Medium"/>
    <s v="Under Treatment"/>
    <s v="High Risk"/>
    <x v="3"/>
  </r>
  <r>
    <x v="5"/>
    <n v="36"/>
    <x v="0"/>
    <s v="A+"/>
    <x v="3"/>
    <d v="2023-12-20T00:00:00"/>
    <x v="5"/>
    <s v="Nunez-Humphrey"/>
    <x v="3"/>
    <n v="48145.110951041803"/>
    <n v="389"/>
    <x v="0"/>
    <d v="2023-12-24T00:00:00"/>
    <s v="Ibuprofen"/>
    <x v="0"/>
    <s v="High"/>
    <s v="Under Treatment"/>
    <s v="High Risk"/>
    <x v="3"/>
  </r>
  <r>
    <x v="6"/>
    <n v="21"/>
    <x v="1"/>
    <s v="AB-"/>
    <x v="2"/>
    <d v="2020-11-03T00:00:00"/>
    <x v="6"/>
    <s v="Group Middleton"/>
    <x v="1"/>
    <n v="19580.872344860902"/>
    <n v="389"/>
    <x v="1"/>
    <d v="2020-11-15T00:00:00"/>
    <s v="Paracetamol"/>
    <x v="1"/>
    <s v="High"/>
    <s v="Under Treatment"/>
    <s v="High Risk"/>
    <x v="0"/>
  </r>
  <r>
    <x v="7"/>
    <n v="20"/>
    <x v="1"/>
    <s v="A+"/>
    <x v="0"/>
    <d v="2021-12-28T00:00:00"/>
    <x v="7"/>
    <s v="Powell Robinson and Valdez,"/>
    <x v="4"/>
    <n v="45820.4627215945"/>
    <n v="277"/>
    <x v="1"/>
    <d v="2022-01-07T00:00:00"/>
    <s v="Paracetamol"/>
    <x v="1"/>
    <s v="High"/>
    <s v="Under Treatment"/>
    <s v="High Risk"/>
    <x v="0"/>
  </r>
  <r>
    <x v="8"/>
    <n v="82"/>
    <x v="0"/>
    <s v="AB+"/>
    <x v="3"/>
    <d v="2020-07-01T00:00:00"/>
    <x v="8"/>
    <s v="Sons Rich and"/>
    <x v="4"/>
    <n v="50119.222791548498"/>
    <n v="316"/>
    <x v="2"/>
    <d v="2020-07-14T00:00:00"/>
    <s v="Aspirin"/>
    <x v="2"/>
    <s v="High"/>
    <s v="Under Treatment"/>
    <s v="High Risk"/>
    <x v="2"/>
  </r>
  <r>
    <x v="9"/>
    <n v="58"/>
    <x v="1"/>
    <s v="AB-"/>
    <x v="0"/>
    <d v="2021-05-23T00:00:00"/>
    <x v="9"/>
    <s v="Padilla-Walker"/>
    <x v="3"/>
    <n v="19784.631062210701"/>
    <n v="249"/>
    <x v="2"/>
    <d v="2021-06-22T00:00:00"/>
    <s v="Paracetamol"/>
    <x v="1"/>
    <s v="High"/>
    <s v="Under Treatment"/>
    <s v="High Risk"/>
    <x v="1"/>
  </r>
  <r>
    <x v="10"/>
    <n v="72"/>
    <x v="0"/>
    <s v="O+"/>
    <x v="0"/>
    <d v="2020-04-19T00:00:00"/>
    <x v="10"/>
    <s v="Schaefer-Porter"/>
    <x v="1"/>
    <n v="12576.795609050199"/>
    <n v="394"/>
    <x v="0"/>
    <d v="2020-04-22T00:00:00"/>
    <s v="Paracetamol"/>
    <x v="0"/>
    <s v="Medium"/>
    <s v="Under Treatment"/>
    <s v="High Risk"/>
    <x v="2"/>
  </r>
  <r>
    <x v="11"/>
    <n v="38"/>
    <x v="1"/>
    <s v="A-"/>
    <x v="4"/>
    <d v="2023-08-13T00:00:00"/>
    <x v="11"/>
    <s v="Lyons-Blair"/>
    <x v="1"/>
    <n v="7999.5868796041796"/>
    <n v="288"/>
    <x v="0"/>
    <d v="2023-09-05T00:00:00"/>
    <s v="Lipitor"/>
    <x v="1"/>
    <s v="Medium"/>
    <s v="Under Treatment"/>
    <s v="High Risk"/>
    <x v="3"/>
  </r>
  <r>
    <x v="12"/>
    <n v="75"/>
    <x v="1"/>
    <s v="A+"/>
    <x v="2"/>
    <d v="2019-12-12T00:00:00"/>
    <x v="12"/>
    <s v="Powers Miller, and Flores"/>
    <x v="4"/>
    <n v="43282.283357704298"/>
    <n v="134"/>
    <x v="1"/>
    <d v="2019-12-28T00:00:00"/>
    <s v="Penicillin"/>
    <x v="2"/>
    <s v="High"/>
    <s v="Under Treatment"/>
    <s v="High Risk"/>
    <x v="2"/>
  </r>
  <r>
    <x v="13"/>
    <n v="68"/>
    <x v="1"/>
    <s v="AB+"/>
    <x v="3"/>
    <d v="2020-05-22T00:00:00"/>
    <x v="13"/>
    <s v="Rivera-Gutierrez"/>
    <x v="3"/>
    <n v="33207.706633729598"/>
    <n v="309"/>
    <x v="0"/>
    <d v="2020-06-19T00:00:00"/>
    <s v="Lipitor"/>
    <x v="0"/>
    <s v="High"/>
    <s v="Under Treatment"/>
    <s v="High Risk"/>
    <x v="2"/>
  </r>
  <r>
    <x v="14"/>
    <n v="44"/>
    <x v="1"/>
    <s v="AB+"/>
    <x v="0"/>
    <d v="2021-10-08T00:00:00"/>
    <x v="14"/>
    <s v="Morris-Arellano"/>
    <x v="3"/>
    <n v="40701.599227308703"/>
    <n v="182"/>
    <x v="0"/>
    <d v="2021-10-13T00:00:00"/>
    <s v="Paracetamol"/>
    <x v="0"/>
    <s v="High"/>
    <s v="Under Treatment"/>
    <s v="High Risk"/>
    <x v="3"/>
  </r>
  <r>
    <x v="15"/>
    <n v="46"/>
    <x v="1"/>
    <s v="AB-"/>
    <x v="1"/>
    <d v="2023-01-01T00:00:00"/>
    <x v="15"/>
    <s v="Cline-Williams"/>
    <x v="0"/>
    <n v="12263.357425021301"/>
    <n v="465"/>
    <x v="2"/>
    <d v="2023-01-11T00:00:00"/>
    <s v="Aspirin"/>
    <x v="1"/>
    <s v="Medium"/>
    <s v="Under Treatment"/>
    <s v="High Risk"/>
    <x v="3"/>
  </r>
  <r>
    <x v="16"/>
    <n v="63"/>
    <x v="1"/>
    <s v="A+"/>
    <x v="5"/>
    <d v="2020-06-23T00:00:00"/>
    <x v="16"/>
    <s v="Cervantes-Wells"/>
    <x v="3"/>
    <n v="24499.8479037365"/>
    <n v="114"/>
    <x v="2"/>
    <d v="2020-07-14T00:00:00"/>
    <s v="Paracetamol"/>
    <x v="0"/>
    <s v="High"/>
    <s v="Under Treatment"/>
    <s v="High Risk"/>
    <x v="1"/>
  </r>
  <r>
    <x v="17"/>
    <n v="38"/>
    <x v="0"/>
    <s v="AB-"/>
    <x v="1"/>
    <d v="2020-03-08T00:00:00"/>
    <x v="17"/>
    <s v="Torres, and Harrison Jones"/>
    <x v="4"/>
    <n v="17440.465444124598"/>
    <n v="449"/>
    <x v="0"/>
    <d v="2020-04-02T00:00:00"/>
    <s v="Paracetamol"/>
    <x v="2"/>
    <s v="High"/>
    <s v="Under Treatment"/>
    <s v="High Risk"/>
    <x v="3"/>
  </r>
  <r>
    <x v="18"/>
    <n v="34"/>
    <x v="1"/>
    <s v="A-"/>
    <x v="4"/>
    <d v="2021-03-04T00:00:00"/>
    <x v="18"/>
    <s v="Houston PLC"/>
    <x v="0"/>
    <n v="18843.023017834101"/>
    <n v="260"/>
    <x v="2"/>
    <d v="2021-03-14T00:00:00"/>
    <s v="Aspirin"/>
    <x v="2"/>
    <s v="High"/>
    <s v="Under Treatment"/>
    <s v="High Risk"/>
    <x v="0"/>
  </r>
  <r>
    <x v="19"/>
    <n v="63"/>
    <x v="0"/>
    <s v="B+"/>
    <x v="3"/>
    <d v="2022-11-15T00:00:00"/>
    <x v="19"/>
    <s v="Hammond Ltd"/>
    <x v="4"/>
    <n v="23762.2035790595"/>
    <n v="465"/>
    <x v="2"/>
    <d v="2022-11-22T00:00:00"/>
    <s v="Penicillin"/>
    <x v="0"/>
    <s v="High"/>
    <s v="Under Treatment"/>
    <s v="High Risk"/>
    <x v="1"/>
  </r>
  <r>
    <x v="20"/>
    <n v="67"/>
    <x v="1"/>
    <s v="A-"/>
    <x v="3"/>
    <d v="2023-06-28T00:00:00"/>
    <x v="20"/>
    <s v="Jones LLC"/>
    <x v="0"/>
    <n v="42.514588553324302"/>
    <n v="115"/>
    <x v="2"/>
    <d v="2023-07-02T00:00:00"/>
    <s v="Aspirin"/>
    <x v="0"/>
    <s v="Low"/>
    <s v="Under Treatment"/>
    <s v="High Risk"/>
    <x v="2"/>
  </r>
  <r>
    <x v="21"/>
    <n v="48"/>
    <x v="0"/>
    <s v="B+"/>
    <x v="3"/>
    <d v="2020-01-21T00:00:00"/>
    <x v="21"/>
    <s v="Williams-Davis"/>
    <x v="2"/>
    <n v="17695.9116223438"/>
    <n v="295"/>
    <x v="0"/>
    <d v="2020-02-09T00:00:00"/>
    <s v="Lipitor"/>
    <x v="0"/>
    <s v="High"/>
    <s v="Under Treatment"/>
    <s v="High Risk"/>
    <x v="3"/>
  </r>
  <r>
    <x v="22"/>
    <n v="58"/>
    <x v="1"/>
    <s v="O+"/>
    <x v="5"/>
    <d v="2022-05-12T00:00:00"/>
    <x v="22"/>
    <s v="Clark-Mayo"/>
    <x v="2"/>
    <n v="5998.1029081959095"/>
    <n v="327"/>
    <x v="0"/>
    <d v="2022-06-10T00:00:00"/>
    <s v="Lipitor"/>
    <x v="1"/>
    <s v="Medium"/>
    <s v="Under Treatment"/>
    <s v="High Risk"/>
    <x v="1"/>
  </r>
  <r>
    <x v="23"/>
    <n v="59"/>
    <x v="0"/>
    <s v="A+"/>
    <x v="3"/>
    <d v="2021-08-02T00:00:00"/>
    <x v="23"/>
    <s v="and Sons Smith"/>
    <x v="2"/>
    <n v="25250.052428216099"/>
    <n v="119"/>
    <x v="0"/>
    <d v="2021-08-12T00:00:00"/>
    <s v="Lipitor"/>
    <x v="1"/>
    <s v="High"/>
    <s v="Under Treatment"/>
    <s v="High Risk"/>
    <x v="1"/>
  </r>
  <r>
    <x v="24"/>
    <n v="72"/>
    <x v="1"/>
    <s v="AB+"/>
    <x v="4"/>
    <d v="2020-05-15T00:00:00"/>
    <x v="24"/>
    <s v="Wilson Group"/>
    <x v="1"/>
    <n v="33211.295419012"/>
    <n v="109"/>
    <x v="1"/>
    <d v="2020-06-08T00:00:00"/>
    <s v="Paracetamol"/>
    <x v="1"/>
    <s v="High"/>
    <s v="Under Treatment"/>
    <s v="High Risk"/>
    <x v="2"/>
  </r>
  <r>
    <x v="25"/>
    <n v="51"/>
    <x v="1"/>
    <s v="O-"/>
    <x v="3"/>
    <d v="2023-12-23T00:00:00"/>
    <x v="25"/>
    <s v="Brown, and Jones Weaver"/>
    <x v="0"/>
    <n v="26786.529555311201"/>
    <n v="401"/>
    <x v="2"/>
    <d v="2024-01-19T00:00:00"/>
    <s v="Ibuprofen"/>
    <x v="0"/>
    <s v="High"/>
    <s v="Under Treatment"/>
    <s v="High Risk"/>
    <x v="1"/>
  </r>
  <r>
    <x v="26"/>
    <n v="34"/>
    <x v="1"/>
    <s v="A+"/>
    <x v="2"/>
    <d v="2022-06-21T00:00:00"/>
    <x v="26"/>
    <s v="Serrano-Dixon"/>
    <x v="3"/>
    <n v="18834.801341178299"/>
    <n v="157"/>
    <x v="1"/>
    <d v="2022-06-30T00:00:00"/>
    <s v="Lipitor"/>
    <x v="2"/>
    <s v="High"/>
    <s v="Under Treatment"/>
    <s v="High Risk"/>
    <x v="0"/>
  </r>
  <r>
    <x v="27"/>
    <n v="38"/>
    <x v="1"/>
    <s v="O-"/>
    <x v="4"/>
    <d v="2021-01-03T00:00:00"/>
    <x v="27"/>
    <s v="Gardner-Miller"/>
    <x v="4"/>
    <n v="32643.2993532771"/>
    <n v="223"/>
    <x v="1"/>
    <d v="2021-01-16T00:00:00"/>
    <s v="Penicillin"/>
    <x v="0"/>
    <s v="High"/>
    <s v="Under Treatment"/>
    <s v="High Risk"/>
    <x v="3"/>
  </r>
  <r>
    <x v="28"/>
    <n v="63"/>
    <x v="1"/>
    <s v="B+"/>
    <x v="4"/>
    <d v="2023-10-03T00:00:00"/>
    <x v="28"/>
    <s v="Guerrero-Boone"/>
    <x v="2"/>
    <n v="5767.0110538160097"/>
    <n v="293"/>
    <x v="2"/>
    <d v="2023-10-12T00:00:00"/>
    <s v="Paracetamol"/>
    <x v="2"/>
    <s v="Medium"/>
    <s v="Under Treatment"/>
    <s v="High Risk"/>
    <x v="1"/>
  </r>
  <r>
    <x v="29"/>
    <n v="34"/>
    <x v="0"/>
    <s v="B-"/>
    <x v="3"/>
    <d v="2019-08-18T00:00:00"/>
    <x v="29"/>
    <s v="Hart Ltd"/>
    <x v="4"/>
    <n v="47909.128809874899"/>
    <n v="371"/>
    <x v="0"/>
    <d v="2019-09-01T00:00:00"/>
    <s v="Ibuprofen"/>
    <x v="1"/>
    <s v="High"/>
    <s v="Under Treatment"/>
    <s v="High Risk"/>
    <x v="0"/>
  </r>
  <r>
    <x v="30"/>
    <n v="23"/>
    <x v="1"/>
    <s v="A+"/>
    <x v="5"/>
    <d v="2019-11-03T00:00:00"/>
    <x v="30"/>
    <s v="Cruz-Santiago"/>
    <x v="3"/>
    <n v="25835.323594688201"/>
    <n v="108"/>
    <x v="0"/>
    <d v="2019-11-29T00:00:00"/>
    <s v="Penicillin"/>
    <x v="2"/>
    <s v="High"/>
    <s v="Under Treatment"/>
    <s v="High Risk"/>
    <x v="0"/>
  </r>
  <r>
    <x v="31"/>
    <n v="78"/>
    <x v="0"/>
    <s v="AB-"/>
    <x v="5"/>
    <d v="2023-05-18T00:00:00"/>
    <x v="31"/>
    <s v="Group Duncan"/>
    <x v="1"/>
    <n v="17993.226200015499"/>
    <n v="245"/>
    <x v="2"/>
    <d v="2023-06-15T00:00:00"/>
    <s v="Penicillin"/>
    <x v="0"/>
    <s v="High"/>
    <s v="Under Treatment"/>
    <s v="High Risk"/>
    <x v="2"/>
  </r>
  <r>
    <x v="32"/>
    <n v="43"/>
    <x v="0"/>
    <s v="AB-"/>
    <x v="0"/>
    <d v="2023-05-24T00:00:00"/>
    <x v="32"/>
    <s v="Lopez-Phillips"/>
    <x v="1"/>
    <n v="21185.953530394199"/>
    <n v="494"/>
    <x v="2"/>
    <d v="2023-06-03T00:00:00"/>
    <s v="Ibuprofen"/>
    <x v="0"/>
    <s v="High"/>
    <s v="Under Treatment"/>
    <s v="High Risk"/>
    <x v="3"/>
  </r>
  <r>
    <x v="33"/>
    <n v="30"/>
    <x v="1"/>
    <s v="AB+"/>
    <x v="2"/>
    <d v="2020-01-17T00:00:00"/>
    <x v="33"/>
    <s v="Poole Inc"/>
    <x v="0"/>
    <n v="8408.9493542919499"/>
    <n v="285"/>
    <x v="1"/>
    <d v="2020-02-10T00:00:00"/>
    <s v="Lipitor"/>
    <x v="0"/>
    <s v="Medium"/>
    <s v="Under Treatment"/>
    <s v="High Risk"/>
    <x v="0"/>
  </r>
  <r>
    <x v="34"/>
    <n v="25"/>
    <x v="1"/>
    <s v="AB+"/>
    <x v="3"/>
    <d v="2021-01-07T00:00:00"/>
    <x v="34"/>
    <s v="Sons and Cox"/>
    <x v="1"/>
    <n v="45453.418545665103"/>
    <n v="228"/>
    <x v="2"/>
    <d v="2021-01-26T00:00:00"/>
    <s v="Lipitor"/>
    <x v="2"/>
    <s v="High"/>
    <s v="Under Treatment"/>
    <s v="High Risk"/>
    <x v="0"/>
  </r>
  <r>
    <x v="35"/>
    <n v="33"/>
    <x v="0"/>
    <s v="AB+"/>
    <x v="2"/>
    <d v="2019-10-14T00:00:00"/>
    <x v="35"/>
    <s v="LLC Martin"/>
    <x v="2"/>
    <n v="4397.77699541333"/>
    <n v="481"/>
    <x v="0"/>
    <d v="2019-10-19T00:00:00"/>
    <s v="Paracetamol"/>
    <x v="1"/>
    <s v="Low"/>
    <s v="Under Treatment"/>
    <s v="High Risk"/>
    <x v="0"/>
  </r>
  <r>
    <x v="36"/>
    <n v="26"/>
    <x v="1"/>
    <s v="B-"/>
    <x v="4"/>
    <d v="2021-12-19T00:00:00"/>
    <x v="36"/>
    <s v="Espinoza-Stone"/>
    <x v="2"/>
    <n v="9380.3259675284298"/>
    <n v="212"/>
    <x v="0"/>
    <d v="2022-01-16T00:00:00"/>
    <s v="Ibuprofen"/>
    <x v="0"/>
    <s v="Medium"/>
    <s v="Under Treatment"/>
    <s v="High Risk"/>
    <x v="0"/>
  </r>
  <r>
    <x v="37"/>
    <n v="70"/>
    <x v="1"/>
    <s v="O-"/>
    <x v="2"/>
    <d v="2022-03-12T00:00:00"/>
    <x v="37"/>
    <s v="and Garcia Morris Cunningham,"/>
    <x v="4"/>
    <n v="48290.693407364102"/>
    <n v="113"/>
    <x v="1"/>
    <d v="2022-03-29T00:00:00"/>
    <s v="Lipitor"/>
    <x v="2"/>
    <s v="High"/>
    <s v="Under Treatment"/>
    <s v="High Risk"/>
    <x v="2"/>
  </r>
  <r>
    <x v="38"/>
    <n v="57"/>
    <x v="1"/>
    <s v="B-"/>
    <x v="1"/>
    <d v="2021-01-17T00:00:00"/>
    <x v="38"/>
    <s v="Walton-Meyer"/>
    <x v="1"/>
    <n v="32973.940832966196"/>
    <n v="272"/>
    <x v="0"/>
    <d v="2021-01-29T00:00:00"/>
    <s v="Penicillin"/>
    <x v="2"/>
    <s v="High"/>
    <s v="Under Treatment"/>
    <s v="High Risk"/>
    <x v="1"/>
  </r>
  <r>
    <x v="39"/>
    <n v="74"/>
    <x v="1"/>
    <s v="B-"/>
    <x v="4"/>
    <d v="2021-09-15T00:00:00"/>
    <x v="39"/>
    <s v="PLC Young"/>
    <x v="4"/>
    <n v="49943.2784987872"/>
    <n v="478"/>
    <x v="1"/>
    <d v="2021-10-05T00:00:00"/>
    <s v="Lipitor"/>
    <x v="0"/>
    <s v="High"/>
    <s v="Under Treatment"/>
    <s v="High Risk"/>
    <x v="2"/>
  </r>
  <r>
    <x v="40"/>
    <n v="81"/>
    <x v="0"/>
    <s v="A+"/>
    <x v="4"/>
    <d v="2020-01-27T00:00:00"/>
    <x v="40"/>
    <s v="Meadows Group"/>
    <x v="4"/>
    <n v="35633.955454387797"/>
    <n v="196"/>
    <x v="0"/>
    <d v="2020-02-09T00:00:00"/>
    <s v="Aspirin"/>
    <x v="0"/>
    <s v="High"/>
    <s v="Under Treatment"/>
    <s v="High Risk"/>
    <x v="2"/>
  </r>
  <r>
    <x v="41"/>
    <n v="49"/>
    <x v="1"/>
    <s v="A-"/>
    <x v="3"/>
    <d v="2022-06-24T00:00:00"/>
    <x v="41"/>
    <s v="and Howell Brooks, Rogers"/>
    <x v="4"/>
    <n v="25966.328610220899"/>
    <n v="418"/>
    <x v="2"/>
    <d v="2022-07-18T00:00:00"/>
    <s v="Paracetamol"/>
    <x v="0"/>
    <s v="High"/>
    <s v="Under Treatment"/>
    <s v="High Risk"/>
    <x v="3"/>
  </r>
  <r>
    <x v="42"/>
    <n v="26"/>
    <x v="1"/>
    <s v="AB+"/>
    <x v="1"/>
    <d v="2021-06-09T00:00:00"/>
    <x v="42"/>
    <s v="and Mcclure White Boone,"/>
    <x v="3"/>
    <n v="21784.445070723599"/>
    <n v="410"/>
    <x v="0"/>
    <d v="2021-07-01T00:00:00"/>
    <s v="Paracetamol"/>
    <x v="0"/>
    <s v="High"/>
    <s v="Under Treatment"/>
    <s v="High Risk"/>
    <x v="0"/>
  </r>
  <r>
    <x v="43"/>
    <n v="81"/>
    <x v="1"/>
    <s v="AB-"/>
    <x v="0"/>
    <d v="2020-08-23T00:00:00"/>
    <x v="43"/>
    <s v="Gates Brown, and Stuart"/>
    <x v="1"/>
    <n v="42684.558884550199"/>
    <n v="328"/>
    <x v="0"/>
    <d v="2020-09-08T00:00:00"/>
    <s v="Penicillin"/>
    <x v="2"/>
    <s v="High"/>
    <s v="Under Treatment"/>
    <s v="High Risk"/>
    <x v="2"/>
  </r>
  <r>
    <x v="44"/>
    <n v="65"/>
    <x v="0"/>
    <s v="O+"/>
    <x v="0"/>
    <d v="2022-10-12T00:00:00"/>
    <x v="44"/>
    <s v="Group Armstrong"/>
    <x v="1"/>
    <n v="45585.886559939398"/>
    <n v="300"/>
    <x v="1"/>
    <d v="2022-11-02T00:00:00"/>
    <s v="Penicillin"/>
    <x v="0"/>
    <s v="High"/>
    <s v="Under Treatment"/>
    <s v="High Risk"/>
    <x v="1"/>
  </r>
  <r>
    <x v="45"/>
    <n v="31"/>
    <x v="1"/>
    <s v="O+"/>
    <x v="4"/>
    <d v="2021-12-01T00:00:00"/>
    <x v="45"/>
    <s v="Ltd Schwartz"/>
    <x v="4"/>
    <n v="29615.441863646101"/>
    <n v="211"/>
    <x v="2"/>
    <d v="2021-12-09T00:00:00"/>
    <s v="Paracetamol"/>
    <x v="0"/>
    <s v="High"/>
    <s v="Under Treatment"/>
    <s v="High Risk"/>
    <x v="0"/>
  </r>
  <r>
    <x v="46"/>
    <n v="58"/>
    <x v="0"/>
    <s v="A-"/>
    <x v="2"/>
    <d v="2020-05-04T00:00:00"/>
    <x v="46"/>
    <s v="Nelson-Phillips"/>
    <x v="4"/>
    <n v="36992.2736882838"/>
    <n v="413"/>
    <x v="0"/>
    <d v="2020-05-13T00:00:00"/>
    <s v="Aspirin"/>
    <x v="0"/>
    <s v="High"/>
    <s v="Under Treatment"/>
    <s v="High Risk"/>
    <x v="1"/>
  </r>
  <r>
    <x v="47"/>
    <n v="22"/>
    <x v="0"/>
    <s v="O+"/>
    <x v="4"/>
    <d v="2023-09-09T00:00:00"/>
    <x v="47"/>
    <s v="Knight and Nguyen, Riggs"/>
    <x v="3"/>
    <n v="28051.4994839463"/>
    <n v="157"/>
    <x v="0"/>
    <d v="2023-09-23T00:00:00"/>
    <s v="Ibuprofen"/>
    <x v="2"/>
    <s v="High"/>
    <s v="Under Treatment"/>
    <s v="High Risk"/>
    <x v="0"/>
  </r>
  <r>
    <x v="48"/>
    <n v="77"/>
    <x v="1"/>
    <s v="O+"/>
    <x v="3"/>
    <d v="2019-07-19T00:00:00"/>
    <x v="48"/>
    <s v="Lopez PLC"/>
    <x v="4"/>
    <n v="16320.232447271799"/>
    <n v="138"/>
    <x v="0"/>
    <d v="2019-07-29T00:00:00"/>
    <s v="Ibuprofen"/>
    <x v="2"/>
    <s v="High"/>
    <s v="Under Treatment"/>
    <s v="High Risk"/>
    <x v="2"/>
  </r>
  <r>
    <x v="49"/>
    <n v="30"/>
    <x v="0"/>
    <s v="AB-"/>
    <x v="4"/>
    <d v="2024-04-05T00:00:00"/>
    <x v="49"/>
    <s v="Fernandez and Phillips, Singh"/>
    <x v="1"/>
    <n v="30590.5418063406"/>
    <n v="456"/>
    <x v="1"/>
    <d v="2024-04-22T00:00:00"/>
    <s v="Paracetamol"/>
    <x v="1"/>
    <s v="High"/>
    <s v="Under Treatment"/>
    <s v="High Risk"/>
    <x v="0"/>
  </r>
  <r>
    <x v="50"/>
    <n v="42"/>
    <x v="1"/>
    <s v="A-"/>
    <x v="0"/>
    <d v="2019-06-15T00:00:00"/>
    <x v="50"/>
    <s v="Beck-Galloway"/>
    <x v="2"/>
    <n v="14681.016360125899"/>
    <n v="234"/>
    <x v="1"/>
    <d v="2019-07-05T00:00:00"/>
    <s v="Ibuprofen"/>
    <x v="2"/>
    <s v="Medium"/>
    <s v="Under Treatment"/>
    <s v="High Risk"/>
    <x v="3"/>
  </r>
  <r>
    <x v="51"/>
    <n v="67"/>
    <x v="1"/>
    <s v="AB+"/>
    <x v="0"/>
    <d v="2022-10-29T00:00:00"/>
    <x v="51"/>
    <s v="Decker Glover, and Christensen"/>
    <x v="2"/>
    <n v="21879.531911063499"/>
    <n v="492"/>
    <x v="0"/>
    <d v="2022-11-20T00:00:00"/>
    <s v="Penicillin"/>
    <x v="1"/>
    <s v="High"/>
    <s v="Under Treatment"/>
    <s v="High Risk"/>
    <x v="2"/>
  </r>
  <r>
    <x v="52"/>
    <n v="24"/>
    <x v="1"/>
    <s v="A-"/>
    <x v="1"/>
    <d v="2022-04-08T00:00:00"/>
    <x v="52"/>
    <s v="Nelson Walker Myers, and"/>
    <x v="3"/>
    <n v="6767.6343965449396"/>
    <n v="180"/>
    <x v="2"/>
    <d v="2022-04-13T00:00:00"/>
    <s v="Lipitor"/>
    <x v="2"/>
    <s v="Medium"/>
    <s v="Under Treatment"/>
    <s v="High Risk"/>
    <x v="0"/>
  </r>
  <r>
    <x v="53"/>
    <n v="84"/>
    <x v="1"/>
    <s v="B-"/>
    <x v="3"/>
    <d v="2023-08-17T00:00:00"/>
    <x v="53"/>
    <s v="Mitchell-Navarro"/>
    <x v="4"/>
    <n v="19973.4629261595"/>
    <n v="250"/>
    <x v="2"/>
    <d v="2023-09-11T00:00:00"/>
    <s v="Ibuprofen"/>
    <x v="1"/>
    <s v="High"/>
    <s v="Under Treatment"/>
    <s v="High Risk"/>
    <x v="2"/>
  </r>
  <r>
    <x v="54"/>
    <n v="73"/>
    <x v="1"/>
    <s v="A-"/>
    <x v="4"/>
    <d v="2023-11-05T00:00:00"/>
    <x v="54"/>
    <s v="Group Delgado"/>
    <x v="3"/>
    <n v="14362.314487502301"/>
    <n v="296"/>
    <x v="1"/>
    <d v="2023-11-07T00:00:00"/>
    <s v="Paracetamol"/>
    <x v="1"/>
    <s v="Medium"/>
    <s v="Under Treatment"/>
    <s v="High Risk"/>
    <x v="2"/>
  </r>
  <r>
    <x v="55"/>
    <n v="55"/>
    <x v="1"/>
    <s v="A+"/>
    <x v="0"/>
    <d v="2023-04-09T00:00:00"/>
    <x v="55"/>
    <s v="and Montes Graves, Thomas"/>
    <x v="4"/>
    <n v="10300.6573113759"/>
    <n v="330"/>
    <x v="1"/>
    <d v="2023-04-21T00:00:00"/>
    <s v="Paracetamol"/>
    <x v="0"/>
    <s v="Medium"/>
    <s v="Under Treatment"/>
    <s v="High Risk"/>
    <x v="1"/>
  </r>
  <r>
    <x v="56"/>
    <n v="23"/>
    <x v="0"/>
    <s v="O-"/>
    <x v="4"/>
    <d v="2022-09-21T00:00:00"/>
    <x v="56"/>
    <s v="Hall-Bentley"/>
    <x v="2"/>
    <n v="37951.6649098497"/>
    <n v="405"/>
    <x v="1"/>
    <d v="2022-09-25T00:00:00"/>
    <s v="Ibuprofen"/>
    <x v="1"/>
    <s v="High"/>
    <s v="Under Treatment"/>
    <s v="High Risk"/>
    <x v="0"/>
  </r>
  <r>
    <x v="57"/>
    <n v="40"/>
    <x v="1"/>
    <s v="AB-"/>
    <x v="0"/>
    <d v="2021-01-21T00:00:00"/>
    <x v="57"/>
    <s v="Taylor-Nguyen"/>
    <x v="2"/>
    <n v="6733.9909470688299"/>
    <n v="300"/>
    <x v="0"/>
    <d v="2021-02-06T00:00:00"/>
    <s v="Ibuprofen"/>
    <x v="0"/>
    <s v="Medium"/>
    <s v="Under Treatment"/>
    <s v="High Risk"/>
    <x v="3"/>
  </r>
  <r>
    <x v="58"/>
    <n v="51"/>
    <x v="0"/>
    <s v="O+"/>
    <x v="4"/>
    <d v="2020-07-10T00:00:00"/>
    <x v="58"/>
    <s v="Hunter-Grant"/>
    <x v="2"/>
    <n v="17839.745651647099"/>
    <n v="306"/>
    <x v="2"/>
    <d v="2020-07-20T00:00:00"/>
    <s v="Paracetamol"/>
    <x v="2"/>
    <s v="High"/>
    <s v="Under Treatment"/>
    <s v="High Risk"/>
    <x v="1"/>
  </r>
  <r>
    <x v="59"/>
    <n v="83"/>
    <x v="0"/>
    <s v="AB+"/>
    <x v="1"/>
    <d v="2019-11-06T00:00:00"/>
    <x v="59"/>
    <s v="Miller-Lawson"/>
    <x v="2"/>
    <n v="24637.0900640332"/>
    <n v="333"/>
    <x v="2"/>
    <d v="2019-11-22T00:00:00"/>
    <s v="Paracetamol"/>
    <x v="1"/>
    <s v="High"/>
    <s v="Under Treatment"/>
    <s v="High Risk"/>
    <x v="2"/>
  </r>
  <r>
    <x v="60"/>
    <n v="63"/>
    <x v="0"/>
    <s v="A-"/>
    <x v="3"/>
    <d v="2024-04-07T00:00:00"/>
    <x v="60"/>
    <s v="Scott-Kelly"/>
    <x v="3"/>
    <n v="39723.166051427797"/>
    <n v="244"/>
    <x v="1"/>
    <d v="2024-05-04T00:00:00"/>
    <s v="Ibuprofen"/>
    <x v="1"/>
    <s v="High"/>
    <s v="Under Treatment"/>
    <s v="High Risk"/>
    <x v="1"/>
  </r>
  <r>
    <x v="61"/>
    <n v="18"/>
    <x v="0"/>
    <s v="A+"/>
    <x v="0"/>
    <d v="2022-07-06T00:00:00"/>
    <x v="61"/>
    <s v="Moss and Ferguson, Baker"/>
    <x v="3"/>
    <n v="48407.386291100498"/>
    <n v="325"/>
    <x v="1"/>
    <d v="2022-07-18T00:00:00"/>
    <s v="Aspirin"/>
    <x v="0"/>
    <s v="High"/>
    <s v="Under Treatment"/>
    <s v="High Risk"/>
    <x v="4"/>
  </r>
  <r>
    <x v="62"/>
    <n v="23"/>
    <x v="1"/>
    <s v="B-"/>
    <x v="4"/>
    <d v="2022-08-03T00:00:00"/>
    <x v="62"/>
    <s v="and Mason Smith Chase,"/>
    <x v="4"/>
    <n v="5517.3936422239904"/>
    <n v="113"/>
    <x v="2"/>
    <d v="2022-08-10T00:00:00"/>
    <s v="Aspirin"/>
    <x v="1"/>
    <s v="Medium"/>
    <s v="Under Treatment"/>
    <s v="High Risk"/>
    <x v="0"/>
  </r>
  <r>
    <x v="63"/>
    <n v="58"/>
    <x v="0"/>
    <s v="A-"/>
    <x v="4"/>
    <d v="2020-05-08T00:00:00"/>
    <x v="63"/>
    <s v="Khan, and Rodriguez Fischer"/>
    <x v="1"/>
    <n v="19183.168885395498"/>
    <n v="378"/>
    <x v="1"/>
    <d v="2020-06-01T00:00:00"/>
    <s v="Aspirin"/>
    <x v="2"/>
    <s v="High"/>
    <s v="Under Treatment"/>
    <s v="High Risk"/>
    <x v="1"/>
  </r>
  <r>
    <x v="64"/>
    <n v="27"/>
    <x v="0"/>
    <s v="AB-"/>
    <x v="0"/>
    <d v="2019-12-09T00:00:00"/>
    <x v="64"/>
    <s v="Sons Watson and"/>
    <x v="1"/>
    <n v="8320.6608032874301"/>
    <n v="468"/>
    <x v="0"/>
    <d v="2019-12-21T00:00:00"/>
    <s v="Lipitor"/>
    <x v="2"/>
    <s v="Medium"/>
    <s v="Under Treatment"/>
    <s v="High Risk"/>
    <x v="0"/>
  </r>
  <r>
    <x v="65"/>
    <n v="59"/>
    <x v="0"/>
    <s v="B+"/>
    <x v="2"/>
    <d v="2019-11-21T00:00:00"/>
    <x v="65"/>
    <s v="Rhodes-Carey"/>
    <x v="1"/>
    <n v="10107.1876510572"/>
    <n v="368"/>
    <x v="1"/>
    <d v="2019-12-08T00:00:00"/>
    <s v="Penicillin"/>
    <x v="2"/>
    <s v="Medium"/>
    <s v="Under Treatment"/>
    <s v="High Risk"/>
    <x v="1"/>
  </r>
  <r>
    <x v="66"/>
    <n v="27"/>
    <x v="0"/>
    <s v="B-"/>
    <x v="4"/>
    <d v="2023-01-07T00:00:00"/>
    <x v="66"/>
    <s v="Bullock-Ramsey"/>
    <x v="4"/>
    <n v="49402.298372527097"/>
    <n v="263"/>
    <x v="2"/>
    <d v="2023-01-27T00:00:00"/>
    <s v="Lipitor"/>
    <x v="1"/>
    <s v="High"/>
    <s v="Under Treatment"/>
    <s v="High Risk"/>
    <x v="0"/>
  </r>
  <r>
    <x v="67"/>
    <n v="31"/>
    <x v="0"/>
    <s v="B+"/>
    <x v="2"/>
    <d v="2024-02-06T00:00:00"/>
    <x v="67"/>
    <s v="Clark Brown, and Myers"/>
    <x v="3"/>
    <n v="35776.815111453703"/>
    <n v="489"/>
    <x v="1"/>
    <d v="2024-02-10T00:00:00"/>
    <s v="Penicillin"/>
    <x v="0"/>
    <s v="High"/>
    <s v="Under Treatment"/>
    <s v="High Risk"/>
    <x v="0"/>
  </r>
  <r>
    <x v="68"/>
    <n v="19"/>
    <x v="1"/>
    <s v="A+"/>
    <x v="5"/>
    <d v="2020-01-30T00:00:00"/>
    <x v="68"/>
    <s v="Jackson and Lane, Dillon"/>
    <x v="1"/>
    <n v="20227.863726744701"/>
    <n v="241"/>
    <x v="2"/>
    <d v="2020-02-12T00:00:00"/>
    <s v="Penicillin"/>
    <x v="0"/>
    <s v="High"/>
    <s v="Under Treatment"/>
    <s v="High Risk"/>
    <x v="0"/>
  </r>
  <r>
    <x v="69"/>
    <n v="29"/>
    <x v="1"/>
    <s v="O+"/>
    <x v="0"/>
    <d v="2022-10-24T00:00:00"/>
    <x v="69"/>
    <s v="Turner Cook, Banks and"/>
    <x v="0"/>
    <n v="19328.118579079899"/>
    <n v="231"/>
    <x v="0"/>
    <d v="2022-11-07T00:00:00"/>
    <s v="Ibuprofen"/>
    <x v="0"/>
    <s v="High"/>
    <s v="Under Treatment"/>
    <s v="High Risk"/>
    <x v="0"/>
  </r>
  <r>
    <x v="70"/>
    <n v="18"/>
    <x v="0"/>
    <s v="A-"/>
    <x v="1"/>
    <d v="2022-01-09T00:00:00"/>
    <x v="70"/>
    <s v="Miles, and Weaver Hudson"/>
    <x v="2"/>
    <n v="46956.545730632402"/>
    <n v="377"/>
    <x v="1"/>
    <d v="2022-01-15T00:00:00"/>
    <s v="Aspirin"/>
    <x v="1"/>
    <s v="High"/>
    <s v="Under Treatment"/>
    <s v="High Risk"/>
    <x v="4"/>
  </r>
  <r>
    <x v="71"/>
    <n v="24"/>
    <x v="0"/>
    <s v="AB-"/>
    <x v="0"/>
    <d v="2023-12-28T00:00:00"/>
    <x v="71"/>
    <s v="Evans Ltd"/>
    <x v="4"/>
    <n v="10709.690388900101"/>
    <n v="407"/>
    <x v="1"/>
    <d v="2024-01-02T00:00:00"/>
    <s v="Paracetamol"/>
    <x v="2"/>
    <s v="Medium"/>
    <s v="Under Treatment"/>
    <s v="High Risk"/>
    <x v="0"/>
  </r>
  <r>
    <x v="72"/>
    <n v="27"/>
    <x v="0"/>
    <s v="AB-"/>
    <x v="2"/>
    <d v="2021-09-16T00:00:00"/>
    <x v="72"/>
    <s v="Sons and Schaefer"/>
    <x v="2"/>
    <n v="45353.990777385399"/>
    <n v="263"/>
    <x v="0"/>
    <d v="2021-10-14T00:00:00"/>
    <s v="Penicillin"/>
    <x v="2"/>
    <s v="High"/>
    <s v="Under Treatment"/>
    <s v="High Risk"/>
    <x v="0"/>
  </r>
  <r>
    <x v="73"/>
    <n v="57"/>
    <x v="1"/>
    <s v="AB-"/>
    <x v="5"/>
    <d v="2023-07-24T00:00:00"/>
    <x v="73"/>
    <s v="Sons Hodges and"/>
    <x v="2"/>
    <n v="8451.0017584789493"/>
    <n v="135"/>
    <x v="2"/>
    <d v="2023-08-11T00:00:00"/>
    <s v="Paracetamol"/>
    <x v="2"/>
    <s v="Medium"/>
    <s v="Under Treatment"/>
    <s v="High Risk"/>
    <x v="1"/>
  </r>
  <r>
    <x v="74"/>
    <n v="74"/>
    <x v="1"/>
    <s v="A+"/>
    <x v="5"/>
    <d v="2021-11-13T00:00:00"/>
    <x v="74"/>
    <s v="Simpson-Mccall"/>
    <x v="3"/>
    <n v="29850.8797281837"/>
    <n v="131"/>
    <x v="1"/>
    <d v="2021-12-07T00:00:00"/>
    <s v="Paracetamol"/>
    <x v="1"/>
    <s v="High"/>
    <s v="Under Treatment"/>
    <s v="High Risk"/>
    <x v="2"/>
  </r>
  <r>
    <x v="75"/>
    <n v="22"/>
    <x v="1"/>
    <s v="A-"/>
    <x v="5"/>
    <d v="2023-10-11T00:00:00"/>
    <x v="75"/>
    <s v="Lin Thompson Wells, and"/>
    <x v="0"/>
    <n v="42696.521163899102"/>
    <n v="102"/>
    <x v="0"/>
    <d v="2023-10-27T00:00:00"/>
    <s v="Penicillin"/>
    <x v="0"/>
    <s v="High"/>
    <s v="Under Treatment"/>
    <s v="High Risk"/>
    <x v="0"/>
  </r>
  <r>
    <x v="76"/>
    <n v="33"/>
    <x v="1"/>
    <s v="B-"/>
    <x v="2"/>
    <d v="2021-01-30T00:00:00"/>
    <x v="76"/>
    <s v="Jones-Scott"/>
    <x v="4"/>
    <n v="2305.1391395384899"/>
    <n v="249"/>
    <x v="1"/>
    <d v="2021-02-04T00:00:00"/>
    <s v="Penicillin"/>
    <x v="1"/>
    <s v="Low"/>
    <s v="Under Treatment"/>
    <s v="High Risk"/>
    <x v="0"/>
  </r>
  <r>
    <x v="77"/>
    <n v="57"/>
    <x v="0"/>
    <s v="B+"/>
    <x v="5"/>
    <d v="2021-11-21T00:00:00"/>
    <x v="77"/>
    <s v="Howe-Kelly"/>
    <x v="3"/>
    <n v="44437.470673357202"/>
    <n v="255"/>
    <x v="1"/>
    <d v="2021-12-05T00:00:00"/>
    <s v="Penicillin"/>
    <x v="1"/>
    <s v="High"/>
    <s v="Under Treatment"/>
    <s v="High Risk"/>
    <x v="1"/>
  </r>
  <r>
    <x v="78"/>
    <n v="61"/>
    <x v="0"/>
    <s v="B+"/>
    <x v="0"/>
    <d v="2024-03-02T00:00:00"/>
    <x v="78"/>
    <s v="and Sons Reyes"/>
    <x v="3"/>
    <n v="29504.387442211399"/>
    <n v="422"/>
    <x v="0"/>
    <d v="2024-03-26T00:00:00"/>
    <s v="Ibuprofen"/>
    <x v="1"/>
    <s v="High"/>
    <s v="Under Treatment"/>
    <s v="High Risk"/>
    <x v="1"/>
  </r>
  <r>
    <x v="79"/>
    <n v="20"/>
    <x v="0"/>
    <s v="O+"/>
    <x v="5"/>
    <d v="2020-12-04T00:00:00"/>
    <x v="79"/>
    <s v="Shaw-Young"/>
    <x v="0"/>
    <n v="34617.788344937202"/>
    <n v="320"/>
    <x v="1"/>
    <d v="2020-12-08T00:00:00"/>
    <s v="Ibuprofen"/>
    <x v="2"/>
    <s v="High"/>
    <s v="Under Treatment"/>
    <s v="High Risk"/>
    <x v="0"/>
  </r>
  <r>
    <x v="80"/>
    <n v="67"/>
    <x v="0"/>
    <s v="AB+"/>
    <x v="4"/>
    <d v="2020-08-26T00:00:00"/>
    <x v="80"/>
    <s v="Inc Skinner"/>
    <x v="2"/>
    <n v="46814.011195111598"/>
    <n v="134"/>
    <x v="0"/>
    <d v="2020-08-27T00:00:00"/>
    <s v="Penicillin"/>
    <x v="2"/>
    <s v="High"/>
    <s v="Under Treatment"/>
    <s v="High Risk"/>
    <x v="2"/>
  </r>
  <r>
    <x v="81"/>
    <n v="80"/>
    <x v="1"/>
    <s v="AB-"/>
    <x v="2"/>
    <d v="2023-11-12T00:00:00"/>
    <x v="81"/>
    <s v="Clark-Johnson"/>
    <x v="0"/>
    <n v="20257.544282932398"/>
    <n v="255"/>
    <x v="2"/>
    <d v="2023-12-12T00:00:00"/>
    <s v="Penicillin"/>
    <x v="2"/>
    <s v="High"/>
    <s v="Under Treatment"/>
    <s v="High Risk"/>
    <x v="2"/>
  </r>
  <r>
    <x v="82"/>
    <n v="44"/>
    <x v="0"/>
    <s v="O+"/>
    <x v="1"/>
    <d v="2020-05-30T00:00:00"/>
    <x v="82"/>
    <s v="Perez and Sons"/>
    <x v="4"/>
    <n v="22841.363876905602"/>
    <n v="410"/>
    <x v="1"/>
    <d v="2020-06-14T00:00:00"/>
    <s v="Aspirin"/>
    <x v="1"/>
    <s v="High"/>
    <s v="Under Treatment"/>
    <s v="High Risk"/>
    <x v="3"/>
  </r>
  <r>
    <x v="83"/>
    <n v="26"/>
    <x v="1"/>
    <s v="B-"/>
    <x v="3"/>
    <d v="2023-05-12T00:00:00"/>
    <x v="83"/>
    <s v="Kemp LLC"/>
    <x v="1"/>
    <n v="10283.716858129101"/>
    <n v="273"/>
    <x v="1"/>
    <d v="2023-06-10T00:00:00"/>
    <s v="Ibuprofen"/>
    <x v="2"/>
    <s v="Medium"/>
    <s v="Under Treatment"/>
    <s v="High Risk"/>
    <x v="0"/>
  </r>
  <r>
    <x v="84"/>
    <n v="80"/>
    <x v="0"/>
    <s v="AB+"/>
    <x v="0"/>
    <d v="2022-07-07T00:00:00"/>
    <x v="84"/>
    <s v="LLC Dixon"/>
    <x v="3"/>
    <n v="1586.4766014382801"/>
    <n v="395"/>
    <x v="1"/>
    <d v="2022-07-23T00:00:00"/>
    <s v="Ibuprofen"/>
    <x v="0"/>
    <s v="Low"/>
    <s v="Under Treatment"/>
    <s v="High Risk"/>
    <x v="2"/>
  </r>
  <r>
    <x v="85"/>
    <n v="63"/>
    <x v="0"/>
    <s v="B-"/>
    <x v="3"/>
    <d v="2020-09-24T00:00:00"/>
    <x v="85"/>
    <s v="and Morales Jennings Cook,"/>
    <x v="2"/>
    <n v="34774.351127057504"/>
    <n v="152"/>
    <x v="1"/>
    <d v="2020-10-08T00:00:00"/>
    <s v="Penicillin"/>
    <x v="1"/>
    <s v="High"/>
    <s v="Under Treatment"/>
    <s v="High Risk"/>
    <x v="1"/>
  </r>
  <r>
    <x v="86"/>
    <n v="58"/>
    <x v="1"/>
    <s v="B-"/>
    <x v="5"/>
    <d v="2023-08-19T00:00:00"/>
    <x v="86"/>
    <s v="Group Hood"/>
    <x v="3"/>
    <n v="24870.1036589338"/>
    <n v="321"/>
    <x v="1"/>
    <d v="2023-08-25T00:00:00"/>
    <s v="Ibuprofen"/>
    <x v="1"/>
    <s v="High"/>
    <s v="Under Treatment"/>
    <s v="High Risk"/>
    <x v="1"/>
  </r>
  <r>
    <x v="87"/>
    <n v="38"/>
    <x v="1"/>
    <s v="A+"/>
    <x v="0"/>
    <d v="2023-05-16T00:00:00"/>
    <x v="87"/>
    <s v="Lindsey Inc"/>
    <x v="4"/>
    <n v="39476.947514379899"/>
    <n v="428"/>
    <x v="2"/>
    <d v="2023-06-01T00:00:00"/>
    <s v="Aspirin"/>
    <x v="2"/>
    <s v="High"/>
    <s v="Under Treatment"/>
    <s v="High Risk"/>
    <x v="3"/>
  </r>
  <r>
    <x v="88"/>
    <n v="60"/>
    <x v="0"/>
    <s v="B+"/>
    <x v="4"/>
    <d v="2022-08-22T00:00:00"/>
    <x v="88"/>
    <s v="Ltd Wang"/>
    <x v="0"/>
    <n v="26062.434320290999"/>
    <n v="482"/>
    <x v="2"/>
    <d v="2022-09-07T00:00:00"/>
    <s v="Paracetamol"/>
    <x v="1"/>
    <s v="High"/>
    <s v="Under Treatment"/>
    <s v="High Risk"/>
    <x v="1"/>
  </r>
  <r>
    <x v="89"/>
    <n v="49"/>
    <x v="0"/>
    <s v="B+"/>
    <x v="0"/>
    <d v="2022-06-17T00:00:00"/>
    <x v="89"/>
    <s v="Inc Ford"/>
    <x v="1"/>
    <n v="25302.112634011199"/>
    <n v="268"/>
    <x v="2"/>
    <d v="2022-06-28T00:00:00"/>
    <s v="Penicillin"/>
    <x v="2"/>
    <s v="High"/>
    <s v="Under Treatment"/>
    <s v="High Risk"/>
    <x v="3"/>
  </r>
  <r>
    <x v="90"/>
    <n v="80"/>
    <x v="0"/>
    <s v="A+"/>
    <x v="2"/>
    <d v="2022-11-05T00:00:00"/>
    <x v="90"/>
    <s v="Dean-Hawkins"/>
    <x v="3"/>
    <n v="10661.510649132701"/>
    <n v="120"/>
    <x v="1"/>
    <d v="2022-11-25T00:00:00"/>
    <s v="Lipitor"/>
    <x v="2"/>
    <s v="Medium"/>
    <s v="Under Treatment"/>
    <s v="High Risk"/>
    <x v="2"/>
  </r>
  <r>
    <x v="91"/>
    <n v="35"/>
    <x v="1"/>
    <s v="B+"/>
    <x v="2"/>
    <d v="2021-09-10T00:00:00"/>
    <x v="91"/>
    <s v="Walter PLC"/>
    <x v="0"/>
    <n v="30358.194579544699"/>
    <n v="318"/>
    <x v="2"/>
    <d v="2021-09-18T00:00:00"/>
    <s v="Ibuprofen"/>
    <x v="1"/>
    <s v="High"/>
    <s v="Under Treatment"/>
    <s v="High Risk"/>
    <x v="0"/>
  </r>
  <r>
    <x v="92"/>
    <n v="84"/>
    <x v="0"/>
    <s v="A+"/>
    <x v="3"/>
    <d v="2022-09-06T00:00:00"/>
    <x v="92"/>
    <s v="Sons Horn and"/>
    <x v="4"/>
    <n v="23684.525472744801"/>
    <n v="162"/>
    <x v="0"/>
    <d v="2022-09-27T00:00:00"/>
    <s v="Ibuprofen"/>
    <x v="1"/>
    <s v="High"/>
    <s v="Under Treatment"/>
    <s v="High Risk"/>
    <x v="2"/>
  </r>
  <r>
    <x v="93"/>
    <n v="76"/>
    <x v="0"/>
    <s v="A+"/>
    <x v="2"/>
    <d v="2021-04-17T00:00:00"/>
    <x v="93"/>
    <s v="Powell Ward, and Mercado"/>
    <x v="2"/>
    <n v="3908.9465679463101"/>
    <n v="428"/>
    <x v="2"/>
    <d v="2021-05-10T00:00:00"/>
    <s v="Lipitor"/>
    <x v="1"/>
    <s v="Low"/>
    <s v="Under Treatment"/>
    <s v="High Risk"/>
    <x v="2"/>
  </r>
  <r>
    <x v="94"/>
    <n v="79"/>
    <x v="1"/>
    <s v="A-"/>
    <x v="4"/>
    <d v="2019-08-19T00:00:00"/>
    <x v="94"/>
    <s v="James Ltd"/>
    <x v="1"/>
    <n v="25503.673806851999"/>
    <n v="144"/>
    <x v="2"/>
    <d v="2019-08-26T00:00:00"/>
    <s v="Lipitor"/>
    <x v="2"/>
    <s v="High"/>
    <s v="Under Treatment"/>
    <s v="High Risk"/>
    <x v="2"/>
  </r>
  <r>
    <x v="95"/>
    <n v="76"/>
    <x v="1"/>
    <s v="O+"/>
    <x v="2"/>
    <d v="2024-03-24T00:00:00"/>
    <x v="95"/>
    <s v="Kemp-Munoz"/>
    <x v="2"/>
    <n v="6312.6076910185202"/>
    <n v="226"/>
    <x v="2"/>
    <d v="2024-04-14T00:00:00"/>
    <s v="Aspirin"/>
    <x v="2"/>
    <s v="Medium"/>
    <s v="Under Treatment"/>
    <s v="High Risk"/>
    <x v="2"/>
  </r>
  <r>
    <x v="96"/>
    <n v="55"/>
    <x v="1"/>
    <s v="A+"/>
    <x v="2"/>
    <d v="2022-12-10T00:00:00"/>
    <x v="96"/>
    <s v="Henderson-Taylor"/>
    <x v="3"/>
    <n v="21772.341398649602"/>
    <n v="459"/>
    <x v="2"/>
    <d v="2022-12-31T00:00:00"/>
    <s v="Ibuprofen"/>
    <x v="0"/>
    <s v="High"/>
    <s v="Under Treatment"/>
    <s v="High Risk"/>
    <x v="1"/>
  </r>
  <r>
    <x v="97"/>
    <n v="53"/>
    <x v="0"/>
    <s v="B-"/>
    <x v="0"/>
    <d v="2022-09-14T00:00:00"/>
    <x v="97"/>
    <s v="Parsons, Hartman Martinez and"/>
    <x v="0"/>
    <n v="30437.001787640998"/>
    <n v="208"/>
    <x v="2"/>
    <d v="2022-09-18T00:00:00"/>
    <s v="Aspirin"/>
    <x v="0"/>
    <s v="High"/>
    <s v="Under Treatment"/>
    <s v="High Risk"/>
    <x v="1"/>
  </r>
  <r>
    <x v="98"/>
    <n v="18"/>
    <x v="0"/>
    <s v="B+"/>
    <x v="3"/>
    <d v="2022-10-18T00:00:00"/>
    <x v="98"/>
    <s v="Luna Inc"/>
    <x v="3"/>
    <n v="28837.677052507199"/>
    <n v="227"/>
    <x v="2"/>
    <d v="2022-11-11T00:00:00"/>
    <s v="Aspirin"/>
    <x v="2"/>
    <s v="High"/>
    <s v="Under Treatment"/>
    <s v="High Risk"/>
    <x v="4"/>
  </r>
  <r>
    <x v="99"/>
    <n v="70"/>
    <x v="0"/>
    <s v="B+"/>
    <x v="2"/>
    <d v="2022-07-08T00:00:00"/>
    <x v="99"/>
    <s v="Reed LLC"/>
    <x v="2"/>
    <n v="7187.2723460995003"/>
    <n v="402"/>
    <x v="1"/>
    <d v="2022-07-25T00:00:00"/>
    <s v="Aspirin"/>
    <x v="0"/>
    <s v="Medium"/>
    <s v="Under Treatment"/>
    <s v="High Risk"/>
    <x v="2"/>
  </r>
  <r>
    <x v="100"/>
    <n v="21"/>
    <x v="0"/>
    <s v="A+"/>
    <x v="2"/>
    <d v="2023-06-25T00:00:00"/>
    <x v="100"/>
    <s v="Thompson-Walker"/>
    <x v="3"/>
    <n v="3125.7364766012502"/>
    <n v="442"/>
    <x v="0"/>
    <d v="2023-07-11T00:00:00"/>
    <s v="Ibuprofen"/>
    <x v="0"/>
    <s v="Low"/>
    <s v="Under Treatment"/>
    <s v="High Risk"/>
    <x v="0"/>
  </r>
  <r>
    <x v="101"/>
    <n v="47"/>
    <x v="0"/>
    <s v="A-"/>
    <x v="2"/>
    <d v="2019-07-09T00:00:00"/>
    <x v="101"/>
    <s v="Group Nguyen"/>
    <x v="1"/>
    <n v="31516.1007343743"/>
    <n v="418"/>
    <x v="2"/>
    <d v="2019-08-05T00:00:00"/>
    <s v="Penicillin"/>
    <x v="1"/>
    <s v="High"/>
    <s v="Under Treatment"/>
    <s v="High Risk"/>
    <x v="3"/>
  </r>
  <r>
    <x v="102"/>
    <n v="85"/>
    <x v="0"/>
    <s v="A-"/>
    <x v="5"/>
    <d v="2021-05-14T00:00:00"/>
    <x v="102"/>
    <s v="Newton-White"/>
    <x v="3"/>
    <n v="40014.762348457902"/>
    <n v="425"/>
    <x v="1"/>
    <d v="2021-06-03T00:00:00"/>
    <s v="Aspirin"/>
    <x v="2"/>
    <s v="High"/>
    <s v="Under Treatment"/>
    <s v="High Risk"/>
    <x v="2"/>
  </r>
  <r>
    <x v="103"/>
    <n v="28"/>
    <x v="0"/>
    <s v="O+"/>
    <x v="0"/>
    <d v="2024-01-15T00:00:00"/>
    <x v="103"/>
    <s v="Ltd Thomas"/>
    <x v="1"/>
    <n v="40782.9278084865"/>
    <n v="373"/>
    <x v="2"/>
    <d v="2024-02-07T00:00:00"/>
    <s v="Ibuprofen"/>
    <x v="2"/>
    <s v="High"/>
    <s v="Under Treatment"/>
    <s v="High Risk"/>
    <x v="0"/>
  </r>
  <r>
    <x v="104"/>
    <n v="62"/>
    <x v="0"/>
    <s v="A-"/>
    <x v="1"/>
    <d v="2019-09-30T00:00:00"/>
    <x v="104"/>
    <s v="Pierce Ward, Torres and"/>
    <x v="4"/>
    <n v="3879.0846018133898"/>
    <n v="290"/>
    <x v="2"/>
    <d v="2019-10-15T00:00:00"/>
    <s v="Aspirin"/>
    <x v="1"/>
    <s v="Low"/>
    <s v="Under Treatment"/>
    <s v="High Risk"/>
    <x v="1"/>
  </r>
  <r>
    <x v="105"/>
    <n v="49"/>
    <x v="1"/>
    <s v="B-"/>
    <x v="5"/>
    <d v="2021-03-05T00:00:00"/>
    <x v="105"/>
    <s v="Evans and Hall Schneider,"/>
    <x v="1"/>
    <n v="24948.477824026901"/>
    <n v="361"/>
    <x v="1"/>
    <d v="2021-03-20T00:00:00"/>
    <s v="Penicillin"/>
    <x v="2"/>
    <s v="High"/>
    <s v="Under Treatment"/>
    <s v="High Risk"/>
    <x v="3"/>
  </r>
  <r>
    <x v="106"/>
    <n v="53"/>
    <x v="0"/>
    <s v="B+"/>
    <x v="0"/>
    <d v="2023-06-08T00:00:00"/>
    <x v="106"/>
    <s v="Cruz Ltd"/>
    <x v="3"/>
    <n v="27360.4618905512"/>
    <n v="231"/>
    <x v="2"/>
    <d v="2023-07-05T00:00:00"/>
    <s v="Ibuprofen"/>
    <x v="2"/>
    <s v="High"/>
    <s v="Under Treatment"/>
    <s v="High Risk"/>
    <x v="1"/>
  </r>
  <r>
    <x v="107"/>
    <n v="55"/>
    <x v="0"/>
    <s v="AB-"/>
    <x v="3"/>
    <d v="2022-05-13T00:00:00"/>
    <x v="107"/>
    <s v="Stewart Sons and"/>
    <x v="2"/>
    <n v="37405.696528631197"/>
    <n v="212"/>
    <x v="2"/>
    <d v="2022-05-20T00:00:00"/>
    <s v="Paracetamol"/>
    <x v="0"/>
    <s v="High"/>
    <s v="Under Treatment"/>
    <s v="High Risk"/>
    <x v="1"/>
  </r>
  <r>
    <x v="108"/>
    <n v="52"/>
    <x v="0"/>
    <s v="AB-"/>
    <x v="4"/>
    <d v="2023-08-25T00:00:00"/>
    <x v="108"/>
    <s v="Ramirez-Robinson"/>
    <x v="1"/>
    <n v="23737.399323627"/>
    <n v="414"/>
    <x v="0"/>
    <d v="2023-09-18T00:00:00"/>
    <s v="Lipitor"/>
    <x v="0"/>
    <s v="High"/>
    <s v="Under Treatment"/>
    <s v="High Risk"/>
    <x v="1"/>
  </r>
  <r>
    <x v="109"/>
    <n v="67"/>
    <x v="0"/>
    <s v="AB-"/>
    <x v="1"/>
    <d v="2019-06-02T00:00:00"/>
    <x v="109"/>
    <s v="Garcia, and Bishop Hernandez"/>
    <x v="2"/>
    <n v="3326.3826746815098"/>
    <n v="424"/>
    <x v="1"/>
    <d v="2019-06-04T00:00:00"/>
    <s v="Lipitor"/>
    <x v="1"/>
    <s v="Low"/>
    <s v="Under Treatment"/>
    <s v="High Risk"/>
    <x v="2"/>
  </r>
  <r>
    <x v="110"/>
    <n v="82"/>
    <x v="1"/>
    <s v="A+"/>
    <x v="4"/>
    <d v="2021-11-19T00:00:00"/>
    <x v="110"/>
    <s v="and Brown Oneal, Shah"/>
    <x v="1"/>
    <n v="23067.6721652454"/>
    <n v="307"/>
    <x v="2"/>
    <d v="2021-12-12T00:00:00"/>
    <s v="Ibuprofen"/>
    <x v="0"/>
    <s v="High"/>
    <s v="Under Treatment"/>
    <s v="High Risk"/>
    <x v="2"/>
  </r>
  <r>
    <x v="111"/>
    <n v="37"/>
    <x v="1"/>
    <s v="O+"/>
    <x v="3"/>
    <d v="2019-12-02T00:00:00"/>
    <x v="111"/>
    <s v="Group White"/>
    <x v="2"/>
    <n v="8521.2142526710904"/>
    <n v="476"/>
    <x v="2"/>
    <d v="2019-12-13T00:00:00"/>
    <s v="Penicillin"/>
    <x v="2"/>
    <s v="Medium"/>
    <s v="Under Treatment"/>
    <s v="High Risk"/>
    <x v="3"/>
  </r>
  <r>
    <x v="112"/>
    <n v="52"/>
    <x v="1"/>
    <s v="AB-"/>
    <x v="0"/>
    <d v="2020-08-21T00:00:00"/>
    <x v="112"/>
    <s v="Hughes and Erickson, Anderson"/>
    <x v="4"/>
    <n v="47985.167338327701"/>
    <n v="388"/>
    <x v="2"/>
    <d v="2020-09-06T00:00:00"/>
    <s v="Penicillin"/>
    <x v="1"/>
    <s v="High"/>
    <s v="Under Treatment"/>
    <s v="High Risk"/>
    <x v="1"/>
  </r>
  <r>
    <x v="113"/>
    <n v="37"/>
    <x v="1"/>
    <s v="B+"/>
    <x v="3"/>
    <d v="2021-02-12T00:00:00"/>
    <x v="113"/>
    <s v="Lane-Kelly"/>
    <x v="3"/>
    <n v="25230.246881802399"/>
    <n v="326"/>
    <x v="2"/>
    <d v="2021-03-11T00:00:00"/>
    <s v="Ibuprofen"/>
    <x v="1"/>
    <s v="High"/>
    <s v="Under Treatment"/>
    <s v="High Risk"/>
    <x v="3"/>
  </r>
  <r>
    <x v="114"/>
    <n v="83"/>
    <x v="1"/>
    <s v="A+"/>
    <x v="2"/>
    <d v="2024-01-13T00:00:00"/>
    <x v="114"/>
    <s v="Cox-Hester"/>
    <x v="0"/>
    <n v="10352.208486740799"/>
    <n v="394"/>
    <x v="0"/>
    <d v="2024-01-22T00:00:00"/>
    <s v="Aspirin"/>
    <x v="2"/>
    <s v="Medium"/>
    <s v="Under Treatment"/>
    <s v="High Risk"/>
    <x v="2"/>
  </r>
  <r>
    <x v="115"/>
    <n v="33"/>
    <x v="0"/>
    <s v="O-"/>
    <x v="5"/>
    <d v="2021-12-26T00:00:00"/>
    <x v="115"/>
    <s v="Jarvis Scott, Fleming and"/>
    <x v="1"/>
    <n v="6175.8672492924197"/>
    <n v="138"/>
    <x v="0"/>
    <d v="2022-01-12T00:00:00"/>
    <s v="Aspirin"/>
    <x v="2"/>
    <s v="Medium"/>
    <s v="Under Treatment"/>
    <s v="High Risk"/>
    <x v="0"/>
  </r>
  <r>
    <x v="116"/>
    <n v="19"/>
    <x v="1"/>
    <s v="B+"/>
    <x v="0"/>
    <d v="2021-07-03T00:00:00"/>
    <x v="116"/>
    <s v="Johnson, and Ross Harris"/>
    <x v="1"/>
    <n v="33681.572644101499"/>
    <n v="177"/>
    <x v="2"/>
    <d v="2021-07-31T00:00:00"/>
    <s v="Ibuprofen"/>
    <x v="2"/>
    <s v="High"/>
    <s v="Under Treatment"/>
    <s v="High Risk"/>
    <x v="0"/>
  </r>
  <r>
    <x v="117"/>
    <n v="85"/>
    <x v="1"/>
    <s v="O+"/>
    <x v="1"/>
    <d v="2020-05-31T00:00:00"/>
    <x v="117"/>
    <s v="Kim Rosario, and Hammond"/>
    <x v="2"/>
    <n v="39957.940622229697"/>
    <n v="211"/>
    <x v="0"/>
    <d v="2020-06-01T00:00:00"/>
    <s v="Ibuprofen"/>
    <x v="0"/>
    <s v="High"/>
    <s v="Under Treatment"/>
    <s v="High Risk"/>
    <x v="2"/>
  </r>
  <r>
    <x v="118"/>
    <n v="19"/>
    <x v="0"/>
    <s v="B+"/>
    <x v="0"/>
    <d v="2020-10-26T00:00:00"/>
    <x v="118"/>
    <s v="PLC Jimenez"/>
    <x v="3"/>
    <n v="49833.707717854501"/>
    <n v="302"/>
    <x v="2"/>
    <d v="2020-11-17T00:00:00"/>
    <s v="Lipitor"/>
    <x v="1"/>
    <s v="High"/>
    <s v="Under Treatment"/>
    <s v="High Risk"/>
    <x v="0"/>
  </r>
  <r>
    <x v="119"/>
    <n v="50"/>
    <x v="1"/>
    <s v="B-"/>
    <x v="3"/>
    <d v="2021-06-03T00:00:00"/>
    <x v="119"/>
    <s v="Cantu-Berry"/>
    <x v="2"/>
    <n v="48175.466116807896"/>
    <n v="368"/>
    <x v="0"/>
    <d v="2021-07-01T00:00:00"/>
    <s v="Paracetamol"/>
    <x v="1"/>
    <s v="High"/>
    <s v="Under Treatment"/>
    <s v="High Risk"/>
    <x v="3"/>
  </r>
  <r>
    <x v="120"/>
    <n v="50"/>
    <x v="1"/>
    <s v="O-"/>
    <x v="1"/>
    <d v="2020-10-24T00:00:00"/>
    <x v="120"/>
    <s v="Wright-Alexander"/>
    <x v="3"/>
    <n v="40133.967392455103"/>
    <n v="130"/>
    <x v="0"/>
    <d v="2020-11-13T00:00:00"/>
    <s v="Ibuprofen"/>
    <x v="0"/>
    <s v="High"/>
    <s v="Under Treatment"/>
    <s v="High Risk"/>
    <x v="3"/>
  </r>
  <r>
    <x v="121"/>
    <n v="40"/>
    <x v="0"/>
    <s v="O+"/>
    <x v="1"/>
    <d v="2019-08-27T00:00:00"/>
    <x v="121"/>
    <s v="Guzman-Carlson"/>
    <x v="2"/>
    <n v="9585.9521279937198"/>
    <n v="424"/>
    <x v="0"/>
    <d v="2019-09-06T00:00:00"/>
    <s v="Lipitor"/>
    <x v="1"/>
    <s v="Medium"/>
    <s v="Under Treatment"/>
    <s v="High Risk"/>
    <x v="3"/>
  </r>
  <r>
    <x v="122"/>
    <n v="57"/>
    <x v="0"/>
    <s v="AB-"/>
    <x v="1"/>
    <d v="2021-11-30T00:00:00"/>
    <x v="122"/>
    <s v="Meyer-Hill"/>
    <x v="1"/>
    <n v="40693.354223953502"/>
    <n v="430"/>
    <x v="1"/>
    <d v="2021-12-09T00:00:00"/>
    <s v="Aspirin"/>
    <x v="2"/>
    <s v="High"/>
    <s v="Under Treatment"/>
    <s v="High Risk"/>
    <x v="1"/>
  </r>
  <r>
    <x v="123"/>
    <n v="82"/>
    <x v="0"/>
    <s v="AB+"/>
    <x v="1"/>
    <d v="2023-10-15T00:00:00"/>
    <x v="123"/>
    <s v="Dudley-Atkinson"/>
    <x v="3"/>
    <n v="16399.2657610018"/>
    <n v="133"/>
    <x v="1"/>
    <d v="2023-11-08T00:00:00"/>
    <s v="Penicillin"/>
    <x v="2"/>
    <s v="High"/>
    <s v="Under Treatment"/>
    <s v="High Risk"/>
    <x v="2"/>
  </r>
  <r>
    <x v="124"/>
    <n v="20"/>
    <x v="0"/>
    <s v="AB+"/>
    <x v="2"/>
    <d v="2024-03-17T00:00:00"/>
    <x v="124"/>
    <s v="Kelly-Allen"/>
    <x v="0"/>
    <n v="44939.565524760998"/>
    <n v="430"/>
    <x v="1"/>
    <d v="2024-03-28T00:00:00"/>
    <s v="Ibuprofen"/>
    <x v="1"/>
    <s v="High"/>
    <s v="Under Treatment"/>
    <s v="High Risk"/>
    <x v="0"/>
  </r>
  <r>
    <x v="125"/>
    <n v="20"/>
    <x v="0"/>
    <s v="B+"/>
    <x v="4"/>
    <d v="2019-10-13T00:00:00"/>
    <x v="125"/>
    <s v="Lewis Livingston, Lowe and"/>
    <x v="0"/>
    <n v="10663.9100050385"/>
    <n v="104"/>
    <x v="1"/>
    <d v="2019-10-16T00:00:00"/>
    <s v="Aspirin"/>
    <x v="0"/>
    <s v="Medium"/>
    <s v="Under Treatment"/>
    <s v="High Risk"/>
    <x v="0"/>
  </r>
  <r>
    <x v="126"/>
    <n v="19"/>
    <x v="1"/>
    <s v="A-"/>
    <x v="4"/>
    <d v="2020-03-02T00:00:00"/>
    <x v="126"/>
    <s v="Rodriguez Ltd"/>
    <x v="4"/>
    <n v="22564.787983517199"/>
    <n v="408"/>
    <x v="2"/>
    <d v="2020-03-07T00:00:00"/>
    <s v="Paracetamol"/>
    <x v="0"/>
    <s v="High"/>
    <s v="Under Treatment"/>
    <s v="High Risk"/>
    <x v="0"/>
  </r>
  <r>
    <x v="127"/>
    <n v="32"/>
    <x v="1"/>
    <s v="AB-"/>
    <x v="0"/>
    <d v="2019-11-05T00:00:00"/>
    <x v="127"/>
    <s v="and Johnson Moore, Branch"/>
    <x v="2"/>
    <n v="-502.507812700947"/>
    <n v="376"/>
    <x v="0"/>
    <d v="2019-11-23T00:00:00"/>
    <s v="Penicillin"/>
    <x v="0"/>
    <s v="Low"/>
    <s v="Under Treatment"/>
    <s v="High Risk"/>
    <x v="0"/>
  </r>
  <r>
    <x v="128"/>
    <n v="55"/>
    <x v="0"/>
    <s v="B-"/>
    <x v="2"/>
    <d v="2021-02-07T00:00:00"/>
    <x v="128"/>
    <s v="Holmes and Hughes, Phillips"/>
    <x v="4"/>
    <n v="34758.256750986002"/>
    <n v="331"/>
    <x v="1"/>
    <d v="2021-03-05T00:00:00"/>
    <s v="Aspirin"/>
    <x v="0"/>
    <s v="High"/>
    <s v="Under Treatment"/>
    <s v="High Risk"/>
    <x v="1"/>
  </r>
  <r>
    <x v="129"/>
    <n v="81"/>
    <x v="0"/>
    <s v="B+"/>
    <x v="4"/>
    <d v="2021-10-25T00:00:00"/>
    <x v="129"/>
    <s v="and Smith, Tucker Cross"/>
    <x v="3"/>
    <n v="46377.865149231497"/>
    <n v="275"/>
    <x v="0"/>
    <d v="2021-11-22T00:00:00"/>
    <s v="Lipitor"/>
    <x v="0"/>
    <s v="High"/>
    <s v="Under Treatment"/>
    <s v="High Risk"/>
    <x v="2"/>
  </r>
  <r>
    <x v="130"/>
    <n v="26"/>
    <x v="0"/>
    <s v="O-"/>
    <x v="4"/>
    <d v="2022-07-24T00:00:00"/>
    <x v="130"/>
    <s v="Sons and Lozano"/>
    <x v="0"/>
    <n v="7555.7729648088398"/>
    <n v="425"/>
    <x v="2"/>
    <d v="2022-07-31T00:00:00"/>
    <s v="Paracetamol"/>
    <x v="2"/>
    <s v="Medium"/>
    <s v="Under Treatment"/>
    <s v="High Risk"/>
    <x v="0"/>
  </r>
  <r>
    <x v="131"/>
    <n v="54"/>
    <x v="1"/>
    <s v="AB+"/>
    <x v="0"/>
    <d v="2020-03-04T00:00:00"/>
    <x v="131"/>
    <s v="Russell Ltd"/>
    <x v="3"/>
    <n v="14299.993446906699"/>
    <n v="480"/>
    <x v="1"/>
    <d v="2020-03-05T00:00:00"/>
    <s v="Lipitor"/>
    <x v="2"/>
    <s v="Medium"/>
    <s v="Under Treatment"/>
    <s v="High Risk"/>
    <x v="1"/>
  </r>
  <r>
    <x v="132"/>
    <n v="57"/>
    <x v="0"/>
    <s v="B-"/>
    <x v="5"/>
    <d v="2021-08-01T00:00:00"/>
    <x v="132"/>
    <s v="Jones Ltd"/>
    <x v="4"/>
    <n v="46429.508203722602"/>
    <n v="233"/>
    <x v="2"/>
    <d v="2021-08-19T00:00:00"/>
    <s v="Paracetamol"/>
    <x v="1"/>
    <s v="High"/>
    <s v="Under Treatment"/>
    <s v="High Risk"/>
    <x v="1"/>
  </r>
  <r>
    <x v="133"/>
    <n v="38"/>
    <x v="1"/>
    <s v="AB+"/>
    <x v="3"/>
    <d v="2020-01-24T00:00:00"/>
    <x v="133"/>
    <s v="Gordon-Ward"/>
    <x v="1"/>
    <n v="17978.950744896101"/>
    <n v="384"/>
    <x v="2"/>
    <d v="2020-02-12T00:00:00"/>
    <s v="Ibuprofen"/>
    <x v="2"/>
    <s v="High"/>
    <s v="Under Treatment"/>
    <s v="High Risk"/>
    <x v="3"/>
  </r>
  <r>
    <x v="134"/>
    <n v="54"/>
    <x v="0"/>
    <s v="O+"/>
    <x v="1"/>
    <d v="2021-07-30T00:00:00"/>
    <x v="134"/>
    <s v="Barnes and Sons"/>
    <x v="1"/>
    <n v="32629.0677482352"/>
    <n v="380"/>
    <x v="2"/>
    <d v="2021-08-13T00:00:00"/>
    <s v="Paracetamol"/>
    <x v="0"/>
    <s v="High"/>
    <s v="Under Treatment"/>
    <s v="High Risk"/>
    <x v="1"/>
  </r>
  <r>
    <x v="135"/>
    <n v="42"/>
    <x v="0"/>
    <s v="A+"/>
    <x v="2"/>
    <d v="2024-01-04T00:00:00"/>
    <x v="135"/>
    <s v="Levine-Miller"/>
    <x v="1"/>
    <n v="22356.2264918334"/>
    <n v="310"/>
    <x v="0"/>
    <d v="2024-02-03T00:00:00"/>
    <s v="Aspirin"/>
    <x v="1"/>
    <s v="High"/>
    <s v="Under Treatment"/>
    <s v="High Risk"/>
    <x v="3"/>
  </r>
  <r>
    <x v="136"/>
    <n v="20"/>
    <x v="0"/>
    <s v="O-"/>
    <x v="2"/>
    <d v="2024-01-05T00:00:00"/>
    <x v="136"/>
    <s v="and Marquez Silva Smith,"/>
    <x v="1"/>
    <n v="48995.980591657099"/>
    <n v="406"/>
    <x v="2"/>
    <d v="2024-02-04T00:00:00"/>
    <s v="Lipitor"/>
    <x v="0"/>
    <s v="High"/>
    <s v="Under Treatment"/>
    <s v="High Risk"/>
    <x v="0"/>
  </r>
  <r>
    <x v="137"/>
    <n v="44"/>
    <x v="1"/>
    <s v="O-"/>
    <x v="4"/>
    <d v="2020-08-11T00:00:00"/>
    <x v="137"/>
    <s v="Jackson-Copeland"/>
    <x v="3"/>
    <n v="4532.4835536168703"/>
    <n v="213"/>
    <x v="1"/>
    <d v="2020-09-04T00:00:00"/>
    <s v="Lipitor"/>
    <x v="1"/>
    <s v="Low"/>
    <s v="Under Treatment"/>
    <s v="High Risk"/>
    <x v="3"/>
  </r>
  <r>
    <x v="138"/>
    <n v="21"/>
    <x v="1"/>
    <s v="AB-"/>
    <x v="5"/>
    <d v="2022-04-02T00:00:00"/>
    <x v="138"/>
    <s v="Ltd Conrad"/>
    <x v="2"/>
    <n v="1589.5035231858601"/>
    <n v="244"/>
    <x v="1"/>
    <d v="2022-04-09T00:00:00"/>
    <s v="Aspirin"/>
    <x v="1"/>
    <s v="Low"/>
    <s v="Under Treatment"/>
    <s v="High Risk"/>
    <x v="0"/>
  </r>
  <r>
    <x v="139"/>
    <n v="45"/>
    <x v="1"/>
    <s v="AB+"/>
    <x v="2"/>
    <d v="2020-06-03T00:00:00"/>
    <x v="139"/>
    <s v="Hampton-Thomas"/>
    <x v="1"/>
    <n v="22950.651139182501"/>
    <n v="233"/>
    <x v="2"/>
    <d v="2020-06-22T00:00:00"/>
    <s v="Ibuprofen"/>
    <x v="2"/>
    <s v="High"/>
    <s v="Under Treatment"/>
    <s v="High Risk"/>
    <x v="3"/>
  </r>
  <r>
    <x v="140"/>
    <n v="68"/>
    <x v="1"/>
    <s v="B+"/>
    <x v="5"/>
    <d v="2019-08-16T00:00:00"/>
    <x v="140"/>
    <s v="Thomas-Kelley"/>
    <x v="2"/>
    <n v="2678.9539360591002"/>
    <n v="427"/>
    <x v="0"/>
    <d v="2019-08-21T00:00:00"/>
    <s v="Paracetamol"/>
    <x v="2"/>
    <s v="Low"/>
    <s v="Under Treatment"/>
    <s v="High Risk"/>
    <x v="2"/>
  </r>
  <r>
    <x v="141"/>
    <n v="27"/>
    <x v="0"/>
    <s v="A+"/>
    <x v="4"/>
    <d v="2024-02-22T00:00:00"/>
    <x v="141"/>
    <s v="Myers-Monroe"/>
    <x v="3"/>
    <n v="39615.600655704598"/>
    <n v="500"/>
    <x v="0"/>
    <d v="2024-02-24T00:00:00"/>
    <s v="Penicillin"/>
    <x v="1"/>
    <s v="High"/>
    <s v="Under Treatment"/>
    <s v="High Risk"/>
    <x v="0"/>
  </r>
  <r>
    <x v="142"/>
    <n v="42"/>
    <x v="0"/>
    <s v="AB-"/>
    <x v="3"/>
    <d v="2021-05-06T00:00:00"/>
    <x v="142"/>
    <s v="and Ford Lee, Rodriguez"/>
    <x v="1"/>
    <n v="13355.7820854809"/>
    <n v="451"/>
    <x v="2"/>
    <d v="2021-05-29T00:00:00"/>
    <s v="Ibuprofen"/>
    <x v="1"/>
    <s v="Medium"/>
    <s v="Under Treatment"/>
    <s v="High Risk"/>
    <x v="3"/>
  </r>
  <r>
    <x v="143"/>
    <n v="27"/>
    <x v="1"/>
    <s v="B-"/>
    <x v="3"/>
    <d v="2021-10-27T00:00:00"/>
    <x v="143"/>
    <s v="Sons Garcia and"/>
    <x v="2"/>
    <n v="32561.5304064226"/>
    <n v="485"/>
    <x v="2"/>
    <d v="2021-11-04T00:00:00"/>
    <s v="Ibuprofen"/>
    <x v="1"/>
    <s v="High"/>
    <s v="Under Treatment"/>
    <s v="High Risk"/>
    <x v="0"/>
  </r>
  <r>
    <x v="144"/>
    <n v="80"/>
    <x v="0"/>
    <s v="B+"/>
    <x v="3"/>
    <d v="2020-09-01T00:00:00"/>
    <x v="144"/>
    <s v="Perry Little, and Moore"/>
    <x v="1"/>
    <n v="29221.340207679099"/>
    <n v="208"/>
    <x v="1"/>
    <d v="2020-09-17T00:00:00"/>
    <s v="Paracetamol"/>
    <x v="1"/>
    <s v="High"/>
    <s v="Under Treatment"/>
    <s v="High Risk"/>
    <x v="2"/>
  </r>
  <r>
    <x v="145"/>
    <n v="21"/>
    <x v="0"/>
    <s v="O+"/>
    <x v="2"/>
    <d v="2021-05-26T00:00:00"/>
    <x v="145"/>
    <s v="Anderson Group"/>
    <x v="1"/>
    <n v="12880.6524127714"/>
    <n v="267"/>
    <x v="0"/>
    <d v="2021-06-22T00:00:00"/>
    <s v="Penicillin"/>
    <x v="0"/>
    <s v="Medium"/>
    <s v="Under Treatment"/>
    <s v="High Risk"/>
    <x v="0"/>
  </r>
  <r>
    <x v="146"/>
    <n v="84"/>
    <x v="1"/>
    <s v="A-"/>
    <x v="1"/>
    <d v="2022-06-22T00:00:00"/>
    <x v="146"/>
    <s v="Rodriguez and Sons"/>
    <x v="2"/>
    <n v="15475.403236542499"/>
    <n v="154"/>
    <x v="2"/>
    <d v="2022-07-22T00:00:00"/>
    <s v="Ibuprofen"/>
    <x v="2"/>
    <s v="High"/>
    <s v="Under Treatment"/>
    <s v="High Risk"/>
    <x v="2"/>
  </r>
  <r>
    <x v="147"/>
    <n v="67"/>
    <x v="1"/>
    <s v="O-"/>
    <x v="5"/>
    <d v="2023-05-17T00:00:00"/>
    <x v="147"/>
    <s v="Thomas-Huber"/>
    <x v="1"/>
    <n v="27309.436760697201"/>
    <n v="293"/>
    <x v="2"/>
    <d v="2023-05-31T00:00:00"/>
    <s v="Aspirin"/>
    <x v="2"/>
    <s v="High"/>
    <s v="Under Treatment"/>
    <s v="High Risk"/>
    <x v="2"/>
  </r>
  <r>
    <x v="148"/>
    <n v="66"/>
    <x v="0"/>
    <s v="AB+"/>
    <x v="5"/>
    <d v="2021-06-23T00:00:00"/>
    <x v="148"/>
    <s v="Robinson Inc"/>
    <x v="1"/>
    <n v="1897.8917271476701"/>
    <n v="196"/>
    <x v="2"/>
    <d v="2021-07-09T00:00:00"/>
    <s v="Ibuprofen"/>
    <x v="2"/>
    <s v="Low"/>
    <s v="Under Treatment"/>
    <s v="High Risk"/>
    <x v="2"/>
  </r>
  <r>
    <x v="149"/>
    <n v="37"/>
    <x v="1"/>
    <s v="A-"/>
    <x v="0"/>
    <d v="2023-11-17T00:00:00"/>
    <x v="149"/>
    <s v="Wood-Mathews"/>
    <x v="2"/>
    <n v="31308.206008495101"/>
    <n v="466"/>
    <x v="0"/>
    <d v="2023-11-25T00:00:00"/>
    <s v="Penicillin"/>
    <x v="0"/>
    <s v="High"/>
    <s v="Under Treatment"/>
    <s v="High Risk"/>
    <x v="3"/>
  </r>
  <r>
    <x v="150"/>
    <n v="30"/>
    <x v="1"/>
    <s v="A-"/>
    <x v="2"/>
    <d v="2020-10-11T00:00:00"/>
    <x v="150"/>
    <s v="Walker and Gardner Fernandez,"/>
    <x v="1"/>
    <n v="42792.2412821748"/>
    <n v="468"/>
    <x v="2"/>
    <d v="2020-10-21T00:00:00"/>
    <s v="Ibuprofen"/>
    <x v="2"/>
    <s v="High"/>
    <s v="Under Treatment"/>
    <s v="High Risk"/>
    <x v="0"/>
  </r>
  <r>
    <x v="151"/>
    <n v="78"/>
    <x v="0"/>
    <s v="O+"/>
    <x v="2"/>
    <d v="2021-08-10T00:00:00"/>
    <x v="151"/>
    <s v="Smith and Johnston, Collins"/>
    <x v="4"/>
    <n v="14377.334318494601"/>
    <n v="114"/>
    <x v="1"/>
    <d v="2021-08-27T00:00:00"/>
    <s v="Penicillin"/>
    <x v="2"/>
    <s v="Medium"/>
    <s v="Under Treatment"/>
    <s v="High Risk"/>
    <x v="2"/>
  </r>
  <r>
    <x v="152"/>
    <n v="39"/>
    <x v="1"/>
    <s v="A+"/>
    <x v="2"/>
    <d v="2023-08-29T00:00:00"/>
    <x v="152"/>
    <s v="Sons Miller and"/>
    <x v="3"/>
    <n v="1150.8749860875801"/>
    <n v="408"/>
    <x v="0"/>
    <d v="2023-09-07T00:00:00"/>
    <s v="Penicillin"/>
    <x v="2"/>
    <s v="Low"/>
    <s v="Under Treatment"/>
    <s v="High Risk"/>
    <x v="3"/>
  </r>
  <r>
    <x v="153"/>
    <n v="29"/>
    <x v="0"/>
    <s v="O-"/>
    <x v="3"/>
    <d v="2020-02-27T00:00:00"/>
    <x v="153"/>
    <s v="Donaldson-Frey"/>
    <x v="1"/>
    <n v="41939.119936696297"/>
    <n v="453"/>
    <x v="2"/>
    <d v="2020-03-26T00:00:00"/>
    <s v="Ibuprofen"/>
    <x v="0"/>
    <s v="High"/>
    <s v="Under Treatment"/>
    <s v="High Risk"/>
    <x v="0"/>
  </r>
  <r>
    <x v="154"/>
    <n v="81"/>
    <x v="1"/>
    <s v="AB-"/>
    <x v="0"/>
    <d v="2021-07-07T00:00:00"/>
    <x v="154"/>
    <s v="Brown-Yoder"/>
    <x v="3"/>
    <n v="41982.374396232502"/>
    <n v="261"/>
    <x v="2"/>
    <d v="2021-07-15T00:00:00"/>
    <s v="Aspirin"/>
    <x v="2"/>
    <s v="High"/>
    <s v="Under Treatment"/>
    <s v="High Risk"/>
    <x v="2"/>
  </r>
  <r>
    <x v="155"/>
    <n v="66"/>
    <x v="1"/>
    <s v="AB-"/>
    <x v="1"/>
    <d v="2022-06-03T00:00:00"/>
    <x v="155"/>
    <s v="Morgan Rios and Keller,"/>
    <x v="4"/>
    <n v="33861.018631744599"/>
    <n v="115"/>
    <x v="2"/>
    <d v="2022-06-27T00:00:00"/>
    <s v="Aspirin"/>
    <x v="0"/>
    <s v="High"/>
    <s v="Under Treatment"/>
    <s v="High Risk"/>
    <x v="2"/>
  </r>
  <r>
    <x v="156"/>
    <n v="65"/>
    <x v="0"/>
    <s v="B-"/>
    <x v="3"/>
    <d v="2020-02-20T00:00:00"/>
    <x v="156"/>
    <s v="Gonzalez-King"/>
    <x v="2"/>
    <n v="49321.157631491697"/>
    <n v="167"/>
    <x v="1"/>
    <d v="2020-03-01T00:00:00"/>
    <s v="Penicillin"/>
    <x v="2"/>
    <s v="High"/>
    <s v="Under Treatment"/>
    <s v="High Risk"/>
    <x v="1"/>
  </r>
  <r>
    <x v="157"/>
    <n v="80"/>
    <x v="0"/>
    <s v="AB-"/>
    <x v="3"/>
    <d v="2021-02-05T00:00:00"/>
    <x v="157"/>
    <s v="Wagner Ltd"/>
    <x v="4"/>
    <n v="47433.278654711103"/>
    <n v="179"/>
    <x v="2"/>
    <d v="2021-03-05T00:00:00"/>
    <s v="Penicillin"/>
    <x v="1"/>
    <s v="High"/>
    <s v="Under Treatment"/>
    <s v="High Risk"/>
    <x v="2"/>
  </r>
  <r>
    <x v="158"/>
    <n v="85"/>
    <x v="0"/>
    <s v="O-"/>
    <x v="0"/>
    <d v="2023-12-06T00:00:00"/>
    <x v="158"/>
    <s v="James-Smith"/>
    <x v="4"/>
    <n v="50142.026947853003"/>
    <n v="258"/>
    <x v="2"/>
    <d v="2023-12-19T00:00:00"/>
    <s v="Ibuprofen"/>
    <x v="2"/>
    <s v="High"/>
    <s v="Under Treatment"/>
    <s v="High Risk"/>
    <x v="2"/>
  </r>
  <r>
    <x v="159"/>
    <n v="68"/>
    <x v="1"/>
    <s v="O+"/>
    <x v="4"/>
    <d v="2021-12-21T00:00:00"/>
    <x v="159"/>
    <s v="Hanson Group"/>
    <x v="2"/>
    <n v="12081.6790346649"/>
    <n v="483"/>
    <x v="0"/>
    <d v="2021-12-30T00:00:00"/>
    <s v="Lipitor"/>
    <x v="2"/>
    <s v="Medium"/>
    <s v="Under Treatment"/>
    <s v="High Risk"/>
    <x v="2"/>
  </r>
  <r>
    <x v="160"/>
    <n v="56"/>
    <x v="1"/>
    <s v="A-"/>
    <x v="0"/>
    <d v="2023-09-03T00:00:00"/>
    <x v="160"/>
    <s v="Mcclain-Reed"/>
    <x v="2"/>
    <n v="18030.790780235599"/>
    <n v="273"/>
    <x v="2"/>
    <d v="2023-09-30T00:00:00"/>
    <s v="Lipitor"/>
    <x v="1"/>
    <s v="High"/>
    <s v="Under Treatment"/>
    <s v="High Risk"/>
    <x v="1"/>
  </r>
  <r>
    <x v="161"/>
    <n v="53"/>
    <x v="1"/>
    <s v="O-"/>
    <x v="3"/>
    <d v="2020-10-18T00:00:00"/>
    <x v="161"/>
    <s v="Young-Smith"/>
    <x v="1"/>
    <n v="5142.1637634746803"/>
    <n v="120"/>
    <x v="2"/>
    <d v="2020-11-10T00:00:00"/>
    <s v="Paracetamol"/>
    <x v="2"/>
    <s v="Medium"/>
    <s v="Under Treatment"/>
    <s v="High Risk"/>
    <x v="1"/>
  </r>
  <r>
    <x v="162"/>
    <n v="57"/>
    <x v="1"/>
    <s v="O+"/>
    <x v="4"/>
    <d v="2023-08-28T00:00:00"/>
    <x v="162"/>
    <s v="Jones and Jones, Turner"/>
    <x v="4"/>
    <n v="20545.8717628298"/>
    <n v="198"/>
    <x v="0"/>
    <d v="2023-09-16T00:00:00"/>
    <s v="Penicillin"/>
    <x v="2"/>
    <s v="High"/>
    <s v="Under Treatment"/>
    <s v="High Risk"/>
    <x v="1"/>
  </r>
  <r>
    <x v="163"/>
    <n v="36"/>
    <x v="0"/>
    <s v="O+"/>
    <x v="5"/>
    <d v="2019-11-17T00:00:00"/>
    <x v="163"/>
    <s v="Spears-Shah"/>
    <x v="4"/>
    <n v="36869.725739039801"/>
    <n v="368"/>
    <x v="0"/>
    <d v="2019-12-01T00:00:00"/>
    <s v="Penicillin"/>
    <x v="0"/>
    <s v="High"/>
    <s v="Under Treatment"/>
    <s v="High Risk"/>
    <x v="3"/>
  </r>
  <r>
    <x v="164"/>
    <n v="20"/>
    <x v="1"/>
    <s v="B+"/>
    <x v="0"/>
    <d v="2020-11-22T00:00:00"/>
    <x v="164"/>
    <s v="and Anderson Smith Sanchez,"/>
    <x v="4"/>
    <n v="40598.422570878603"/>
    <n v="113"/>
    <x v="2"/>
    <d v="2020-12-17T00:00:00"/>
    <s v="Paracetamol"/>
    <x v="0"/>
    <s v="High"/>
    <s v="Under Treatment"/>
    <s v="High Risk"/>
    <x v="0"/>
  </r>
  <r>
    <x v="165"/>
    <n v="79"/>
    <x v="0"/>
    <s v="B+"/>
    <x v="1"/>
    <d v="2022-02-13T00:00:00"/>
    <x v="165"/>
    <s v="Ltd Walton"/>
    <x v="0"/>
    <n v="4920.0411890886999"/>
    <n v="278"/>
    <x v="2"/>
    <d v="2022-02-20T00:00:00"/>
    <s v="Paracetamol"/>
    <x v="0"/>
    <s v="Low"/>
    <s v="Under Treatment"/>
    <s v="High Risk"/>
    <x v="2"/>
  </r>
  <r>
    <x v="166"/>
    <n v="62"/>
    <x v="0"/>
    <s v="O+"/>
    <x v="2"/>
    <d v="2019-05-16T00:00:00"/>
    <x v="166"/>
    <s v="Group Rodriguez"/>
    <x v="3"/>
    <n v="3864.1394988716302"/>
    <n v="103"/>
    <x v="0"/>
    <d v="2019-05-31T00:00:00"/>
    <s v="Aspirin"/>
    <x v="1"/>
    <s v="Low"/>
    <s v="Under Treatment"/>
    <s v="High Risk"/>
    <x v="1"/>
  </r>
  <r>
    <x v="167"/>
    <n v="38"/>
    <x v="0"/>
    <s v="AB+"/>
    <x v="3"/>
    <d v="2021-08-04T00:00:00"/>
    <x v="167"/>
    <s v="Carr LLC"/>
    <x v="0"/>
    <n v="21562.8610510203"/>
    <n v="400"/>
    <x v="0"/>
    <d v="2021-08-26T00:00:00"/>
    <s v="Paracetamol"/>
    <x v="0"/>
    <s v="High"/>
    <s v="Under Treatment"/>
    <s v="High Risk"/>
    <x v="3"/>
  </r>
  <r>
    <x v="168"/>
    <n v="75"/>
    <x v="1"/>
    <s v="B-"/>
    <x v="0"/>
    <d v="2020-01-03T00:00:00"/>
    <x v="168"/>
    <s v="Rodriguez-Guerra"/>
    <x v="1"/>
    <n v="11815.202741487599"/>
    <n v="401"/>
    <x v="2"/>
    <d v="2020-01-27T00:00:00"/>
    <s v="Ibuprofen"/>
    <x v="2"/>
    <s v="Medium"/>
    <s v="Under Treatment"/>
    <s v="High Risk"/>
    <x v="2"/>
  </r>
  <r>
    <x v="169"/>
    <n v="28"/>
    <x v="0"/>
    <s v="A+"/>
    <x v="4"/>
    <d v="2022-09-13T00:00:00"/>
    <x v="169"/>
    <s v="Sullivan Mullins, Macias and"/>
    <x v="4"/>
    <n v="25796.869669293399"/>
    <n v="258"/>
    <x v="0"/>
    <d v="2022-10-07T00:00:00"/>
    <s v="Lipitor"/>
    <x v="2"/>
    <s v="High"/>
    <s v="Under Treatment"/>
    <s v="High Risk"/>
    <x v="0"/>
  </r>
  <r>
    <x v="170"/>
    <n v="36"/>
    <x v="0"/>
    <s v="O-"/>
    <x v="4"/>
    <d v="2020-12-19T00:00:00"/>
    <x v="170"/>
    <s v="Ballard PLC"/>
    <x v="3"/>
    <n v="4266.7843071875204"/>
    <n v="268"/>
    <x v="1"/>
    <d v="2021-01-09T00:00:00"/>
    <s v="Lipitor"/>
    <x v="0"/>
    <s v="Low"/>
    <s v="Under Treatment"/>
    <s v="High Risk"/>
    <x v="3"/>
  </r>
  <r>
    <x v="171"/>
    <n v="54"/>
    <x v="0"/>
    <s v="AB+"/>
    <x v="1"/>
    <d v="2023-03-31T00:00:00"/>
    <x v="171"/>
    <s v="Liu-Wilson"/>
    <x v="4"/>
    <n v="4751.1627410323799"/>
    <n v="192"/>
    <x v="0"/>
    <d v="2023-04-29T00:00:00"/>
    <s v="Penicillin"/>
    <x v="1"/>
    <s v="Low"/>
    <s v="Under Treatment"/>
    <s v="High Risk"/>
    <x v="1"/>
  </r>
  <r>
    <x v="172"/>
    <n v="56"/>
    <x v="1"/>
    <s v="AB+"/>
    <x v="1"/>
    <d v="2023-07-31T00:00:00"/>
    <x v="172"/>
    <s v="Stokes Chambers and Martin,"/>
    <x v="4"/>
    <n v="11311.3273479975"/>
    <n v="302"/>
    <x v="0"/>
    <d v="2023-08-02T00:00:00"/>
    <s v="Lipitor"/>
    <x v="0"/>
    <s v="Medium"/>
    <s v="Under Treatment"/>
    <s v="High Risk"/>
    <x v="1"/>
  </r>
  <r>
    <x v="173"/>
    <n v="64"/>
    <x v="1"/>
    <s v="A-"/>
    <x v="2"/>
    <d v="2023-12-16T00:00:00"/>
    <x v="173"/>
    <s v="Inc Lee"/>
    <x v="4"/>
    <n v="17670.5052173935"/>
    <n v="128"/>
    <x v="2"/>
    <d v="2024-01-15T00:00:00"/>
    <s v="Paracetamol"/>
    <x v="1"/>
    <s v="High"/>
    <s v="Under Treatment"/>
    <s v="High Risk"/>
    <x v="1"/>
  </r>
  <r>
    <x v="174"/>
    <n v="76"/>
    <x v="0"/>
    <s v="A+"/>
    <x v="1"/>
    <d v="2020-12-05T00:00:00"/>
    <x v="174"/>
    <s v="Wilkins Group"/>
    <x v="1"/>
    <n v="5714.7480179146596"/>
    <n v="238"/>
    <x v="2"/>
    <d v="2020-12-18T00:00:00"/>
    <s v="Lipitor"/>
    <x v="2"/>
    <s v="Medium"/>
    <s v="Under Treatment"/>
    <s v="High Risk"/>
    <x v="2"/>
  </r>
  <r>
    <x v="175"/>
    <n v="21"/>
    <x v="1"/>
    <s v="AB+"/>
    <x v="2"/>
    <d v="2021-11-11T00:00:00"/>
    <x v="175"/>
    <s v="Valentine Ltd"/>
    <x v="4"/>
    <n v="5985.9784872401897"/>
    <n v="136"/>
    <x v="0"/>
    <d v="2021-12-04T00:00:00"/>
    <s v="Penicillin"/>
    <x v="0"/>
    <s v="Medium"/>
    <s v="Under Treatment"/>
    <s v="High Risk"/>
    <x v="0"/>
  </r>
  <r>
    <x v="176"/>
    <n v="59"/>
    <x v="1"/>
    <s v="O+"/>
    <x v="1"/>
    <d v="2019-09-11T00:00:00"/>
    <x v="176"/>
    <s v="Alvarado-Deleon"/>
    <x v="0"/>
    <n v="27385.736227988102"/>
    <n v="427"/>
    <x v="1"/>
    <d v="2019-09-15T00:00:00"/>
    <s v="Penicillin"/>
    <x v="1"/>
    <s v="High"/>
    <s v="Under Treatment"/>
    <s v="High Risk"/>
    <x v="1"/>
  </r>
  <r>
    <x v="177"/>
    <n v="31"/>
    <x v="1"/>
    <s v="A-"/>
    <x v="2"/>
    <d v="2020-12-15T00:00:00"/>
    <x v="177"/>
    <s v="Alexander and Jensen Andrews,"/>
    <x v="3"/>
    <n v="3730.00219089662"/>
    <n v="218"/>
    <x v="0"/>
    <d v="2021-01-01T00:00:00"/>
    <s v="Ibuprofen"/>
    <x v="2"/>
    <s v="Low"/>
    <s v="Under Treatment"/>
    <s v="High Risk"/>
    <x v="0"/>
  </r>
  <r>
    <x v="178"/>
    <n v="36"/>
    <x v="1"/>
    <s v="O+"/>
    <x v="3"/>
    <d v="2022-12-08T00:00:00"/>
    <x v="178"/>
    <s v="and Black, Henson Rhodes"/>
    <x v="0"/>
    <n v="22480.965928930698"/>
    <n v="348"/>
    <x v="2"/>
    <d v="2023-01-02T00:00:00"/>
    <s v="Ibuprofen"/>
    <x v="1"/>
    <s v="High"/>
    <s v="Under Treatment"/>
    <s v="High Risk"/>
    <x v="3"/>
  </r>
  <r>
    <x v="179"/>
    <n v="42"/>
    <x v="1"/>
    <s v="B+"/>
    <x v="2"/>
    <d v="2021-07-15T00:00:00"/>
    <x v="179"/>
    <s v="Sons and Marshall"/>
    <x v="2"/>
    <n v="35022.316712360604"/>
    <n v="486"/>
    <x v="2"/>
    <d v="2021-08-05T00:00:00"/>
    <s v="Aspirin"/>
    <x v="1"/>
    <s v="High"/>
    <s v="Under Treatment"/>
    <s v="High Risk"/>
    <x v="3"/>
  </r>
  <r>
    <x v="180"/>
    <n v="18"/>
    <x v="1"/>
    <s v="AB+"/>
    <x v="3"/>
    <d v="2022-06-16T00:00:00"/>
    <x v="180"/>
    <s v="Rodriguez-Franco"/>
    <x v="0"/>
    <n v="45072.418258940997"/>
    <n v="147"/>
    <x v="0"/>
    <d v="2022-07-04T00:00:00"/>
    <s v="Lipitor"/>
    <x v="1"/>
    <s v="High"/>
    <s v="Under Treatment"/>
    <s v="High Risk"/>
    <x v="4"/>
  </r>
  <r>
    <x v="181"/>
    <n v="62"/>
    <x v="1"/>
    <s v="A+"/>
    <x v="1"/>
    <d v="2024-02-09T00:00:00"/>
    <x v="181"/>
    <s v="Fritz Henderson Stanton, and"/>
    <x v="3"/>
    <n v="45902.707644690199"/>
    <n v="126"/>
    <x v="0"/>
    <d v="2024-02-19T00:00:00"/>
    <s v="Aspirin"/>
    <x v="0"/>
    <s v="High"/>
    <s v="Under Treatment"/>
    <s v="High Risk"/>
    <x v="1"/>
  </r>
  <r>
    <x v="182"/>
    <n v="53"/>
    <x v="0"/>
    <s v="AB+"/>
    <x v="4"/>
    <d v="2024-03-04T00:00:00"/>
    <x v="182"/>
    <s v="West-Young"/>
    <x v="1"/>
    <n v="28899.185758748299"/>
    <n v="314"/>
    <x v="1"/>
    <d v="2024-03-18T00:00:00"/>
    <s v="Paracetamol"/>
    <x v="2"/>
    <s v="High"/>
    <s v="Under Treatment"/>
    <s v="High Risk"/>
    <x v="1"/>
  </r>
  <r>
    <x v="183"/>
    <n v="82"/>
    <x v="1"/>
    <s v="A+"/>
    <x v="1"/>
    <d v="2022-02-11T00:00:00"/>
    <x v="183"/>
    <s v="Ltd Solis"/>
    <x v="0"/>
    <n v="39003.1814380949"/>
    <n v="133"/>
    <x v="2"/>
    <d v="2022-02-25T00:00:00"/>
    <s v="Lipitor"/>
    <x v="0"/>
    <s v="High"/>
    <s v="Under Treatment"/>
    <s v="High Risk"/>
    <x v="2"/>
  </r>
  <r>
    <x v="184"/>
    <n v="19"/>
    <x v="1"/>
    <s v="O-"/>
    <x v="2"/>
    <d v="2022-02-08T00:00:00"/>
    <x v="184"/>
    <s v="Mcneil-Blake"/>
    <x v="0"/>
    <n v="10348.818521438599"/>
    <n v="271"/>
    <x v="1"/>
    <d v="2022-02-17T00:00:00"/>
    <s v="Ibuprofen"/>
    <x v="1"/>
    <s v="Medium"/>
    <s v="Under Treatment"/>
    <s v="High Risk"/>
    <x v="0"/>
  </r>
  <r>
    <x v="185"/>
    <n v="83"/>
    <x v="1"/>
    <s v="A-"/>
    <x v="4"/>
    <d v="2023-06-15T00:00:00"/>
    <x v="185"/>
    <s v="Moore-Waters"/>
    <x v="3"/>
    <n v="14371.5396986661"/>
    <n v="341"/>
    <x v="0"/>
    <d v="2023-06-30T00:00:00"/>
    <s v="Paracetamol"/>
    <x v="1"/>
    <s v="Medium"/>
    <s v="Under Treatment"/>
    <s v="High Risk"/>
    <x v="2"/>
  </r>
  <r>
    <x v="186"/>
    <n v="26"/>
    <x v="0"/>
    <s v="O-"/>
    <x v="2"/>
    <d v="2021-10-11T00:00:00"/>
    <x v="186"/>
    <s v="Group Scott"/>
    <x v="3"/>
    <n v="13769.403128763801"/>
    <n v="498"/>
    <x v="0"/>
    <d v="2021-10-24T00:00:00"/>
    <s v="Ibuprofen"/>
    <x v="2"/>
    <s v="Medium"/>
    <s v="Under Treatment"/>
    <s v="High Risk"/>
    <x v="0"/>
  </r>
  <r>
    <x v="187"/>
    <n v="51"/>
    <x v="0"/>
    <s v="O+"/>
    <x v="5"/>
    <d v="2021-12-12T00:00:00"/>
    <x v="187"/>
    <s v="and Simmons Sons"/>
    <x v="2"/>
    <n v="35868.538636765501"/>
    <n v="309"/>
    <x v="2"/>
    <d v="2021-12-30T00:00:00"/>
    <s v="Lipitor"/>
    <x v="2"/>
    <s v="High"/>
    <s v="Under Treatment"/>
    <s v="High Risk"/>
    <x v="1"/>
  </r>
  <r>
    <x v="188"/>
    <n v="20"/>
    <x v="0"/>
    <s v="O+"/>
    <x v="1"/>
    <d v="2023-07-09T00:00:00"/>
    <x v="188"/>
    <s v="Humphrey and Browning Fitzgerald,"/>
    <x v="0"/>
    <n v="35205.284598024402"/>
    <n v="104"/>
    <x v="1"/>
    <d v="2023-07-15T00:00:00"/>
    <s v="Lipitor"/>
    <x v="2"/>
    <s v="High"/>
    <s v="Under Treatment"/>
    <s v="High Risk"/>
    <x v="0"/>
  </r>
  <r>
    <x v="189"/>
    <n v="61"/>
    <x v="1"/>
    <s v="A-"/>
    <x v="1"/>
    <d v="2020-09-08T00:00:00"/>
    <x v="189"/>
    <s v="Adams-Molina"/>
    <x v="0"/>
    <n v="21576.502345538702"/>
    <n v="308"/>
    <x v="1"/>
    <d v="2020-10-03T00:00:00"/>
    <s v="Ibuprofen"/>
    <x v="2"/>
    <s v="High"/>
    <s v="Under Treatment"/>
    <s v="High Risk"/>
    <x v="1"/>
  </r>
  <r>
    <x v="190"/>
    <n v="44"/>
    <x v="0"/>
    <s v="AB-"/>
    <x v="4"/>
    <d v="2020-08-31T00:00:00"/>
    <x v="190"/>
    <s v="Guzman LLC"/>
    <x v="2"/>
    <n v="18771.010687105801"/>
    <n v="168"/>
    <x v="0"/>
    <d v="2020-09-18T00:00:00"/>
    <s v="Lipitor"/>
    <x v="2"/>
    <s v="High"/>
    <s v="Under Treatment"/>
    <s v="High Risk"/>
    <x v="3"/>
  </r>
  <r>
    <x v="191"/>
    <n v="74"/>
    <x v="1"/>
    <s v="AB+"/>
    <x v="0"/>
    <d v="2024-04-10T00:00:00"/>
    <x v="191"/>
    <s v="Gonzalez-Pacheco"/>
    <x v="0"/>
    <n v="21668.5645083491"/>
    <n v="115"/>
    <x v="1"/>
    <d v="2024-05-03T00:00:00"/>
    <s v="Lipitor"/>
    <x v="2"/>
    <s v="High"/>
    <s v="Under Treatment"/>
    <s v="High Risk"/>
    <x v="2"/>
  </r>
  <r>
    <x v="192"/>
    <n v="83"/>
    <x v="0"/>
    <s v="O-"/>
    <x v="2"/>
    <d v="2022-01-25T00:00:00"/>
    <x v="192"/>
    <s v="Ltd Barnes"/>
    <x v="4"/>
    <n v="40825.184423605002"/>
    <n v="438"/>
    <x v="2"/>
    <d v="2022-01-28T00:00:00"/>
    <s v="Aspirin"/>
    <x v="2"/>
    <s v="High"/>
    <s v="Under Treatment"/>
    <s v="High Risk"/>
    <x v="2"/>
  </r>
  <r>
    <x v="193"/>
    <n v="62"/>
    <x v="1"/>
    <s v="AB-"/>
    <x v="0"/>
    <d v="2023-09-12T00:00:00"/>
    <x v="193"/>
    <s v="Gordon, Fox Lane and"/>
    <x v="0"/>
    <n v="40469.566259100502"/>
    <n v="286"/>
    <x v="2"/>
    <d v="2023-10-12T00:00:00"/>
    <s v="Penicillin"/>
    <x v="0"/>
    <s v="High"/>
    <s v="Under Treatment"/>
    <s v="High Risk"/>
    <x v="1"/>
  </r>
  <r>
    <x v="194"/>
    <n v="62"/>
    <x v="1"/>
    <s v="B-"/>
    <x v="1"/>
    <d v="2020-08-05T00:00:00"/>
    <x v="194"/>
    <s v="Petersen Ltd"/>
    <x v="1"/>
    <n v="25749.520835540301"/>
    <n v="138"/>
    <x v="2"/>
    <d v="2020-08-14T00:00:00"/>
    <s v="Ibuprofen"/>
    <x v="1"/>
    <s v="High"/>
    <s v="Under Treatment"/>
    <s v="High Risk"/>
    <x v="1"/>
  </r>
  <r>
    <x v="195"/>
    <n v="18"/>
    <x v="0"/>
    <s v="A-"/>
    <x v="3"/>
    <d v="2022-05-07T00:00:00"/>
    <x v="195"/>
    <s v="and Mcdonald Sons"/>
    <x v="2"/>
    <n v="15841.201676512501"/>
    <n v="275"/>
    <x v="0"/>
    <d v="2022-06-03T00:00:00"/>
    <s v="Ibuprofen"/>
    <x v="2"/>
    <s v="High"/>
    <s v="Under Treatment"/>
    <s v="High Risk"/>
    <x v="4"/>
  </r>
  <r>
    <x v="196"/>
    <n v="26"/>
    <x v="1"/>
    <s v="AB+"/>
    <x v="3"/>
    <d v="2024-03-03T00:00:00"/>
    <x v="196"/>
    <s v="PLC Oliver"/>
    <x v="0"/>
    <n v="32085.227646508702"/>
    <n v="392"/>
    <x v="0"/>
    <d v="2024-03-27T00:00:00"/>
    <s v="Penicillin"/>
    <x v="1"/>
    <s v="High"/>
    <s v="Under Treatment"/>
    <s v="High Risk"/>
    <x v="0"/>
  </r>
  <r>
    <x v="197"/>
    <n v="45"/>
    <x v="1"/>
    <s v="B+"/>
    <x v="0"/>
    <d v="2020-03-14T00:00:00"/>
    <x v="197"/>
    <s v="Griffin and Lyons Rivers,"/>
    <x v="4"/>
    <n v="12356.560651293899"/>
    <n v="156"/>
    <x v="1"/>
    <d v="2020-04-03T00:00:00"/>
    <s v="Aspirin"/>
    <x v="1"/>
    <s v="Medium"/>
    <s v="Under Treatment"/>
    <s v="High Risk"/>
    <x v="3"/>
  </r>
  <r>
    <x v="198"/>
    <n v="26"/>
    <x v="0"/>
    <s v="AB-"/>
    <x v="3"/>
    <d v="2024-02-07T00:00:00"/>
    <x v="198"/>
    <s v="Craig-Garcia"/>
    <x v="2"/>
    <n v="15367.411315522801"/>
    <n v="255"/>
    <x v="1"/>
    <d v="2024-02-24T00:00:00"/>
    <s v="Ibuprofen"/>
    <x v="1"/>
    <s v="High"/>
    <s v="Under Treatment"/>
    <s v="High Risk"/>
    <x v="0"/>
  </r>
  <r>
    <x v="199"/>
    <n v="26"/>
    <x v="0"/>
    <s v="O+"/>
    <x v="0"/>
    <d v="2019-07-21T00:00:00"/>
    <x v="199"/>
    <s v="Baker-Jones"/>
    <x v="1"/>
    <n v="40190.202918017501"/>
    <n v="315"/>
    <x v="2"/>
    <d v="2019-08-05T00:00:00"/>
    <s v="Penicillin"/>
    <x v="2"/>
    <s v="High"/>
    <s v="Under Treatment"/>
    <s v="High Risk"/>
    <x v="0"/>
  </r>
  <r>
    <x v="200"/>
    <n v="79"/>
    <x v="1"/>
    <s v="O+"/>
    <x v="2"/>
    <d v="2023-04-14T00:00:00"/>
    <x v="200"/>
    <s v="Duffy-Kelly"/>
    <x v="2"/>
    <n v="3872.09698519108"/>
    <n v="322"/>
    <x v="2"/>
    <d v="2023-04-18T00:00:00"/>
    <s v="Penicillin"/>
    <x v="1"/>
    <s v="Low"/>
    <s v="Under Treatment"/>
    <s v="High Risk"/>
    <x v="2"/>
  </r>
  <r>
    <x v="201"/>
    <n v="33"/>
    <x v="1"/>
    <s v="B-"/>
    <x v="5"/>
    <d v="2024-01-17T00:00:00"/>
    <x v="201"/>
    <s v="Rodriguez-Becker"/>
    <x v="4"/>
    <n v="3311.5891055535499"/>
    <n v="184"/>
    <x v="2"/>
    <d v="2024-02-05T00:00:00"/>
    <s v="Lipitor"/>
    <x v="0"/>
    <s v="Low"/>
    <s v="Under Treatment"/>
    <s v="High Risk"/>
    <x v="0"/>
  </r>
  <r>
    <x v="202"/>
    <n v="34"/>
    <x v="1"/>
    <s v="O+"/>
    <x v="0"/>
    <d v="2019-06-25T00:00:00"/>
    <x v="202"/>
    <s v="Group Brown"/>
    <x v="3"/>
    <n v="18524.866637485698"/>
    <n v="472"/>
    <x v="0"/>
    <d v="2019-06-30T00:00:00"/>
    <s v="Lipitor"/>
    <x v="2"/>
    <s v="High"/>
    <s v="Under Treatment"/>
    <s v="High Risk"/>
    <x v="0"/>
  </r>
  <r>
    <x v="203"/>
    <n v="76"/>
    <x v="1"/>
    <s v="AB-"/>
    <x v="4"/>
    <d v="2021-05-20T00:00:00"/>
    <x v="203"/>
    <s v="Powers-Vincent"/>
    <x v="3"/>
    <n v="30107.4870351719"/>
    <n v="494"/>
    <x v="1"/>
    <d v="2021-06-12T00:00:00"/>
    <s v="Ibuprofen"/>
    <x v="1"/>
    <s v="High"/>
    <s v="Under Treatment"/>
    <s v="High Risk"/>
    <x v="2"/>
  </r>
  <r>
    <x v="204"/>
    <n v="50"/>
    <x v="1"/>
    <s v="B-"/>
    <x v="1"/>
    <d v="2020-04-03T00:00:00"/>
    <x v="204"/>
    <s v="and Ramos Brown Edwards,"/>
    <x v="3"/>
    <n v="15826.101276253899"/>
    <n v="398"/>
    <x v="1"/>
    <d v="2020-04-11T00:00:00"/>
    <s v="Paracetamol"/>
    <x v="0"/>
    <s v="High"/>
    <s v="Under Treatment"/>
    <s v="High Risk"/>
    <x v="3"/>
  </r>
  <r>
    <x v="205"/>
    <n v="38"/>
    <x v="1"/>
    <s v="AB-"/>
    <x v="5"/>
    <d v="2021-12-02T00:00:00"/>
    <x v="205"/>
    <s v="Atkins Inc"/>
    <x v="2"/>
    <n v="49663.452871020403"/>
    <n v="435"/>
    <x v="1"/>
    <d v="2021-12-07T00:00:00"/>
    <s v="Paracetamol"/>
    <x v="0"/>
    <s v="High"/>
    <s v="Under Treatment"/>
    <s v="High Risk"/>
    <x v="3"/>
  </r>
  <r>
    <x v="206"/>
    <n v="43"/>
    <x v="0"/>
    <s v="AB+"/>
    <x v="0"/>
    <d v="2021-05-28T00:00:00"/>
    <x v="206"/>
    <s v="Marshall LLC"/>
    <x v="2"/>
    <n v="27278.236885224102"/>
    <n v="174"/>
    <x v="0"/>
    <d v="2021-06-18T00:00:00"/>
    <s v="Ibuprofen"/>
    <x v="2"/>
    <s v="High"/>
    <s v="Under Treatment"/>
    <s v="High Risk"/>
    <x v="3"/>
  </r>
  <r>
    <x v="207"/>
    <n v="27"/>
    <x v="1"/>
    <s v="AB+"/>
    <x v="4"/>
    <d v="2020-03-23T00:00:00"/>
    <x v="207"/>
    <s v="Ltd Cruz"/>
    <x v="4"/>
    <n v="33170.436740038502"/>
    <n v="137"/>
    <x v="0"/>
    <d v="2020-04-11T00:00:00"/>
    <s v="Paracetamol"/>
    <x v="2"/>
    <s v="High"/>
    <s v="Under Treatment"/>
    <s v="High Risk"/>
    <x v="0"/>
  </r>
  <r>
    <x v="208"/>
    <n v="78"/>
    <x v="0"/>
    <s v="A+"/>
    <x v="3"/>
    <d v="2022-08-06T00:00:00"/>
    <x v="208"/>
    <s v="Harrison-Parker"/>
    <x v="1"/>
    <n v="1791.3890011113101"/>
    <n v="405"/>
    <x v="0"/>
    <d v="2022-09-05T00:00:00"/>
    <s v="Paracetamol"/>
    <x v="0"/>
    <s v="Low"/>
    <s v="Under Treatment"/>
    <s v="High Risk"/>
    <x v="2"/>
  </r>
  <r>
    <x v="209"/>
    <n v="40"/>
    <x v="0"/>
    <s v="A+"/>
    <x v="2"/>
    <d v="2024-03-09T00:00:00"/>
    <x v="209"/>
    <s v="Lee-Clayton"/>
    <x v="0"/>
    <n v="31188.0414917411"/>
    <n v="111"/>
    <x v="2"/>
    <d v="2024-04-05T00:00:00"/>
    <s v="Ibuprofen"/>
    <x v="0"/>
    <s v="High"/>
    <s v="Under Treatment"/>
    <s v="High Risk"/>
    <x v="3"/>
  </r>
  <r>
    <x v="210"/>
    <n v="25"/>
    <x v="0"/>
    <s v="AB-"/>
    <x v="5"/>
    <d v="2022-03-15T00:00:00"/>
    <x v="210"/>
    <s v="Mcdaniel and Sons"/>
    <x v="1"/>
    <n v="13854.6457636635"/>
    <n v="328"/>
    <x v="2"/>
    <d v="2022-04-10T00:00:00"/>
    <s v="Penicillin"/>
    <x v="1"/>
    <s v="Medium"/>
    <s v="Under Treatment"/>
    <s v="High Risk"/>
    <x v="0"/>
  </r>
  <r>
    <x v="211"/>
    <n v="67"/>
    <x v="1"/>
    <s v="AB+"/>
    <x v="1"/>
    <d v="2020-08-08T00:00:00"/>
    <x v="211"/>
    <s v="Inc Lynch"/>
    <x v="0"/>
    <n v="11870.9083801416"/>
    <n v="196"/>
    <x v="2"/>
    <d v="2020-08-14T00:00:00"/>
    <s v="Ibuprofen"/>
    <x v="2"/>
    <s v="Medium"/>
    <s v="Under Treatment"/>
    <s v="High Risk"/>
    <x v="2"/>
  </r>
  <r>
    <x v="212"/>
    <n v="47"/>
    <x v="1"/>
    <s v="AB+"/>
    <x v="1"/>
    <d v="2019-06-09T00:00:00"/>
    <x v="212"/>
    <s v="and Mendoza Rich Morales,"/>
    <x v="3"/>
    <n v="25574.127619098599"/>
    <n v="464"/>
    <x v="2"/>
    <d v="2019-07-01T00:00:00"/>
    <s v="Aspirin"/>
    <x v="1"/>
    <s v="High"/>
    <s v="Under Treatment"/>
    <s v="High Risk"/>
    <x v="3"/>
  </r>
  <r>
    <x v="213"/>
    <n v="75"/>
    <x v="0"/>
    <s v="AB-"/>
    <x v="5"/>
    <d v="2019-09-07T00:00:00"/>
    <x v="213"/>
    <s v="Proctor-Jones"/>
    <x v="2"/>
    <n v="6132.4040952386404"/>
    <n v="231"/>
    <x v="0"/>
    <d v="2019-10-06T00:00:00"/>
    <s v="Paracetamol"/>
    <x v="0"/>
    <s v="Medium"/>
    <s v="Under Treatment"/>
    <s v="High Risk"/>
    <x v="2"/>
  </r>
  <r>
    <x v="214"/>
    <n v="58"/>
    <x v="1"/>
    <s v="A-"/>
    <x v="1"/>
    <d v="2021-02-14T00:00:00"/>
    <x v="214"/>
    <s v="and Ramirez Figueroa May,"/>
    <x v="1"/>
    <n v="33343.902493747803"/>
    <n v="117"/>
    <x v="2"/>
    <d v="2021-02-26T00:00:00"/>
    <s v="Lipitor"/>
    <x v="1"/>
    <s v="High"/>
    <s v="Under Treatment"/>
    <s v="High Risk"/>
    <x v="1"/>
  </r>
  <r>
    <x v="215"/>
    <n v="26"/>
    <x v="1"/>
    <s v="A-"/>
    <x v="4"/>
    <d v="2019-11-10T00:00:00"/>
    <x v="215"/>
    <s v="Michael-Jenkins"/>
    <x v="1"/>
    <n v="43484.249746440502"/>
    <n v="244"/>
    <x v="0"/>
    <d v="2019-11-26T00:00:00"/>
    <s v="Penicillin"/>
    <x v="2"/>
    <s v="High"/>
    <s v="Under Treatment"/>
    <s v="High Risk"/>
    <x v="0"/>
  </r>
  <r>
    <x v="216"/>
    <n v="22"/>
    <x v="0"/>
    <s v="O+"/>
    <x v="1"/>
    <d v="2023-04-16T00:00:00"/>
    <x v="216"/>
    <s v="Hardy Inc"/>
    <x v="3"/>
    <n v="7858.9268599467896"/>
    <n v="414"/>
    <x v="0"/>
    <d v="2023-05-14T00:00:00"/>
    <s v="Penicillin"/>
    <x v="0"/>
    <s v="Medium"/>
    <s v="Under Treatment"/>
    <s v="High Risk"/>
    <x v="0"/>
  </r>
  <r>
    <x v="217"/>
    <n v="29"/>
    <x v="1"/>
    <s v="B+"/>
    <x v="3"/>
    <d v="2020-04-25T00:00:00"/>
    <x v="217"/>
    <s v="Turner, and Williams Mercado"/>
    <x v="4"/>
    <n v="33161.938402998101"/>
    <n v="493"/>
    <x v="0"/>
    <d v="2020-04-28T00:00:00"/>
    <s v="Paracetamol"/>
    <x v="1"/>
    <s v="High"/>
    <s v="Under Treatment"/>
    <s v="High Risk"/>
    <x v="0"/>
  </r>
  <r>
    <x v="218"/>
    <n v="30"/>
    <x v="0"/>
    <s v="A-"/>
    <x v="0"/>
    <d v="2021-08-21T00:00:00"/>
    <x v="218"/>
    <s v="PLC Williams"/>
    <x v="4"/>
    <n v="2879.46053205424"/>
    <n v="183"/>
    <x v="0"/>
    <d v="2021-08-28T00:00:00"/>
    <s v="Ibuprofen"/>
    <x v="0"/>
    <s v="Low"/>
    <s v="Under Treatment"/>
    <s v="High Risk"/>
    <x v="0"/>
  </r>
  <r>
    <x v="219"/>
    <n v="22"/>
    <x v="1"/>
    <s v="O+"/>
    <x v="3"/>
    <d v="2021-01-14T00:00:00"/>
    <x v="219"/>
    <s v="Evans Ltd"/>
    <x v="2"/>
    <n v="46492.861772948898"/>
    <n v="471"/>
    <x v="2"/>
    <d v="2021-01-27T00:00:00"/>
    <s v="Aspirin"/>
    <x v="1"/>
    <s v="High"/>
    <s v="Under Treatment"/>
    <s v="High Risk"/>
    <x v="0"/>
  </r>
  <r>
    <x v="220"/>
    <n v="34"/>
    <x v="0"/>
    <s v="AB+"/>
    <x v="4"/>
    <d v="2020-09-12T00:00:00"/>
    <x v="220"/>
    <s v="Merritt-Gray"/>
    <x v="2"/>
    <n v="5259.2730496477097"/>
    <n v="341"/>
    <x v="2"/>
    <d v="2020-09-26T00:00:00"/>
    <s v="Paracetamol"/>
    <x v="2"/>
    <s v="Medium"/>
    <s v="Under Treatment"/>
    <s v="High Risk"/>
    <x v="0"/>
  </r>
  <r>
    <x v="221"/>
    <n v="37"/>
    <x v="1"/>
    <s v="A-"/>
    <x v="5"/>
    <d v="2019-07-26T00:00:00"/>
    <x v="221"/>
    <s v="Rodriguez-Zimmerman"/>
    <x v="2"/>
    <n v="13418.2163679355"/>
    <n v="102"/>
    <x v="1"/>
    <d v="2019-08-17T00:00:00"/>
    <s v="Penicillin"/>
    <x v="2"/>
    <s v="Medium"/>
    <s v="Under Treatment"/>
    <s v="High Risk"/>
    <x v="3"/>
  </r>
  <r>
    <x v="222"/>
    <n v="25"/>
    <x v="1"/>
    <s v="A+"/>
    <x v="0"/>
    <d v="2023-12-07T00:00:00"/>
    <x v="222"/>
    <s v="Miller PLC"/>
    <x v="0"/>
    <n v="36990.455775325303"/>
    <n v="356"/>
    <x v="0"/>
    <d v="2023-12-14T00:00:00"/>
    <s v="Aspirin"/>
    <x v="0"/>
    <s v="High"/>
    <s v="Under Treatment"/>
    <s v="High Risk"/>
    <x v="0"/>
  </r>
  <r>
    <x v="223"/>
    <n v="45"/>
    <x v="1"/>
    <s v="B-"/>
    <x v="0"/>
    <d v="2021-06-11T00:00:00"/>
    <x v="223"/>
    <s v="May, Mullins and Martin"/>
    <x v="2"/>
    <n v="43567.144157970899"/>
    <n v="325"/>
    <x v="0"/>
    <d v="2021-07-03T00:00:00"/>
    <s v="Paracetamol"/>
    <x v="0"/>
    <s v="High"/>
    <s v="Under Treatment"/>
    <s v="High Risk"/>
    <x v="3"/>
  </r>
  <r>
    <x v="224"/>
    <n v="44"/>
    <x v="0"/>
    <s v="AB-"/>
    <x v="3"/>
    <d v="2020-05-25T00:00:00"/>
    <x v="224"/>
    <s v="Group Crosby"/>
    <x v="2"/>
    <n v="4677.5958465044396"/>
    <n v="488"/>
    <x v="1"/>
    <d v="2020-06-05T00:00:00"/>
    <s v="Lipitor"/>
    <x v="1"/>
    <s v="Low"/>
    <s v="Under Treatment"/>
    <s v="High Risk"/>
    <x v="3"/>
  </r>
  <r>
    <x v="225"/>
    <n v="34"/>
    <x v="0"/>
    <s v="O+"/>
    <x v="4"/>
    <d v="2023-09-25T00:00:00"/>
    <x v="225"/>
    <s v="Cook Ltd"/>
    <x v="2"/>
    <n v="35157.170267322799"/>
    <n v="328"/>
    <x v="2"/>
    <d v="2023-10-21T00:00:00"/>
    <s v="Penicillin"/>
    <x v="0"/>
    <s v="High"/>
    <s v="Under Treatment"/>
    <s v="High Risk"/>
    <x v="0"/>
  </r>
  <r>
    <x v="226"/>
    <n v="32"/>
    <x v="0"/>
    <s v="O+"/>
    <x v="1"/>
    <d v="2020-01-12T00:00:00"/>
    <x v="226"/>
    <s v="Conner-Flores"/>
    <x v="2"/>
    <n v="23775.449006940398"/>
    <n v="133"/>
    <x v="2"/>
    <d v="2020-01-19T00:00:00"/>
    <s v="Aspirin"/>
    <x v="0"/>
    <s v="High"/>
    <s v="Under Treatment"/>
    <s v="High Risk"/>
    <x v="0"/>
  </r>
  <r>
    <x v="227"/>
    <n v="64"/>
    <x v="0"/>
    <s v="B+"/>
    <x v="5"/>
    <d v="2022-07-29T00:00:00"/>
    <x v="227"/>
    <s v="Suarez-Nelson"/>
    <x v="3"/>
    <n v="17732.469366062702"/>
    <n v="247"/>
    <x v="0"/>
    <d v="2022-08-07T00:00:00"/>
    <s v="Ibuprofen"/>
    <x v="0"/>
    <s v="High"/>
    <s v="Under Treatment"/>
    <s v="High Risk"/>
    <x v="1"/>
  </r>
  <r>
    <x v="228"/>
    <n v="80"/>
    <x v="0"/>
    <s v="A-"/>
    <x v="3"/>
    <d v="2023-02-20T00:00:00"/>
    <x v="228"/>
    <s v="and Walker Glenn, Long"/>
    <x v="4"/>
    <n v="3845.3974956264701"/>
    <n v="158"/>
    <x v="1"/>
    <d v="2023-03-10T00:00:00"/>
    <s v="Penicillin"/>
    <x v="0"/>
    <s v="Low"/>
    <s v="Under Treatment"/>
    <s v="High Risk"/>
    <x v="2"/>
  </r>
  <r>
    <x v="229"/>
    <n v="80"/>
    <x v="0"/>
    <s v="A-"/>
    <x v="0"/>
    <d v="2021-07-14T00:00:00"/>
    <x v="229"/>
    <s v="PLC Anderson"/>
    <x v="0"/>
    <n v="22401.550353437498"/>
    <n v="242"/>
    <x v="2"/>
    <d v="2021-07-24T00:00:00"/>
    <s v="Lipitor"/>
    <x v="1"/>
    <s v="High"/>
    <s v="Under Treatment"/>
    <s v="High Risk"/>
    <x v="2"/>
  </r>
  <r>
    <x v="230"/>
    <n v="37"/>
    <x v="1"/>
    <s v="O+"/>
    <x v="4"/>
    <d v="2024-04-17T00:00:00"/>
    <x v="230"/>
    <s v="Blackwell-Gamble"/>
    <x v="3"/>
    <n v="23340.304719213502"/>
    <n v="151"/>
    <x v="0"/>
    <d v="2024-05-07T00:00:00"/>
    <s v="Aspirin"/>
    <x v="0"/>
    <s v="High"/>
    <s v="Under Treatment"/>
    <s v="High Risk"/>
    <x v="3"/>
  </r>
  <r>
    <x v="231"/>
    <n v="52"/>
    <x v="1"/>
    <s v="A+"/>
    <x v="4"/>
    <d v="2021-02-04T00:00:00"/>
    <x v="231"/>
    <s v="Wagner PLC"/>
    <x v="0"/>
    <n v="3042.4091835970198"/>
    <n v="221"/>
    <x v="0"/>
    <d v="2021-02-28T00:00:00"/>
    <s v="Aspirin"/>
    <x v="2"/>
    <s v="Low"/>
    <s v="Under Treatment"/>
    <s v="High Risk"/>
    <x v="1"/>
  </r>
  <r>
    <x v="232"/>
    <n v="83"/>
    <x v="1"/>
    <s v="O-"/>
    <x v="2"/>
    <d v="2021-09-02T00:00:00"/>
    <x v="232"/>
    <s v="Goodman-Kelly"/>
    <x v="0"/>
    <n v="41817.679182506399"/>
    <n v="223"/>
    <x v="0"/>
    <d v="2021-09-19T00:00:00"/>
    <s v="Paracetamol"/>
    <x v="1"/>
    <s v="High"/>
    <s v="Under Treatment"/>
    <s v="High Risk"/>
    <x v="2"/>
  </r>
  <r>
    <x v="233"/>
    <n v="28"/>
    <x v="1"/>
    <s v="B-"/>
    <x v="5"/>
    <d v="2022-09-10T00:00:00"/>
    <x v="233"/>
    <s v="and Boyd Powell, Sims"/>
    <x v="4"/>
    <n v="49700.324206552097"/>
    <n v="359"/>
    <x v="2"/>
    <d v="2022-10-01T00:00:00"/>
    <s v="Paracetamol"/>
    <x v="2"/>
    <s v="High"/>
    <s v="Under Treatment"/>
    <s v="High Risk"/>
    <x v="0"/>
  </r>
  <r>
    <x v="234"/>
    <n v="63"/>
    <x v="0"/>
    <s v="A+"/>
    <x v="2"/>
    <d v="2022-11-25T00:00:00"/>
    <x v="234"/>
    <s v="and Conrad Boyd, Burnett"/>
    <x v="0"/>
    <n v="45157.471124838899"/>
    <n v="480"/>
    <x v="2"/>
    <d v="2022-12-20T00:00:00"/>
    <s v="Lipitor"/>
    <x v="0"/>
    <s v="High"/>
    <s v="Under Treatment"/>
    <s v="High Risk"/>
    <x v="1"/>
  </r>
  <r>
    <x v="235"/>
    <n v="85"/>
    <x v="0"/>
    <s v="O-"/>
    <x v="3"/>
    <d v="2023-08-04T00:00:00"/>
    <x v="235"/>
    <s v="Ayala-Armstrong"/>
    <x v="4"/>
    <n v="18832.100342779599"/>
    <n v="472"/>
    <x v="1"/>
    <d v="2023-08-12T00:00:00"/>
    <s v="Ibuprofen"/>
    <x v="2"/>
    <s v="High"/>
    <s v="Under Treatment"/>
    <s v="High Risk"/>
    <x v="2"/>
  </r>
  <r>
    <x v="236"/>
    <n v="37"/>
    <x v="0"/>
    <s v="O-"/>
    <x v="4"/>
    <d v="2020-11-20T00:00:00"/>
    <x v="236"/>
    <s v="and Lambert White, Vargas"/>
    <x v="2"/>
    <n v="31732.130077881899"/>
    <n v="373"/>
    <x v="2"/>
    <d v="2020-12-06T00:00:00"/>
    <s v="Lipitor"/>
    <x v="0"/>
    <s v="High"/>
    <s v="Under Treatment"/>
    <s v="High Risk"/>
    <x v="3"/>
  </r>
  <r>
    <x v="237"/>
    <n v="22"/>
    <x v="0"/>
    <s v="AB-"/>
    <x v="2"/>
    <d v="2019-10-23T00:00:00"/>
    <x v="237"/>
    <s v="Group Doyle"/>
    <x v="0"/>
    <n v="42214.979697714203"/>
    <n v="370"/>
    <x v="0"/>
    <d v="2019-11-09T00:00:00"/>
    <s v="Paracetamol"/>
    <x v="2"/>
    <s v="High"/>
    <s v="Under Treatment"/>
    <s v="High Risk"/>
    <x v="0"/>
  </r>
  <r>
    <x v="238"/>
    <n v="80"/>
    <x v="1"/>
    <s v="AB+"/>
    <x v="5"/>
    <d v="2020-10-17T00:00:00"/>
    <x v="238"/>
    <s v="Henderson-Johnson"/>
    <x v="1"/>
    <n v="12400.2050988106"/>
    <n v="141"/>
    <x v="2"/>
    <d v="2020-10-29T00:00:00"/>
    <s v="Aspirin"/>
    <x v="0"/>
    <s v="Medium"/>
    <s v="Under Treatment"/>
    <s v="High Risk"/>
    <x v="2"/>
  </r>
  <r>
    <x v="239"/>
    <n v="48"/>
    <x v="1"/>
    <s v="O+"/>
    <x v="5"/>
    <d v="2022-12-27T00:00:00"/>
    <x v="239"/>
    <s v="Baker Conrad and Andrews,"/>
    <x v="0"/>
    <n v="1133.58647605806"/>
    <n v="343"/>
    <x v="0"/>
    <d v="2022-12-31T00:00:00"/>
    <s v="Penicillin"/>
    <x v="2"/>
    <s v="Low"/>
    <s v="Under Treatment"/>
    <s v="High Risk"/>
    <x v="3"/>
  </r>
  <r>
    <x v="240"/>
    <n v="29"/>
    <x v="0"/>
    <s v="B+"/>
    <x v="1"/>
    <d v="2023-06-16T00:00:00"/>
    <x v="240"/>
    <s v="Perkins, Salazar and Johnson"/>
    <x v="0"/>
    <n v="24340.322856965598"/>
    <n v="310"/>
    <x v="1"/>
    <d v="2023-07-14T00:00:00"/>
    <s v="Aspirin"/>
    <x v="1"/>
    <s v="High"/>
    <s v="Under Treatment"/>
    <s v="High Risk"/>
    <x v="0"/>
  </r>
  <r>
    <x v="241"/>
    <n v="76"/>
    <x v="0"/>
    <s v="A+"/>
    <x v="5"/>
    <d v="2023-11-06T00:00:00"/>
    <x v="241"/>
    <s v="Johnson-Perez"/>
    <x v="0"/>
    <n v="39390.935547084897"/>
    <n v="319"/>
    <x v="2"/>
    <d v="2023-11-21T00:00:00"/>
    <s v="Aspirin"/>
    <x v="2"/>
    <s v="High"/>
    <s v="Under Treatment"/>
    <s v="High Risk"/>
    <x v="2"/>
  </r>
  <r>
    <x v="242"/>
    <n v="23"/>
    <x v="1"/>
    <s v="A+"/>
    <x v="4"/>
    <d v="2023-12-26T00:00:00"/>
    <x v="242"/>
    <s v="Powell-Werner"/>
    <x v="1"/>
    <n v="17012.507402227198"/>
    <n v="121"/>
    <x v="2"/>
    <d v="2024-01-22T00:00:00"/>
    <s v="Penicillin"/>
    <x v="0"/>
    <s v="High"/>
    <s v="Under Treatment"/>
    <s v="High Risk"/>
    <x v="0"/>
  </r>
  <r>
    <x v="243"/>
    <n v="33"/>
    <x v="0"/>
    <s v="B-"/>
    <x v="3"/>
    <d v="2023-02-10T00:00:00"/>
    <x v="243"/>
    <s v="Morales Group"/>
    <x v="4"/>
    <n v="14493.6139032184"/>
    <n v="166"/>
    <x v="1"/>
    <d v="2023-03-05T00:00:00"/>
    <s v="Penicillin"/>
    <x v="1"/>
    <s v="Medium"/>
    <s v="Under Treatment"/>
    <s v="High Risk"/>
    <x v="0"/>
  </r>
  <r>
    <x v="244"/>
    <n v="44"/>
    <x v="1"/>
    <s v="AB+"/>
    <x v="1"/>
    <d v="2023-09-21T00:00:00"/>
    <x v="244"/>
    <s v="Mayo and Sons"/>
    <x v="3"/>
    <n v="6232.0017868470904"/>
    <n v="186"/>
    <x v="1"/>
    <d v="2023-09-25T00:00:00"/>
    <s v="Ibuprofen"/>
    <x v="1"/>
    <s v="Medium"/>
    <s v="Under Treatment"/>
    <s v="High Risk"/>
    <x v="3"/>
  </r>
  <r>
    <x v="245"/>
    <n v="84"/>
    <x v="0"/>
    <s v="B+"/>
    <x v="2"/>
    <d v="2020-11-25T00:00:00"/>
    <x v="245"/>
    <s v="Huffman Hall Orozco, and"/>
    <x v="4"/>
    <n v="22982.252121727601"/>
    <n v="320"/>
    <x v="0"/>
    <d v="2020-12-02T00:00:00"/>
    <s v="Ibuprofen"/>
    <x v="2"/>
    <s v="High"/>
    <s v="Under Treatment"/>
    <s v="High Risk"/>
    <x v="2"/>
  </r>
  <r>
    <x v="246"/>
    <n v="42"/>
    <x v="0"/>
    <s v="B-"/>
    <x v="5"/>
    <d v="2022-12-24T00:00:00"/>
    <x v="246"/>
    <s v="and Dixon Taylor Hunter,"/>
    <x v="4"/>
    <n v="10645.5658530089"/>
    <n v="251"/>
    <x v="1"/>
    <d v="2023-01-06T00:00:00"/>
    <s v="Ibuprofen"/>
    <x v="0"/>
    <s v="Medium"/>
    <s v="Under Treatment"/>
    <s v="High Risk"/>
    <x v="3"/>
  </r>
  <r>
    <x v="247"/>
    <n v="57"/>
    <x v="0"/>
    <s v="B+"/>
    <x v="5"/>
    <d v="2019-10-05T00:00:00"/>
    <x v="247"/>
    <s v="Anderson and Medina, Sullivan"/>
    <x v="0"/>
    <n v="35041.030967603299"/>
    <n v="299"/>
    <x v="2"/>
    <d v="2019-10-20T00:00:00"/>
    <s v="Lipitor"/>
    <x v="0"/>
    <s v="High"/>
    <s v="Under Treatment"/>
    <s v="High Risk"/>
    <x v="1"/>
  </r>
  <r>
    <x v="248"/>
    <n v="75"/>
    <x v="1"/>
    <s v="O-"/>
    <x v="5"/>
    <d v="2022-03-13T00:00:00"/>
    <x v="248"/>
    <s v="PLC Dixon"/>
    <x v="4"/>
    <n v="45980.292293796003"/>
    <n v="101"/>
    <x v="1"/>
    <d v="2022-03-26T00:00:00"/>
    <s v="Aspirin"/>
    <x v="1"/>
    <s v="High"/>
    <s v="Under Treatment"/>
    <s v="High Risk"/>
    <x v="2"/>
  </r>
  <r>
    <x v="249"/>
    <n v="43"/>
    <x v="1"/>
    <s v="AB-"/>
    <x v="3"/>
    <d v="2020-12-02T00:00:00"/>
    <x v="249"/>
    <s v="Tyler PLC"/>
    <x v="3"/>
    <n v="43670.378191668897"/>
    <n v="181"/>
    <x v="2"/>
    <d v="2020-12-23T00:00:00"/>
    <s v="Aspirin"/>
    <x v="0"/>
    <s v="High"/>
    <s v="Under Treatment"/>
    <s v="High Risk"/>
    <x v="3"/>
  </r>
  <r>
    <x v="250"/>
    <n v="22"/>
    <x v="0"/>
    <s v="AB+"/>
    <x v="3"/>
    <d v="2024-01-08T00:00:00"/>
    <x v="250"/>
    <s v="Velazquez-Patton"/>
    <x v="3"/>
    <n v="33706.597670683499"/>
    <n v="282"/>
    <x v="1"/>
    <d v="2024-01-15T00:00:00"/>
    <s v="Aspirin"/>
    <x v="1"/>
    <s v="High"/>
    <s v="Under Treatment"/>
    <s v="High Risk"/>
    <x v="0"/>
  </r>
  <r>
    <x v="251"/>
    <n v="66"/>
    <x v="1"/>
    <s v="AB+"/>
    <x v="5"/>
    <d v="2023-03-23T00:00:00"/>
    <x v="251"/>
    <s v="Newton, Smith Ruiz and"/>
    <x v="0"/>
    <n v="49078.469011056601"/>
    <n v="389"/>
    <x v="2"/>
    <d v="2023-04-19T00:00:00"/>
    <s v="Penicillin"/>
    <x v="2"/>
    <s v="High"/>
    <s v="Under Treatment"/>
    <s v="High Risk"/>
    <x v="2"/>
  </r>
  <r>
    <x v="252"/>
    <n v="19"/>
    <x v="0"/>
    <s v="O+"/>
    <x v="1"/>
    <d v="2020-01-20T00:00:00"/>
    <x v="252"/>
    <s v="Graham-Fisher"/>
    <x v="3"/>
    <n v="23687.993642467602"/>
    <n v="481"/>
    <x v="1"/>
    <d v="2020-02-11T00:00:00"/>
    <s v="Ibuprofen"/>
    <x v="0"/>
    <s v="High"/>
    <s v="Under Treatment"/>
    <s v="High Risk"/>
    <x v="0"/>
  </r>
  <r>
    <x v="253"/>
    <n v="79"/>
    <x v="1"/>
    <s v="B-"/>
    <x v="2"/>
    <d v="2024-01-23T00:00:00"/>
    <x v="253"/>
    <s v="Scott Ltd"/>
    <x v="3"/>
    <n v="17720.318726459001"/>
    <n v="275"/>
    <x v="2"/>
    <d v="2024-02-22T00:00:00"/>
    <s v="Paracetamol"/>
    <x v="2"/>
    <s v="High"/>
    <s v="Under Treatment"/>
    <s v="High Risk"/>
    <x v="2"/>
  </r>
  <r>
    <x v="254"/>
    <n v="76"/>
    <x v="0"/>
    <s v="B-"/>
    <x v="3"/>
    <d v="2022-12-20T00:00:00"/>
    <x v="254"/>
    <s v="Rosales-Sweeney"/>
    <x v="3"/>
    <n v="27361.2496848068"/>
    <n v="231"/>
    <x v="1"/>
    <d v="2023-01-02T00:00:00"/>
    <s v="Paracetamol"/>
    <x v="0"/>
    <s v="High"/>
    <s v="Under Treatment"/>
    <s v="High Risk"/>
    <x v="2"/>
  </r>
  <r>
    <x v="255"/>
    <n v="62"/>
    <x v="0"/>
    <s v="O-"/>
    <x v="5"/>
    <d v="2020-11-23T00:00:00"/>
    <x v="255"/>
    <s v="PLC York"/>
    <x v="2"/>
    <n v="32868.082770922701"/>
    <n v="114"/>
    <x v="1"/>
    <d v="2020-11-28T00:00:00"/>
    <s v="Paracetamol"/>
    <x v="1"/>
    <s v="High"/>
    <s v="Under Treatment"/>
    <s v="High Risk"/>
    <x v="1"/>
  </r>
  <r>
    <x v="256"/>
    <n v="80"/>
    <x v="0"/>
    <s v="A-"/>
    <x v="3"/>
    <d v="2020-02-10T00:00:00"/>
    <x v="256"/>
    <s v="Kelly-Watson"/>
    <x v="0"/>
    <n v="22032.3895867422"/>
    <n v="262"/>
    <x v="1"/>
    <d v="2020-02-29T00:00:00"/>
    <s v="Ibuprofen"/>
    <x v="0"/>
    <s v="High"/>
    <s v="Under Treatment"/>
    <s v="High Risk"/>
    <x v="2"/>
  </r>
  <r>
    <x v="257"/>
    <n v="49"/>
    <x v="1"/>
    <s v="A+"/>
    <x v="2"/>
    <d v="2019-06-04T00:00:00"/>
    <x v="257"/>
    <s v="Smith Gonzalez Robinson, and"/>
    <x v="0"/>
    <n v="43165.694086010197"/>
    <n v="428"/>
    <x v="2"/>
    <d v="2019-06-17T00:00:00"/>
    <s v="Ibuprofen"/>
    <x v="2"/>
    <s v="High"/>
    <s v="Under Treatment"/>
    <s v="High Risk"/>
    <x v="3"/>
  </r>
  <r>
    <x v="258"/>
    <n v="66"/>
    <x v="1"/>
    <s v="O+"/>
    <x v="1"/>
    <d v="2023-09-24T00:00:00"/>
    <x v="258"/>
    <s v="Cook-Taylor"/>
    <x v="0"/>
    <n v="1870.6084397725899"/>
    <n v="234"/>
    <x v="1"/>
    <d v="2023-10-11T00:00:00"/>
    <s v="Penicillin"/>
    <x v="1"/>
    <s v="Low"/>
    <s v="Under Treatment"/>
    <s v="High Risk"/>
    <x v="2"/>
  </r>
  <r>
    <x v="259"/>
    <n v="50"/>
    <x v="0"/>
    <s v="B-"/>
    <x v="2"/>
    <d v="2021-08-16T00:00:00"/>
    <x v="259"/>
    <s v="Robinson-Reyes"/>
    <x v="0"/>
    <n v="50254.201831162201"/>
    <n v="210"/>
    <x v="2"/>
    <d v="2021-08-20T00:00:00"/>
    <s v="Aspirin"/>
    <x v="1"/>
    <s v="High"/>
    <s v="Under Treatment"/>
    <s v="High Risk"/>
    <x v="3"/>
  </r>
  <r>
    <x v="260"/>
    <n v="39"/>
    <x v="0"/>
    <s v="AB-"/>
    <x v="5"/>
    <d v="2020-07-06T00:00:00"/>
    <x v="260"/>
    <s v="Reid Inc"/>
    <x v="2"/>
    <n v="23159.663033639299"/>
    <n v="333"/>
    <x v="2"/>
    <d v="2020-07-22T00:00:00"/>
    <s v="Penicillin"/>
    <x v="1"/>
    <s v="High"/>
    <s v="Under Treatment"/>
    <s v="High Risk"/>
    <x v="3"/>
  </r>
  <r>
    <x v="261"/>
    <n v="31"/>
    <x v="1"/>
    <s v="B-"/>
    <x v="2"/>
    <d v="2022-12-07T00:00:00"/>
    <x v="261"/>
    <s v="Kemp and Taylor, Jones"/>
    <x v="2"/>
    <n v="11469.390589717001"/>
    <n v="391"/>
    <x v="2"/>
    <d v="2022-12-29T00:00:00"/>
    <s v="Paracetamol"/>
    <x v="2"/>
    <s v="Medium"/>
    <s v="Under Treatment"/>
    <s v="High Risk"/>
    <x v="0"/>
  </r>
  <r>
    <x v="262"/>
    <n v="84"/>
    <x v="0"/>
    <s v="AB-"/>
    <x v="0"/>
    <d v="2023-12-29T00:00:00"/>
    <x v="262"/>
    <s v="Richards-Mack"/>
    <x v="2"/>
    <n v="35435.170152695602"/>
    <n v="458"/>
    <x v="2"/>
    <d v="2024-01-16T00:00:00"/>
    <s v="Ibuprofen"/>
    <x v="2"/>
    <s v="High"/>
    <s v="Under Treatment"/>
    <s v="High Risk"/>
    <x v="2"/>
  </r>
  <r>
    <x v="263"/>
    <n v="71"/>
    <x v="0"/>
    <s v="O-"/>
    <x v="0"/>
    <d v="2023-02-16T00:00:00"/>
    <x v="263"/>
    <s v="and Smith Harmon, Marshall"/>
    <x v="3"/>
    <n v="26139.7859488467"/>
    <n v="195"/>
    <x v="0"/>
    <d v="2023-02-25T00:00:00"/>
    <s v="Paracetamol"/>
    <x v="2"/>
    <s v="High"/>
    <s v="Under Treatment"/>
    <s v="High Risk"/>
    <x v="2"/>
  </r>
  <r>
    <x v="264"/>
    <n v="56"/>
    <x v="0"/>
    <s v="O+"/>
    <x v="5"/>
    <d v="2023-09-20T00:00:00"/>
    <x v="47"/>
    <s v="Harrington, and Owens Preston"/>
    <x v="3"/>
    <n v="8421.91538451632"/>
    <n v="409"/>
    <x v="1"/>
    <d v="2023-09-25T00:00:00"/>
    <s v="Paracetamol"/>
    <x v="1"/>
    <s v="Medium"/>
    <s v="Under Treatment"/>
    <s v="High Risk"/>
    <x v="1"/>
  </r>
  <r>
    <x v="265"/>
    <n v="36"/>
    <x v="0"/>
    <s v="O-"/>
    <x v="1"/>
    <d v="2020-01-11T00:00:00"/>
    <x v="264"/>
    <s v="Downs PLC"/>
    <x v="4"/>
    <n v="23892.552669226399"/>
    <n v="268"/>
    <x v="1"/>
    <d v="2020-01-16T00:00:00"/>
    <s v="Aspirin"/>
    <x v="0"/>
    <s v="High"/>
    <s v="Under Treatment"/>
    <s v="High Risk"/>
    <x v="3"/>
  </r>
  <r>
    <x v="266"/>
    <n v="38"/>
    <x v="0"/>
    <s v="O-"/>
    <x v="1"/>
    <d v="2022-03-30T00:00:00"/>
    <x v="265"/>
    <s v="Zhang Long Eaton, and"/>
    <x v="0"/>
    <n v="8171.4626147149202"/>
    <n v="279"/>
    <x v="2"/>
    <d v="2022-04-26T00:00:00"/>
    <s v="Ibuprofen"/>
    <x v="1"/>
    <s v="Medium"/>
    <s v="Under Treatment"/>
    <s v="High Risk"/>
    <x v="3"/>
  </r>
  <r>
    <x v="267"/>
    <n v="21"/>
    <x v="0"/>
    <s v="AB+"/>
    <x v="5"/>
    <d v="2020-05-11T00:00:00"/>
    <x v="266"/>
    <s v="PLC Mills"/>
    <x v="3"/>
    <n v="23457.309286507902"/>
    <n v="322"/>
    <x v="2"/>
    <d v="2020-05-20T00:00:00"/>
    <s v="Lipitor"/>
    <x v="0"/>
    <s v="High"/>
    <s v="Under Treatment"/>
    <s v="High Risk"/>
    <x v="0"/>
  </r>
  <r>
    <x v="268"/>
    <n v="55"/>
    <x v="1"/>
    <s v="O+"/>
    <x v="0"/>
    <d v="2022-01-20T00:00:00"/>
    <x v="267"/>
    <s v="Hoffman Cox Mcdonald, and"/>
    <x v="4"/>
    <n v="25787.439143745902"/>
    <n v="205"/>
    <x v="1"/>
    <d v="2022-02-16T00:00:00"/>
    <s v="Paracetamol"/>
    <x v="0"/>
    <s v="High"/>
    <s v="Under Treatment"/>
    <s v="High Risk"/>
    <x v="1"/>
  </r>
  <r>
    <x v="269"/>
    <n v="79"/>
    <x v="1"/>
    <s v="A-"/>
    <x v="4"/>
    <d v="2019-11-13T00:00:00"/>
    <x v="268"/>
    <s v="Carpenter and Sons"/>
    <x v="0"/>
    <n v="28525.524767688199"/>
    <n v="243"/>
    <x v="0"/>
    <d v="2019-11-24T00:00:00"/>
    <s v="Aspirin"/>
    <x v="2"/>
    <s v="High"/>
    <s v="Under Treatment"/>
    <s v="High Risk"/>
    <x v="2"/>
  </r>
  <r>
    <x v="270"/>
    <n v="55"/>
    <x v="0"/>
    <s v="AB-"/>
    <x v="5"/>
    <d v="2021-02-03T00:00:00"/>
    <x v="269"/>
    <s v="Collins and Moore Chan,"/>
    <x v="3"/>
    <n v="17182.869811876899"/>
    <n v="408"/>
    <x v="1"/>
    <d v="2021-02-20T00:00:00"/>
    <s v="Lipitor"/>
    <x v="2"/>
    <s v="High"/>
    <s v="Under Treatment"/>
    <s v="High Risk"/>
    <x v="1"/>
  </r>
  <r>
    <x v="271"/>
    <n v="39"/>
    <x v="1"/>
    <s v="O+"/>
    <x v="4"/>
    <d v="2022-10-03T00:00:00"/>
    <x v="270"/>
    <s v="and Keller, Ortega Miller"/>
    <x v="1"/>
    <n v="4243.2026438305902"/>
    <n v="138"/>
    <x v="0"/>
    <d v="2022-10-06T00:00:00"/>
    <s v="Ibuprofen"/>
    <x v="2"/>
    <s v="Low"/>
    <s v="Under Treatment"/>
    <s v="High Risk"/>
    <x v="3"/>
  </r>
  <r>
    <x v="272"/>
    <n v="63"/>
    <x v="1"/>
    <s v="B+"/>
    <x v="0"/>
    <d v="2023-12-24T00:00:00"/>
    <x v="271"/>
    <s v="Austin, and Reynolds Duran"/>
    <x v="4"/>
    <n v="40137.789171480603"/>
    <n v="467"/>
    <x v="2"/>
    <d v="2024-01-02T00:00:00"/>
    <s v="Ibuprofen"/>
    <x v="0"/>
    <s v="High"/>
    <s v="Under Treatment"/>
    <s v="High Risk"/>
    <x v="1"/>
  </r>
  <r>
    <x v="273"/>
    <n v="26"/>
    <x v="0"/>
    <s v="AB-"/>
    <x v="3"/>
    <d v="2023-11-18T00:00:00"/>
    <x v="272"/>
    <s v="Lopez LLC"/>
    <x v="1"/>
    <n v="30676.441759526999"/>
    <n v="290"/>
    <x v="2"/>
    <d v="2023-11-26T00:00:00"/>
    <s v="Ibuprofen"/>
    <x v="0"/>
    <s v="High"/>
    <s v="Under Treatment"/>
    <s v="High Risk"/>
    <x v="0"/>
  </r>
  <r>
    <x v="274"/>
    <n v="76"/>
    <x v="1"/>
    <s v="AB+"/>
    <x v="4"/>
    <d v="2024-03-12T00:00:00"/>
    <x v="273"/>
    <s v="Clark-Tran"/>
    <x v="2"/>
    <n v="45594.889070635902"/>
    <n v="192"/>
    <x v="0"/>
    <d v="2024-04-09T00:00:00"/>
    <s v="Paracetamol"/>
    <x v="2"/>
    <s v="High"/>
    <s v="Under Treatment"/>
    <s v="High Risk"/>
    <x v="2"/>
  </r>
  <r>
    <x v="275"/>
    <n v="69"/>
    <x v="0"/>
    <s v="A+"/>
    <x v="0"/>
    <d v="2023-04-12T00:00:00"/>
    <x v="274"/>
    <s v="Villanueva and Carter Hughes,"/>
    <x v="1"/>
    <n v="29076.629611154"/>
    <n v="135"/>
    <x v="0"/>
    <d v="2023-05-07T00:00:00"/>
    <s v="Ibuprofen"/>
    <x v="2"/>
    <s v="High"/>
    <s v="Under Treatment"/>
    <s v="High Risk"/>
    <x v="2"/>
  </r>
  <r>
    <x v="276"/>
    <n v="38"/>
    <x v="1"/>
    <s v="O+"/>
    <x v="1"/>
    <d v="2021-06-16T00:00:00"/>
    <x v="275"/>
    <s v="Ltd Osborn"/>
    <x v="4"/>
    <n v="5223.5020813440497"/>
    <n v="255"/>
    <x v="1"/>
    <d v="2021-07-11T00:00:00"/>
    <s v="Paracetamol"/>
    <x v="2"/>
    <s v="Medium"/>
    <s v="Under Treatment"/>
    <s v="High Risk"/>
    <x v="3"/>
  </r>
  <r>
    <x v="277"/>
    <n v="19"/>
    <x v="0"/>
    <s v="AB-"/>
    <x v="4"/>
    <d v="2021-11-24T00:00:00"/>
    <x v="276"/>
    <s v="LLC Hodge"/>
    <x v="0"/>
    <n v="41840.658034423803"/>
    <n v="176"/>
    <x v="2"/>
    <d v="2021-12-13T00:00:00"/>
    <s v="Penicillin"/>
    <x v="2"/>
    <s v="High"/>
    <s v="Under Treatment"/>
    <s v="High Risk"/>
    <x v="0"/>
  </r>
  <r>
    <x v="278"/>
    <n v="42"/>
    <x v="1"/>
    <s v="AB-"/>
    <x v="5"/>
    <d v="2022-06-26T00:00:00"/>
    <x v="277"/>
    <s v="Moss and Meadows Jones,"/>
    <x v="4"/>
    <n v="7946.1291129576903"/>
    <n v="111"/>
    <x v="2"/>
    <d v="2022-07-01T00:00:00"/>
    <s v="Ibuprofen"/>
    <x v="1"/>
    <s v="Medium"/>
    <s v="Under Treatment"/>
    <s v="High Risk"/>
    <x v="3"/>
  </r>
  <r>
    <x v="279"/>
    <n v="57"/>
    <x v="0"/>
    <s v="AB-"/>
    <x v="2"/>
    <d v="2020-07-21T00:00:00"/>
    <x v="278"/>
    <s v="Young-Williams"/>
    <x v="4"/>
    <n v="18689.138447934001"/>
    <n v="133"/>
    <x v="0"/>
    <d v="2020-07-31T00:00:00"/>
    <s v="Lipitor"/>
    <x v="0"/>
    <s v="High"/>
    <s v="Under Treatment"/>
    <s v="High Risk"/>
    <x v="1"/>
  </r>
  <r>
    <x v="280"/>
    <n v="36"/>
    <x v="1"/>
    <s v="A-"/>
    <x v="5"/>
    <d v="2019-11-04T00:00:00"/>
    <x v="279"/>
    <s v="Bailey Morgan Frey, and"/>
    <x v="0"/>
    <n v="30051.975072767102"/>
    <n v="482"/>
    <x v="0"/>
    <d v="2019-12-03T00:00:00"/>
    <s v="Ibuprofen"/>
    <x v="2"/>
    <s v="High"/>
    <s v="Under Treatment"/>
    <s v="High Risk"/>
    <x v="3"/>
  </r>
  <r>
    <x v="281"/>
    <n v="68"/>
    <x v="1"/>
    <s v="AB+"/>
    <x v="4"/>
    <d v="2021-11-01T00:00:00"/>
    <x v="280"/>
    <s v="Neal Price and Smith,"/>
    <x v="1"/>
    <n v="22913.5542530079"/>
    <n v="124"/>
    <x v="0"/>
    <d v="2021-11-03T00:00:00"/>
    <s v="Paracetamol"/>
    <x v="0"/>
    <s v="High"/>
    <s v="Under Treatment"/>
    <s v="High Risk"/>
    <x v="2"/>
  </r>
  <r>
    <x v="282"/>
    <n v="37"/>
    <x v="1"/>
    <s v="B+"/>
    <x v="1"/>
    <d v="2022-12-19T00:00:00"/>
    <x v="281"/>
    <s v="Melton Inc"/>
    <x v="1"/>
    <n v="25217.4561843394"/>
    <n v="352"/>
    <x v="0"/>
    <d v="2023-01-06T00:00:00"/>
    <s v="Aspirin"/>
    <x v="0"/>
    <s v="High"/>
    <s v="Under Treatment"/>
    <s v="High Risk"/>
    <x v="3"/>
  </r>
  <r>
    <x v="283"/>
    <n v="68"/>
    <x v="0"/>
    <s v="A+"/>
    <x v="3"/>
    <d v="2020-10-06T00:00:00"/>
    <x v="282"/>
    <s v="and Weber Sons"/>
    <x v="2"/>
    <n v="41548.408314476997"/>
    <n v="124"/>
    <x v="0"/>
    <d v="2020-10-20T00:00:00"/>
    <s v="Aspirin"/>
    <x v="0"/>
    <s v="High"/>
    <s v="Under Treatment"/>
    <s v="High Risk"/>
    <x v="2"/>
  </r>
  <r>
    <x v="284"/>
    <n v="81"/>
    <x v="1"/>
    <s v="AB-"/>
    <x v="5"/>
    <d v="2022-01-16T00:00:00"/>
    <x v="283"/>
    <s v="Chung Rodriguez Bradley, and"/>
    <x v="2"/>
    <n v="7562.3943796421199"/>
    <n v="471"/>
    <x v="2"/>
    <d v="2022-01-22T00:00:00"/>
    <s v="Ibuprofen"/>
    <x v="2"/>
    <s v="Medium"/>
    <s v="Under Treatment"/>
    <s v="High Risk"/>
    <x v="2"/>
  </r>
  <r>
    <x v="285"/>
    <n v="74"/>
    <x v="1"/>
    <s v="A+"/>
    <x v="3"/>
    <d v="2023-07-06T00:00:00"/>
    <x v="284"/>
    <s v="White Wilson and Farmer,"/>
    <x v="3"/>
    <n v="386.05405469133598"/>
    <n v="165"/>
    <x v="2"/>
    <d v="2023-08-03T00:00:00"/>
    <s v="Aspirin"/>
    <x v="0"/>
    <s v="Low"/>
    <s v="Under Treatment"/>
    <s v="High Risk"/>
    <x v="2"/>
  </r>
  <r>
    <x v="286"/>
    <n v="75"/>
    <x v="0"/>
    <s v="O+"/>
    <x v="5"/>
    <d v="2021-06-12T00:00:00"/>
    <x v="285"/>
    <s v="Group Thompson"/>
    <x v="4"/>
    <n v="31491.614710744299"/>
    <n v="347"/>
    <x v="0"/>
    <d v="2021-06-15T00:00:00"/>
    <s v="Ibuprofen"/>
    <x v="2"/>
    <s v="High"/>
    <s v="Under Treatment"/>
    <s v="High Risk"/>
    <x v="2"/>
  </r>
  <r>
    <x v="287"/>
    <n v="28"/>
    <x v="1"/>
    <s v="AB-"/>
    <x v="2"/>
    <d v="2022-05-17T00:00:00"/>
    <x v="286"/>
    <s v="Travis, and Richardson Hampton"/>
    <x v="1"/>
    <n v="23673.7217393301"/>
    <n v="354"/>
    <x v="0"/>
    <d v="2022-06-12T00:00:00"/>
    <s v="Ibuprofen"/>
    <x v="2"/>
    <s v="High"/>
    <s v="Under Treatment"/>
    <s v="High Risk"/>
    <x v="0"/>
  </r>
  <r>
    <x v="288"/>
    <n v="35"/>
    <x v="0"/>
    <s v="AB+"/>
    <x v="4"/>
    <d v="2020-10-02T00:00:00"/>
    <x v="287"/>
    <s v="and Wilson Matthews, Faulkner"/>
    <x v="3"/>
    <n v="40301.997309242797"/>
    <n v="250"/>
    <x v="2"/>
    <d v="2020-10-17T00:00:00"/>
    <s v="Ibuprofen"/>
    <x v="1"/>
    <s v="High"/>
    <s v="Under Treatment"/>
    <s v="High Risk"/>
    <x v="0"/>
  </r>
  <r>
    <x v="289"/>
    <n v="79"/>
    <x v="1"/>
    <s v="O+"/>
    <x v="3"/>
    <d v="2021-08-20T00:00:00"/>
    <x v="288"/>
    <s v="Group Bailey"/>
    <x v="1"/>
    <n v="37116.163814100801"/>
    <n v="225"/>
    <x v="2"/>
    <d v="2021-09-16T00:00:00"/>
    <s v="Lipitor"/>
    <x v="2"/>
    <s v="High"/>
    <s v="Under Treatment"/>
    <s v="High Risk"/>
    <x v="2"/>
  </r>
  <r>
    <x v="290"/>
    <n v="69"/>
    <x v="0"/>
    <s v="O+"/>
    <x v="5"/>
    <d v="2023-06-22T00:00:00"/>
    <x v="289"/>
    <s v="and Mckay, Morrow Myers"/>
    <x v="0"/>
    <n v="9609.5223071493601"/>
    <n v="404"/>
    <x v="0"/>
    <d v="2023-07-11T00:00:00"/>
    <s v="Lipitor"/>
    <x v="0"/>
    <s v="Medium"/>
    <s v="Under Treatment"/>
    <s v="High Risk"/>
    <x v="2"/>
  </r>
  <r>
    <x v="291"/>
    <n v="54"/>
    <x v="0"/>
    <s v="A-"/>
    <x v="0"/>
    <d v="2020-11-19T00:00:00"/>
    <x v="290"/>
    <s v="Sherman-Martinez"/>
    <x v="0"/>
    <n v="3771.2371655738698"/>
    <n v="426"/>
    <x v="0"/>
    <d v="2020-11-27T00:00:00"/>
    <s v="Penicillin"/>
    <x v="2"/>
    <s v="Low"/>
    <s v="Under Treatment"/>
    <s v="High Risk"/>
    <x v="1"/>
  </r>
  <r>
    <x v="292"/>
    <n v="81"/>
    <x v="1"/>
    <s v="AB+"/>
    <x v="0"/>
    <d v="2022-07-05T00:00:00"/>
    <x v="291"/>
    <s v="Kim-Higgins"/>
    <x v="4"/>
    <n v="33870.120904948497"/>
    <n v="194"/>
    <x v="2"/>
    <d v="2022-07-08T00:00:00"/>
    <s v="Ibuprofen"/>
    <x v="2"/>
    <s v="High"/>
    <s v="Under Treatment"/>
    <s v="High Risk"/>
    <x v="2"/>
  </r>
  <r>
    <x v="293"/>
    <n v="61"/>
    <x v="1"/>
    <s v="O+"/>
    <x v="2"/>
    <d v="2019-08-29T00:00:00"/>
    <x v="292"/>
    <s v="Morgan, Kramer Munoz and"/>
    <x v="1"/>
    <n v="2303.9984227566601"/>
    <n v="408"/>
    <x v="2"/>
    <d v="2019-09-07T00:00:00"/>
    <s v="Paracetamol"/>
    <x v="0"/>
    <s v="Low"/>
    <s v="Under Treatment"/>
    <s v="High Risk"/>
    <x v="1"/>
  </r>
  <r>
    <x v="294"/>
    <n v="52"/>
    <x v="0"/>
    <s v="B+"/>
    <x v="4"/>
    <d v="2024-05-02T00:00:00"/>
    <x v="293"/>
    <s v="Harvey Group"/>
    <x v="2"/>
    <n v="1878.00730181789"/>
    <n v="188"/>
    <x v="2"/>
    <d v="2024-05-21T00:00:00"/>
    <s v="Paracetamol"/>
    <x v="2"/>
    <s v="Low"/>
    <s v="Under Treatment"/>
    <s v="High Risk"/>
    <x v="1"/>
  </r>
  <r>
    <x v="295"/>
    <n v="25"/>
    <x v="0"/>
    <s v="B+"/>
    <x v="3"/>
    <d v="2020-05-26T00:00:00"/>
    <x v="294"/>
    <s v="Mercer-Rogers"/>
    <x v="0"/>
    <n v="19160.993728263998"/>
    <n v="361"/>
    <x v="2"/>
    <d v="2020-05-31T00:00:00"/>
    <s v="Penicillin"/>
    <x v="0"/>
    <s v="High"/>
    <s v="Under Treatment"/>
    <s v="High Risk"/>
    <x v="0"/>
  </r>
  <r>
    <x v="296"/>
    <n v="56"/>
    <x v="0"/>
    <s v="B+"/>
    <x v="0"/>
    <d v="2024-03-20T00:00:00"/>
    <x v="295"/>
    <s v="Duran Sons and"/>
    <x v="0"/>
    <n v="5811.6298510377301"/>
    <n v="176"/>
    <x v="0"/>
    <d v="2024-04-06T00:00:00"/>
    <s v="Paracetamol"/>
    <x v="0"/>
    <s v="Medium"/>
    <s v="Under Treatment"/>
    <s v="High Risk"/>
    <x v="1"/>
  </r>
  <r>
    <x v="297"/>
    <n v="44"/>
    <x v="0"/>
    <s v="O+"/>
    <x v="2"/>
    <d v="2024-03-27T00:00:00"/>
    <x v="296"/>
    <s v="Vaughan Parker and Wagner,"/>
    <x v="1"/>
    <n v="22868.530342201499"/>
    <n v="295"/>
    <x v="2"/>
    <d v="2024-04-08T00:00:00"/>
    <s v="Ibuprofen"/>
    <x v="2"/>
    <s v="High"/>
    <s v="Under Treatment"/>
    <s v="High Risk"/>
    <x v="3"/>
  </r>
  <r>
    <x v="298"/>
    <n v="30"/>
    <x v="1"/>
    <s v="O+"/>
    <x v="5"/>
    <d v="2021-03-22T00:00:00"/>
    <x v="297"/>
    <s v="Lee-Jacobson"/>
    <x v="0"/>
    <n v="48281.911940192003"/>
    <n v="415"/>
    <x v="0"/>
    <d v="2021-03-25T00:00:00"/>
    <s v="Ibuprofen"/>
    <x v="2"/>
    <s v="High"/>
    <s v="Under Treatment"/>
    <s v="High Risk"/>
    <x v="0"/>
  </r>
  <r>
    <x v="299"/>
    <n v="82"/>
    <x v="0"/>
    <s v="O-"/>
    <x v="0"/>
    <d v="2020-10-03T00:00:00"/>
    <x v="298"/>
    <s v="Hayes Robbins and Gallagher,"/>
    <x v="1"/>
    <n v="30562.567625200401"/>
    <n v="185"/>
    <x v="1"/>
    <d v="2020-10-28T00:00:00"/>
    <s v="Paracetamol"/>
    <x v="2"/>
    <s v="High"/>
    <s v="Under Treatment"/>
    <s v="High Risk"/>
    <x v="2"/>
  </r>
  <r>
    <x v="300"/>
    <n v="41"/>
    <x v="0"/>
    <s v="A+"/>
    <x v="5"/>
    <d v="2022-08-12T00:00:00"/>
    <x v="299"/>
    <s v="and Howell Sons"/>
    <x v="2"/>
    <n v="5878.7788533232597"/>
    <n v="358"/>
    <x v="1"/>
    <d v="2022-08-31T00:00:00"/>
    <s v="Ibuprofen"/>
    <x v="2"/>
    <s v="Medium"/>
    <s v="Under Treatment"/>
    <s v="High Risk"/>
    <x v="3"/>
  </r>
  <r>
    <x v="301"/>
    <n v="84"/>
    <x v="0"/>
    <s v="A-"/>
    <x v="5"/>
    <d v="2020-06-20T00:00:00"/>
    <x v="300"/>
    <s v="Clements and Scott, Peters"/>
    <x v="3"/>
    <n v="28410.438767927299"/>
    <n v="451"/>
    <x v="0"/>
    <d v="2020-06-22T00:00:00"/>
    <s v="Ibuprofen"/>
    <x v="2"/>
    <s v="High"/>
    <s v="Under Treatment"/>
    <s v="High Risk"/>
    <x v="2"/>
  </r>
  <r>
    <x v="302"/>
    <n v="85"/>
    <x v="1"/>
    <s v="AB+"/>
    <x v="3"/>
    <d v="2023-04-20T00:00:00"/>
    <x v="301"/>
    <s v="Gomez-Olson"/>
    <x v="1"/>
    <n v="27414.018804721702"/>
    <n v="390"/>
    <x v="1"/>
    <d v="2023-05-05T00:00:00"/>
    <s v="Ibuprofen"/>
    <x v="0"/>
    <s v="High"/>
    <s v="Under Treatment"/>
    <s v="High Risk"/>
    <x v="2"/>
  </r>
  <r>
    <x v="303"/>
    <n v="26"/>
    <x v="1"/>
    <s v="A-"/>
    <x v="4"/>
    <d v="2019-10-28T00:00:00"/>
    <x v="302"/>
    <s v="and Medina Morgan, Whitehead"/>
    <x v="2"/>
    <n v="5826.2440270541301"/>
    <n v="226"/>
    <x v="1"/>
    <d v="2019-11-21T00:00:00"/>
    <s v="Penicillin"/>
    <x v="2"/>
    <s v="Medium"/>
    <s v="Under Treatment"/>
    <s v="High Risk"/>
    <x v="0"/>
  </r>
  <r>
    <x v="304"/>
    <n v="49"/>
    <x v="1"/>
    <s v="O+"/>
    <x v="2"/>
    <d v="2021-08-31T00:00:00"/>
    <x v="303"/>
    <s v="Miller LLC"/>
    <x v="4"/>
    <n v="2133.7372022713898"/>
    <n v="189"/>
    <x v="0"/>
    <d v="2021-09-05T00:00:00"/>
    <s v="Ibuprofen"/>
    <x v="0"/>
    <s v="Low"/>
    <s v="Under Treatment"/>
    <s v="High Risk"/>
    <x v="3"/>
  </r>
  <r>
    <x v="305"/>
    <n v="69"/>
    <x v="0"/>
    <s v="A-"/>
    <x v="2"/>
    <d v="2022-01-21T00:00:00"/>
    <x v="304"/>
    <s v="PLC Gonzalez"/>
    <x v="2"/>
    <n v="44897.049014850498"/>
    <n v="283"/>
    <x v="2"/>
    <d v="2022-02-02T00:00:00"/>
    <s v="Paracetamol"/>
    <x v="0"/>
    <s v="High"/>
    <s v="Under Treatment"/>
    <s v="High Risk"/>
    <x v="2"/>
  </r>
  <r>
    <x v="306"/>
    <n v="78"/>
    <x v="1"/>
    <s v="O+"/>
    <x v="3"/>
    <d v="2019-09-16T00:00:00"/>
    <x v="305"/>
    <s v="and Davies Sons"/>
    <x v="4"/>
    <n v="22230.122763982901"/>
    <n v="439"/>
    <x v="0"/>
    <d v="2019-10-16T00:00:00"/>
    <s v="Penicillin"/>
    <x v="0"/>
    <s v="High"/>
    <s v="Under Treatment"/>
    <s v="High Risk"/>
    <x v="2"/>
  </r>
  <r>
    <x v="307"/>
    <n v="29"/>
    <x v="0"/>
    <s v="AB+"/>
    <x v="2"/>
    <d v="2023-01-20T00:00:00"/>
    <x v="306"/>
    <s v="Soto-Richmond"/>
    <x v="4"/>
    <n v="32895.101891303202"/>
    <n v="123"/>
    <x v="0"/>
    <d v="2023-01-29T00:00:00"/>
    <s v="Aspirin"/>
    <x v="2"/>
    <s v="High"/>
    <s v="Under Treatment"/>
    <s v="High Risk"/>
    <x v="0"/>
  </r>
  <r>
    <x v="308"/>
    <n v="73"/>
    <x v="0"/>
    <s v="A+"/>
    <x v="0"/>
    <d v="2020-01-04T00:00:00"/>
    <x v="307"/>
    <s v="and Morrison Ho Woods,"/>
    <x v="1"/>
    <n v="5349.0561163119701"/>
    <n v="469"/>
    <x v="1"/>
    <d v="2020-01-16T00:00:00"/>
    <s v="Paracetamol"/>
    <x v="0"/>
    <s v="Medium"/>
    <s v="Under Treatment"/>
    <s v="High Risk"/>
    <x v="2"/>
  </r>
  <r>
    <x v="309"/>
    <n v="34"/>
    <x v="0"/>
    <s v="AB+"/>
    <x v="2"/>
    <d v="2019-07-06T00:00:00"/>
    <x v="308"/>
    <s v="Wood-Sandoval"/>
    <x v="2"/>
    <n v="25683.279862215601"/>
    <n v="295"/>
    <x v="2"/>
    <d v="2019-08-01T00:00:00"/>
    <s v="Paracetamol"/>
    <x v="1"/>
    <s v="High"/>
    <s v="Under Treatment"/>
    <s v="High Risk"/>
    <x v="0"/>
  </r>
  <r>
    <x v="310"/>
    <n v="38"/>
    <x v="1"/>
    <s v="AB-"/>
    <x v="1"/>
    <d v="2022-12-01T00:00:00"/>
    <x v="309"/>
    <s v="Ball LLC"/>
    <x v="4"/>
    <n v="45560.281838725801"/>
    <n v="309"/>
    <x v="2"/>
    <d v="2022-12-03T00:00:00"/>
    <s v="Ibuprofen"/>
    <x v="0"/>
    <s v="High"/>
    <s v="Under Treatment"/>
    <s v="High Risk"/>
    <x v="3"/>
  </r>
  <r>
    <x v="311"/>
    <n v="70"/>
    <x v="1"/>
    <s v="B-"/>
    <x v="5"/>
    <d v="2020-05-10T00:00:00"/>
    <x v="310"/>
    <s v="Scott LLC"/>
    <x v="3"/>
    <n v="16850.886312192699"/>
    <n v="230"/>
    <x v="0"/>
    <d v="2020-05-30T00:00:00"/>
    <s v="Penicillin"/>
    <x v="2"/>
    <s v="High"/>
    <s v="Under Treatment"/>
    <s v="High Risk"/>
    <x v="2"/>
  </r>
  <r>
    <x v="312"/>
    <n v="59"/>
    <x v="1"/>
    <s v="AB+"/>
    <x v="4"/>
    <d v="2024-03-10T00:00:00"/>
    <x v="311"/>
    <s v="and Wright, Long Schroeder"/>
    <x v="2"/>
    <n v="34365.9971239597"/>
    <n v="157"/>
    <x v="2"/>
    <d v="2024-03-16T00:00:00"/>
    <s v="Ibuprofen"/>
    <x v="1"/>
    <s v="High"/>
    <s v="Under Treatment"/>
    <s v="High Risk"/>
    <x v="1"/>
  </r>
  <r>
    <x v="313"/>
    <n v="43"/>
    <x v="0"/>
    <s v="AB+"/>
    <x v="5"/>
    <d v="2020-01-14T00:00:00"/>
    <x v="312"/>
    <s v="Ltd Crawford"/>
    <x v="3"/>
    <n v="11968.023816835101"/>
    <n v="171"/>
    <x v="0"/>
    <d v="2020-01-19T00:00:00"/>
    <s v="Paracetamol"/>
    <x v="1"/>
    <s v="Medium"/>
    <s v="Under Treatment"/>
    <s v="High Risk"/>
    <x v="3"/>
  </r>
  <r>
    <x v="314"/>
    <n v="49"/>
    <x v="0"/>
    <s v="B-"/>
    <x v="2"/>
    <d v="2020-06-07T00:00:00"/>
    <x v="313"/>
    <s v="Group Moore"/>
    <x v="4"/>
    <n v="10076.8925329912"/>
    <n v="380"/>
    <x v="2"/>
    <d v="2020-06-26T00:00:00"/>
    <s v="Penicillin"/>
    <x v="1"/>
    <s v="Medium"/>
    <s v="Under Treatment"/>
    <s v="High Risk"/>
    <x v="3"/>
  </r>
  <r>
    <x v="315"/>
    <n v="63"/>
    <x v="0"/>
    <s v="AB-"/>
    <x v="3"/>
    <d v="2020-11-11T00:00:00"/>
    <x v="314"/>
    <s v="Burch-Marks"/>
    <x v="0"/>
    <n v="44582.817359259199"/>
    <n v="189"/>
    <x v="2"/>
    <d v="2020-11-30T00:00:00"/>
    <s v="Penicillin"/>
    <x v="2"/>
    <s v="High"/>
    <s v="Under Treatment"/>
    <s v="High Risk"/>
    <x v="1"/>
  </r>
  <r>
    <x v="316"/>
    <n v="40"/>
    <x v="1"/>
    <s v="O+"/>
    <x v="3"/>
    <d v="2021-05-07T00:00:00"/>
    <x v="188"/>
    <s v="Koch-Alvarado"/>
    <x v="1"/>
    <n v="30334.989066050501"/>
    <n v="102"/>
    <x v="0"/>
    <d v="2021-05-31T00:00:00"/>
    <s v="Aspirin"/>
    <x v="2"/>
    <s v="High"/>
    <s v="Under Treatment"/>
    <s v="High Risk"/>
    <x v="3"/>
  </r>
  <r>
    <x v="317"/>
    <n v="80"/>
    <x v="0"/>
    <s v="B-"/>
    <x v="5"/>
    <d v="2021-07-13T00:00:00"/>
    <x v="315"/>
    <s v="Garcia Edwards and Daniel,"/>
    <x v="4"/>
    <n v="6196.6351360699"/>
    <n v="484"/>
    <x v="0"/>
    <d v="2021-08-05T00:00:00"/>
    <s v="Penicillin"/>
    <x v="0"/>
    <s v="Medium"/>
    <s v="Under Treatment"/>
    <s v="High Risk"/>
    <x v="2"/>
  </r>
  <r>
    <x v="318"/>
    <n v="74"/>
    <x v="1"/>
    <s v="B+"/>
    <x v="0"/>
    <d v="2024-03-25T00:00:00"/>
    <x v="316"/>
    <s v="Carter-Camacho"/>
    <x v="4"/>
    <n v="45438.906946369301"/>
    <n v="256"/>
    <x v="1"/>
    <d v="2024-04-03T00:00:00"/>
    <s v="Lipitor"/>
    <x v="0"/>
    <s v="High"/>
    <s v="Under Treatment"/>
    <s v="High Risk"/>
    <x v="2"/>
  </r>
  <r>
    <x v="319"/>
    <n v="70"/>
    <x v="0"/>
    <s v="O+"/>
    <x v="2"/>
    <d v="2020-03-25T00:00:00"/>
    <x v="317"/>
    <s v="Malone LLC"/>
    <x v="2"/>
    <n v="43707.179242198101"/>
    <n v="365"/>
    <x v="0"/>
    <d v="2020-04-02T00:00:00"/>
    <s v="Lipitor"/>
    <x v="0"/>
    <s v="High"/>
    <s v="Under Treatment"/>
    <s v="High Risk"/>
    <x v="2"/>
  </r>
  <r>
    <x v="320"/>
    <n v="39"/>
    <x v="1"/>
    <s v="AB-"/>
    <x v="2"/>
    <d v="2023-05-14T00:00:00"/>
    <x v="318"/>
    <s v="Zamora PLC"/>
    <x v="0"/>
    <n v="20105.0299292768"/>
    <n v="286"/>
    <x v="0"/>
    <d v="2023-05-20T00:00:00"/>
    <s v="Penicillin"/>
    <x v="0"/>
    <s v="High"/>
    <s v="Under Treatment"/>
    <s v="High Risk"/>
    <x v="3"/>
  </r>
  <r>
    <x v="321"/>
    <n v="47"/>
    <x v="1"/>
    <s v="AB+"/>
    <x v="2"/>
    <d v="2022-11-19T00:00:00"/>
    <x v="319"/>
    <s v="Ltd Hernandez"/>
    <x v="3"/>
    <n v="11938.0676946801"/>
    <n v="452"/>
    <x v="0"/>
    <d v="2022-11-23T00:00:00"/>
    <s v="Penicillin"/>
    <x v="0"/>
    <s v="Medium"/>
    <s v="Under Treatment"/>
    <s v="High Risk"/>
    <x v="3"/>
  </r>
  <r>
    <x v="322"/>
    <n v="49"/>
    <x v="0"/>
    <s v="AB+"/>
    <x v="2"/>
    <d v="2021-03-10T00:00:00"/>
    <x v="320"/>
    <s v="Gomez Ray, and Jones"/>
    <x v="4"/>
    <n v="10836.2112173349"/>
    <n v="481"/>
    <x v="1"/>
    <d v="2021-03-30T00:00:00"/>
    <s v="Lipitor"/>
    <x v="2"/>
    <s v="Medium"/>
    <s v="Under Treatment"/>
    <s v="High Risk"/>
    <x v="3"/>
  </r>
  <r>
    <x v="323"/>
    <n v="64"/>
    <x v="0"/>
    <s v="A-"/>
    <x v="1"/>
    <d v="2020-11-15T00:00:00"/>
    <x v="321"/>
    <s v="Davis, Ray and Thompson"/>
    <x v="4"/>
    <n v="40037.479986778701"/>
    <n v="278"/>
    <x v="0"/>
    <d v="2020-11-20T00:00:00"/>
    <s v="Ibuprofen"/>
    <x v="1"/>
    <s v="High"/>
    <s v="Under Treatment"/>
    <s v="High Risk"/>
    <x v="1"/>
  </r>
  <r>
    <x v="324"/>
    <n v="40"/>
    <x v="0"/>
    <s v="A+"/>
    <x v="3"/>
    <d v="2024-01-28T00:00:00"/>
    <x v="322"/>
    <s v="Mckinney-Edwards"/>
    <x v="1"/>
    <n v="42959.299814318198"/>
    <n v="410"/>
    <x v="2"/>
    <d v="2024-02-21T00:00:00"/>
    <s v="Paracetamol"/>
    <x v="2"/>
    <s v="High"/>
    <s v="Under Treatment"/>
    <s v="High Risk"/>
    <x v="3"/>
  </r>
  <r>
    <x v="325"/>
    <n v="77"/>
    <x v="0"/>
    <s v="A-"/>
    <x v="5"/>
    <d v="2020-07-07T00:00:00"/>
    <x v="323"/>
    <s v="Parker-Shannon"/>
    <x v="1"/>
    <n v="40196.825277804797"/>
    <n v="152"/>
    <x v="0"/>
    <d v="2020-08-05T00:00:00"/>
    <s v="Paracetamol"/>
    <x v="2"/>
    <s v="High"/>
    <s v="Under Treatment"/>
    <s v="High Risk"/>
    <x v="2"/>
  </r>
  <r>
    <x v="326"/>
    <n v="61"/>
    <x v="0"/>
    <s v="AB-"/>
    <x v="4"/>
    <d v="2023-01-22T00:00:00"/>
    <x v="324"/>
    <s v="Lawrence LLC"/>
    <x v="2"/>
    <n v="39827.663417236101"/>
    <n v="172"/>
    <x v="2"/>
    <d v="2023-01-27T00:00:00"/>
    <s v="Ibuprofen"/>
    <x v="1"/>
    <s v="High"/>
    <s v="Under Treatment"/>
    <s v="High Risk"/>
    <x v="1"/>
  </r>
  <r>
    <x v="327"/>
    <n v="19"/>
    <x v="1"/>
    <s v="O+"/>
    <x v="2"/>
    <d v="2021-07-09T00:00:00"/>
    <x v="325"/>
    <s v="Johnson Goodman Clark, and"/>
    <x v="4"/>
    <n v="25414.7959336239"/>
    <n v="283"/>
    <x v="2"/>
    <d v="2021-08-04T00:00:00"/>
    <s v="Aspirin"/>
    <x v="2"/>
    <s v="High"/>
    <s v="Under Treatment"/>
    <s v="High Risk"/>
    <x v="0"/>
  </r>
  <r>
    <x v="328"/>
    <n v="21"/>
    <x v="0"/>
    <s v="O-"/>
    <x v="0"/>
    <d v="2020-06-11T00:00:00"/>
    <x v="326"/>
    <s v="Doyle Hess, and Dudley"/>
    <x v="4"/>
    <n v="36230.3877609556"/>
    <n v="404"/>
    <x v="2"/>
    <d v="2020-06-21T00:00:00"/>
    <s v="Paracetamol"/>
    <x v="1"/>
    <s v="High"/>
    <s v="Under Treatment"/>
    <s v="High Risk"/>
    <x v="0"/>
  </r>
  <r>
    <x v="329"/>
    <n v="49"/>
    <x v="0"/>
    <s v="AB-"/>
    <x v="3"/>
    <d v="2020-04-21T00:00:00"/>
    <x v="327"/>
    <s v="Bass PLC"/>
    <x v="3"/>
    <n v="22427.174137366801"/>
    <n v="197"/>
    <x v="1"/>
    <d v="2020-05-09T00:00:00"/>
    <s v="Lipitor"/>
    <x v="1"/>
    <s v="High"/>
    <s v="Under Treatment"/>
    <s v="High Risk"/>
    <x v="3"/>
  </r>
  <r>
    <x v="330"/>
    <n v="62"/>
    <x v="1"/>
    <s v="A+"/>
    <x v="1"/>
    <d v="2019-10-06T00:00:00"/>
    <x v="328"/>
    <s v="Willis and Hunt Pope,"/>
    <x v="4"/>
    <n v="39250.447438707699"/>
    <n v="110"/>
    <x v="0"/>
    <d v="2019-11-04T00:00:00"/>
    <s v="Aspirin"/>
    <x v="0"/>
    <s v="High"/>
    <s v="Under Treatment"/>
    <s v="High Risk"/>
    <x v="1"/>
  </r>
  <r>
    <x v="331"/>
    <n v="54"/>
    <x v="1"/>
    <s v="O-"/>
    <x v="4"/>
    <d v="2020-07-11T00:00:00"/>
    <x v="329"/>
    <s v="Gray, Hensley and Hanson"/>
    <x v="3"/>
    <n v="5226.0012971346296"/>
    <n v="437"/>
    <x v="0"/>
    <d v="2020-07-31T00:00:00"/>
    <s v="Penicillin"/>
    <x v="0"/>
    <s v="Medium"/>
    <s v="Under Treatment"/>
    <s v="High Risk"/>
    <x v="1"/>
  </r>
  <r>
    <x v="332"/>
    <n v="22"/>
    <x v="0"/>
    <s v="AB-"/>
    <x v="1"/>
    <d v="2022-04-03T00:00:00"/>
    <x v="330"/>
    <s v="Moore-Woods"/>
    <x v="4"/>
    <n v="7732.6722647349497"/>
    <n v="397"/>
    <x v="2"/>
    <d v="2022-04-17T00:00:00"/>
    <s v="Paracetamol"/>
    <x v="2"/>
    <s v="Medium"/>
    <s v="Under Treatment"/>
    <s v="High Risk"/>
    <x v="0"/>
  </r>
  <r>
    <x v="333"/>
    <n v="35"/>
    <x v="1"/>
    <s v="A+"/>
    <x v="3"/>
    <d v="2022-12-16T00:00:00"/>
    <x v="331"/>
    <s v="Hamilton and Sons"/>
    <x v="3"/>
    <n v="38403.576578283399"/>
    <n v="476"/>
    <x v="2"/>
    <d v="2023-01-08T00:00:00"/>
    <s v="Lipitor"/>
    <x v="2"/>
    <s v="High"/>
    <s v="Under Treatment"/>
    <s v="High Risk"/>
    <x v="0"/>
  </r>
  <r>
    <x v="334"/>
    <n v="20"/>
    <x v="0"/>
    <s v="B-"/>
    <x v="3"/>
    <d v="2022-07-20T00:00:00"/>
    <x v="332"/>
    <s v="Burke Group"/>
    <x v="3"/>
    <n v="14039.886137560001"/>
    <n v="416"/>
    <x v="1"/>
    <d v="2022-07-29T00:00:00"/>
    <s v="Ibuprofen"/>
    <x v="1"/>
    <s v="Medium"/>
    <s v="Under Treatment"/>
    <s v="High Risk"/>
    <x v="0"/>
  </r>
  <r>
    <x v="335"/>
    <n v="18"/>
    <x v="1"/>
    <s v="B-"/>
    <x v="0"/>
    <d v="2021-07-25T00:00:00"/>
    <x v="333"/>
    <s v="Anderson LLC"/>
    <x v="3"/>
    <n v="6958.6976712132"/>
    <n v="493"/>
    <x v="2"/>
    <d v="2021-07-28T00:00:00"/>
    <s v="Paracetamol"/>
    <x v="2"/>
    <s v="Medium"/>
    <s v="Under Treatment"/>
    <s v="High Risk"/>
    <x v="4"/>
  </r>
  <r>
    <x v="336"/>
    <n v="55"/>
    <x v="1"/>
    <s v="O+"/>
    <x v="0"/>
    <d v="2023-07-19T00:00:00"/>
    <x v="334"/>
    <s v="Sims-Jimenez"/>
    <x v="1"/>
    <n v="3254.0322196806201"/>
    <n v="404"/>
    <x v="0"/>
    <d v="2023-08-02T00:00:00"/>
    <s v="Lipitor"/>
    <x v="0"/>
    <s v="Low"/>
    <s v="Under Treatment"/>
    <s v="High Risk"/>
    <x v="1"/>
  </r>
  <r>
    <x v="337"/>
    <n v="66"/>
    <x v="0"/>
    <s v="B-"/>
    <x v="2"/>
    <d v="2023-05-22T00:00:00"/>
    <x v="335"/>
    <s v="Holloway PLC"/>
    <x v="2"/>
    <n v="11855.9520190659"/>
    <n v="123"/>
    <x v="0"/>
    <d v="2023-06-08T00:00:00"/>
    <s v="Ibuprofen"/>
    <x v="1"/>
    <s v="Medium"/>
    <s v="Under Treatment"/>
    <s v="High Risk"/>
    <x v="2"/>
  </r>
  <r>
    <x v="338"/>
    <n v="62"/>
    <x v="1"/>
    <s v="O-"/>
    <x v="4"/>
    <d v="2020-07-08T00:00:00"/>
    <x v="336"/>
    <s v="Cain-Stone"/>
    <x v="0"/>
    <n v="22368.3759384447"/>
    <n v="461"/>
    <x v="1"/>
    <d v="2020-07-25T00:00:00"/>
    <s v="Ibuprofen"/>
    <x v="1"/>
    <s v="High"/>
    <s v="Under Treatment"/>
    <s v="High Risk"/>
    <x v="1"/>
  </r>
  <r>
    <x v="339"/>
    <n v="24"/>
    <x v="1"/>
    <s v="B-"/>
    <x v="2"/>
    <d v="2019-06-21T00:00:00"/>
    <x v="337"/>
    <s v="Ltd Logan"/>
    <x v="2"/>
    <n v="10126.502572543701"/>
    <n v="242"/>
    <x v="0"/>
    <d v="2019-07-12T00:00:00"/>
    <s v="Ibuprofen"/>
    <x v="2"/>
    <s v="Medium"/>
    <s v="Under Treatment"/>
    <s v="High Risk"/>
    <x v="0"/>
  </r>
  <r>
    <x v="340"/>
    <n v="46"/>
    <x v="1"/>
    <s v="O+"/>
    <x v="2"/>
    <d v="2021-01-01T00:00:00"/>
    <x v="338"/>
    <s v="Bishop PLC"/>
    <x v="3"/>
    <n v="8470.6412995533301"/>
    <n v="328"/>
    <x v="2"/>
    <d v="2021-01-27T00:00:00"/>
    <s v="Penicillin"/>
    <x v="1"/>
    <s v="Medium"/>
    <s v="Under Treatment"/>
    <s v="High Risk"/>
    <x v="3"/>
  </r>
  <r>
    <x v="341"/>
    <n v="58"/>
    <x v="0"/>
    <s v="AB-"/>
    <x v="3"/>
    <d v="2022-09-07T00:00:00"/>
    <x v="339"/>
    <s v="Lewis-Mitchell"/>
    <x v="1"/>
    <n v="25086.013915067098"/>
    <n v="476"/>
    <x v="0"/>
    <d v="2022-09-28T00:00:00"/>
    <s v="Lipitor"/>
    <x v="1"/>
    <s v="High"/>
    <s v="Under Treatment"/>
    <s v="High Risk"/>
    <x v="1"/>
  </r>
  <r>
    <x v="342"/>
    <n v="58"/>
    <x v="0"/>
    <s v="B+"/>
    <x v="1"/>
    <d v="2022-06-09T00:00:00"/>
    <x v="340"/>
    <s v="and Campbell Sons"/>
    <x v="4"/>
    <n v="36524.377246551703"/>
    <n v="371"/>
    <x v="0"/>
    <d v="2022-06-26T00:00:00"/>
    <s v="Ibuprofen"/>
    <x v="2"/>
    <s v="High"/>
    <s v="Under Treatment"/>
    <s v="High Risk"/>
    <x v="1"/>
  </r>
  <r>
    <x v="343"/>
    <n v="48"/>
    <x v="0"/>
    <s v="B+"/>
    <x v="0"/>
    <d v="2023-11-01T00:00:00"/>
    <x v="341"/>
    <s v="James PLC"/>
    <x v="3"/>
    <n v="5945.0118164359001"/>
    <n v="431"/>
    <x v="2"/>
    <d v="2023-11-10T00:00:00"/>
    <s v="Paracetamol"/>
    <x v="1"/>
    <s v="Medium"/>
    <s v="Under Treatment"/>
    <s v="High Risk"/>
    <x v="3"/>
  </r>
  <r>
    <x v="344"/>
    <n v="43"/>
    <x v="0"/>
    <s v="O-"/>
    <x v="1"/>
    <d v="2023-08-06T00:00:00"/>
    <x v="342"/>
    <s v="Colon-Meyer"/>
    <x v="0"/>
    <n v="3601.68167937205"/>
    <n v="409"/>
    <x v="0"/>
    <d v="2023-08-13T00:00:00"/>
    <s v="Lipitor"/>
    <x v="1"/>
    <s v="Low"/>
    <s v="Under Treatment"/>
    <s v="High Risk"/>
    <x v="3"/>
  </r>
  <r>
    <x v="345"/>
    <n v="74"/>
    <x v="1"/>
    <s v="AB+"/>
    <x v="1"/>
    <d v="2022-07-30T00:00:00"/>
    <x v="343"/>
    <s v="and Woods Liu, Berry"/>
    <x v="4"/>
    <n v="4920.1904184311097"/>
    <n v="135"/>
    <x v="2"/>
    <d v="2022-08-25T00:00:00"/>
    <s v="Aspirin"/>
    <x v="2"/>
    <s v="Low"/>
    <s v="Under Treatment"/>
    <s v="High Risk"/>
    <x v="2"/>
  </r>
  <r>
    <x v="346"/>
    <n v="35"/>
    <x v="0"/>
    <s v="A+"/>
    <x v="0"/>
    <d v="2021-11-26T00:00:00"/>
    <x v="344"/>
    <s v="Le-Hawkins"/>
    <x v="0"/>
    <n v="48826.387056579602"/>
    <n v="142"/>
    <x v="0"/>
    <d v="2021-12-09T00:00:00"/>
    <s v="Paracetamol"/>
    <x v="0"/>
    <s v="High"/>
    <s v="Under Treatment"/>
    <s v="High Risk"/>
    <x v="0"/>
  </r>
  <r>
    <x v="347"/>
    <n v="28"/>
    <x v="0"/>
    <s v="B-"/>
    <x v="5"/>
    <d v="2020-07-02T00:00:00"/>
    <x v="345"/>
    <s v="Martinez Taylor Lopez, and"/>
    <x v="3"/>
    <n v="5509.59580144552"/>
    <n v="313"/>
    <x v="1"/>
    <d v="2020-07-03T00:00:00"/>
    <s v="Lipitor"/>
    <x v="2"/>
    <s v="Medium"/>
    <s v="Under Treatment"/>
    <s v="High Risk"/>
    <x v="0"/>
  </r>
  <r>
    <x v="348"/>
    <n v="49"/>
    <x v="0"/>
    <s v="A-"/>
    <x v="2"/>
    <d v="2021-08-09T00:00:00"/>
    <x v="346"/>
    <s v="Williams Group"/>
    <x v="1"/>
    <n v="37636.441661616896"/>
    <n v="385"/>
    <x v="2"/>
    <d v="2021-09-06T00:00:00"/>
    <s v="Ibuprofen"/>
    <x v="0"/>
    <s v="High"/>
    <s v="Under Treatment"/>
    <s v="High Risk"/>
    <x v="3"/>
  </r>
  <r>
    <x v="349"/>
    <n v="28"/>
    <x v="0"/>
    <s v="AB-"/>
    <x v="1"/>
    <d v="2024-01-18T00:00:00"/>
    <x v="347"/>
    <s v="Schmidt-Douglas"/>
    <x v="4"/>
    <n v="20885.9195075241"/>
    <n v="247"/>
    <x v="1"/>
    <d v="2024-02-04T00:00:00"/>
    <s v="Ibuprofen"/>
    <x v="1"/>
    <s v="High"/>
    <s v="Under Treatment"/>
    <s v="High Risk"/>
    <x v="0"/>
  </r>
  <r>
    <x v="350"/>
    <n v="50"/>
    <x v="0"/>
    <s v="O-"/>
    <x v="1"/>
    <d v="2023-01-17T00:00:00"/>
    <x v="348"/>
    <s v="Ltd Fleming"/>
    <x v="2"/>
    <n v="35114.489973948301"/>
    <n v="183"/>
    <x v="2"/>
    <d v="2023-02-10T00:00:00"/>
    <s v="Paracetamol"/>
    <x v="0"/>
    <s v="High"/>
    <s v="Under Treatment"/>
    <s v="High Risk"/>
    <x v="3"/>
  </r>
  <r>
    <x v="351"/>
    <n v="22"/>
    <x v="1"/>
    <s v="O+"/>
    <x v="4"/>
    <d v="2023-01-10T00:00:00"/>
    <x v="349"/>
    <s v="Boyer Inc"/>
    <x v="0"/>
    <n v="40697.968947545101"/>
    <n v="116"/>
    <x v="2"/>
    <d v="2023-01-23T00:00:00"/>
    <s v="Ibuprofen"/>
    <x v="0"/>
    <s v="High"/>
    <s v="Under Treatment"/>
    <s v="High Risk"/>
    <x v="0"/>
  </r>
  <r>
    <x v="352"/>
    <n v="62"/>
    <x v="1"/>
    <s v="B+"/>
    <x v="5"/>
    <d v="2019-07-14T00:00:00"/>
    <x v="350"/>
    <s v="Miranda-Collins"/>
    <x v="2"/>
    <n v="43465.952783580396"/>
    <n v="325"/>
    <x v="0"/>
    <d v="2019-07-18T00:00:00"/>
    <s v="Lipitor"/>
    <x v="0"/>
    <s v="High"/>
    <s v="Under Treatment"/>
    <s v="High Risk"/>
    <x v="1"/>
  </r>
  <r>
    <x v="353"/>
    <n v="21"/>
    <x v="1"/>
    <s v="A+"/>
    <x v="0"/>
    <d v="2020-05-18T00:00:00"/>
    <x v="351"/>
    <s v="Hoffman and Sons"/>
    <x v="4"/>
    <n v="16866.068824005499"/>
    <n v="177"/>
    <x v="2"/>
    <d v="2020-06-02T00:00:00"/>
    <s v="Ibuprofen"/>
    <x v="0"/>
    <s v="High"/>
    <s v="Under Treatment"/>
    <s v="High Risk"/>
    <x v="0"/>
  </r>
  <r>
    <x v="354"/>
    <n v="44"/>
    <x v="0"/>
    <s v="B-"/>
    <x v="1"/>
    <d v="2022-06-15T00:00:00"/>
    <x v="352"/>
    <s v="Group Ortega"/>
    <x v="2"/>
    <n v="41454.685261556202"/>
    <n v="328"/>
    <x v="1"/>
    <d v="2022-06-25T00:00:00"/>
    <s v="Ibuprofen"/>
    <x v="1"/>
    <s v="High"/>
    <s v="Under Treatment"/>
    <s v="High Risk"/>
    <x v="3"/>
  </r>
  <r>
    <x v="355"/>
    <n v="27"/>
    <x v="0"/>
    <s v="B+"/>
    <x v="4"/>
    <d v="2020-03-27T00:00:00"/>
    <x v="353"/>
    <s v="Mitchell, Vasquez and Chaney"/>
    <x v="4"/>
    <n v="47735.384242651096"/>
    <n v="221"/>
    <x v="0"/>
    <d v="2020-04-05T00:00:00"/>
    <s v="Penicillin"/>
    <x v="0"/>
    <s v="High"/>
    <s v="Under Treatment"/>
    <s v="High Risk"/>
    <x v="0"/>
  </r>
  <r>
    <x v="356"/>
    <n v="51"/>
    <x v="0"/>
    <s v="O-"/>
    <x v="4"/>
    <d v="2020-06-16T00:00:00"/>
    <x v="354"/>
    <s v="LLC Haynes"/>
    <x v="0"/>
    <n v="26524.172804251"/>
    <n v="426"/>
    <x v="2"/>
    <d v="2020-06-21T00:00:00"/>
    <s v="Penicillin"/>
    <x v="1"/>
    <s v="High"/>
    <s v="Under Treatment"/>
    <s v="High Risk"/>
    <x v="1"/>
  </r>
  <r>
    <x v="357"/>
    <n v="48"/>
    <x v="1"/>
    <s v="B-"/>
    <x v="4"/>
    <d v="2019-06-06T00:00:00"/>
    <x v="355"/>
    <s v="Inc Cummings"/>
    <x v="3"/>
    <n v="36727.581005121698"/>
    <n v="386"/>
    <x v="0"/>
    <d v="2019-07-02T00:00:00"/>
    <s v="Ibuprofen"/>
    <x v="0"/>
    <s v="High"/>
    <s v="Under Treatment"/>
    <s v="High Risk"/>
    <x v="3"/>
  </r>
  <r>
    <x v="358"/>
    <n v="83"/>
    <x v="0"/>
    <s v="B-"/>
    <x v="5"/>
    <d v="2022-01-18T00:00:00"/>
    <x v="356"/>
    <s v="Downs-Stephens"/>
    <x v="0"/>
    <n v="4509.4030608944904"/>
    <n v="175"/>
    <x v="2"/>
    <d v="2022-02-05T00:00:00"/>
    <s v="Paracetamol"/>
    <x v="2"/>
    <s v="Low"/>
    <s v="Under Treatment"/>
    <s v="High Risk"/>
    <x v="2"/>
  </r>
  <r>
    <x v="359"/>
    <n v="64"/>
    <x v="0"/>
    <s v="A+"/>
    <x v="5"/>
    <d v="2021-01-11T00:00:00"/>
    <x v="357"/>
    <s v="Carson and Nielsen, Buchanan"/>
    <x v="2"/>
    <n v="25709.5844317189"/>
    <n v="180"/>
    <x v="2"/>
    <d v="2021-01-23T00:00:00"/>
    <s v="Aspirin"/>
    <x v="2"/>
    <s v="High"/>
    <s v="Under Treatment"/>
    <s v="High Risk"/>
    <x v="1"/>
  </r>
  <r>
    <x v="360"/>
    <n v="39"/>
    <x v="0"/>
    <s v="B-"/>
    <x v="3"/>
    <d v="2022-05-30T00:00:00"/>
    <x v="358"/>
    <s v="Wilson and Brown, Ortiz"/>
    <x v="3"/>
    <n v="36862.171802963101"/>
    <n v="338"/>
    <x v="2"/>
    <d v="2022-06-01T00:00:00"/>
    <s v="Aspirin"/>
    <x v="1"/>
    <s v="High"/>
    <s v="Under Treatment"/>
    <s v="High Risk"/>
    <x v="3"/>
  </r>
  <r>
    <x v="361"/>
    <n v="24"/>
    <x v="0"/>
    <s v="B+"/>
    <x v="2"/>
    <d v="2021-07-20T00:00:00"/>
    <x v="359"/>
    <s v="Gilbert Ltd"/>
    <x v="3"/>
    <n v="41997.354559282001"/>
    <n v="252"/>
    <x v="2"/>
    <d v="2021-08-07T00:00:00"/>
    <s v="Lipitor"/>
    <x v="2"/>
    <s v="High"/>
    <s v="Under Treatment"/>
    <s v="High Risk"/>
    <x v="0"/>
  </r>
  <r>
    <x v="362"/>
    <n v="56"/>
    <x v="0"/>
    <s v="O-"/>
    <x v="1"/>
    <d v="2022-09-05T00:00:00"/>
    <x v="360"/>
    <s v="Group Thompson"/>
    <x v="3"/>
    <n v="36204.732330643201"/>
    <n v="430"/>
    <x v="0"/>
    <d v="2022-10-04T00:00:00"/>
    <s v="Penicillin"/>
    <x v="0"/>
    <s v="High"/>
    <s v="Under Treatment"/>
    <s v="High Risk"/>
    <x v="1"/>
  </r>
  <r>
    <x v="363"/>
    <n v="36"/>
    <x v="0"/>
    <s v="B+"/>
    <x v="0"/>
    <d v="2022-07-27T00:00:00"/>
    <x v="361"/>
    <s v="Cooley-Reid"/>
    <x v="4"/>
    <n v="41311.293901137302"/>
    <n v="434"/>
    <x v="1"/>
    <d v="2022-08-19T00:00:00"/>
    <s v="Lipitor"/>
    <x v="1"/>
    <s v="High"/>
    <s v="Under Treatment"/>
    <s v="High Risk"/>
    <x v="3"/>
  </r>
  <r>
    <x v="364"/>
    <n v="33"/>
    <x v="0"/>
    <s v="A+"/>
    <x v="0"/>
    <d v="2024-05-03T00:00:00"/>
    <x v="362"/>
    <s v="and Davenport Davis Hobbs,"/>
    <x v="2"/>
    <n v="36890.269054974196"/>
    <n v="374"/>
    <x v="2"/>
    <d v="2024-05-15T00:00:00"/>
    <s v="Lipitor"/>
    <x v="0"/>
    <s v="High"/>
    <s v="Under Treatment"/>
    <s v="High Risk"/>
    <x v="0"/>
  </r>
  <r>
    <x v="365"/>
    <n v="21"/>
    <x v="0"/>
    <s v="O+"/>
    <x v="5"/>
    <d v="2019-08-28T00:00:00"/>
    <x v="363"/>
    <s v="Thompson-Becker"/>
    <x v="2"/>
    <n v="5716.1042076161202"/>
    <n v="293"/>
    <x v="1"/>
    <d v="2019-09-16T00:00:00"/>
    <s v="Aspirin"/>
    <x v="2"/>
    <s v="Medium"/>
    <s v="Under Treatment"/>
    <s v="High Risk"/>
    <x v="0"/>
  </r>
  <r>
    <x v="366"/>
    <n v="80"/>
    <x v="0"/>
    <s v="B-"/>
    <x v="2"/>
    <d v="2024-04-21T00:00:00"/>
    <x v="364"/>
    <s v="Mitchell Inc"/>
    <x v="0"/>
    <n v="10461.980685017599"/>
    <n v="481"/>
    <x v="1"/>
    <d v="2024-05-07T00:00:00"/>
    <s v="Aspirin"/>
    <x v="2"/>
    <s v="Medium"/>
    <s v="Under Treatment"/>
    <s v="High Risk"/>
    <x v="2"/>
  </r>
  <r>
    <x v="367"/>
    <n v="44"/>
    <x v="0"/>
    <s v="A+"/>
    <x v="1"/>
    <d v="2019-09-29T00:00:00"/>
    <x v="365"/>
    <s v="Johnson Garcia, and Anthony"/>
    <x v="3"/>
    <n v="44355.204150193902"/>
    <n v="177"/>
    <x v="2"/>
    <d v="2019-10-05T00:00:00"/>
    <s v="Aspirin"/>
    <x v="1"/>
    <s v="High"/>
    <s v="Under Treatment"/>
    <s v="High Risk"/>
    <x v="3"/>
  </r>
  <r>
    <x v="368"/>
    <n v="23"/>
    <x v="0"/>
    <s v="AB+"/>
    <x v="1"/>
    <d v="2022-08-19T00:00:00"/>
    <x v="366"/>
    <s v="and Young Powell Mitchell,"/>
    <x v="1"/>
    <n v="28355.452457265299"/>
    <n v="327"/>
    <x v="0"/>
    <d v="2022-08-24T00:00:00"/>
    <s v="Penicillin"/>
    <x v="0"/>
    <s v="High"/>
    <s v="Under Treatment"/>
    <s v="High Risk"/>
    <x v="0"/>
  </r>
  <r>
    <x v="369"/>
    <n v="75"/>
    <x v="0"/>
    <s v="A-"/>
    <x v="0"/>
    <d v="2021-10-18T00:00:00"/>
    <x v="367"/>
    <s v="Bishop Inc"/>
    <x v="0"/>
    <n v="22935.411708010299"/>
    <n v="217"/>
    <x v="2"/>
    <d v="2021-11-01T00:00:00"/>
    <s v="Ibuprofen"/>
    <x v="0"/>
    <s v="High"/>
    <s v="Under Treatment"/>
    <s v="High Risk"/>
    <x v="2"/>
  </r>
  <r>
    <x v="370"/>
    <n v="60"/>
    <x v="0"/>
    <s v="A-"/>
    <x v="4"/>
    <d v="2023-04-07T00:00:00"/>
    <x v="368"/>
    <s v="Coleman-Dawson"/>
    <x v="1"/>
    <n v="42605.635340770401"/>
    <n v="366"/>
    <x v="2"/>
    <d v="2023-05-05T00:00:00"/>
    <s v="Lipitor"/>
    <x v="0"/>
    <s v="High"/>
    <s v="Under Treatment"/>
    <s v="High Risk"/>
    <x v="1"/>
  </r>
  <r>
    <x v="371"/>
    <n v="61"/>
    <x v="1"/>
    <s v="AB+"/>
    <x v="4"/>
    <d v="2020-06-29T00:00:00"/>
    <x v="369"/>
    <s v="Anderson PLC"/>
    <x v="3"/>
    <n v="20577.708926659601"/>
    <n v="387"/>
    <x v="2"/>
    <d v="2020-07-26T00:00:00"/>
    <s v="Penicillin"/>
    <x v="0"/>
    <s v="High"/>
    <s v="Under Treatment"/>
    <s v="High Risk"/>
    <x v="1"/>
  </r>
  <r>
    <x v="372"/>
    <n v="40"/>
    <x v="0"/>
    <s v="A-"/>
    <x v="5"/>
    <d v="2023-08-10T00:00:00"/>
    <x v="370"/>
    <s v="Sons Wilson and"/>
    <x v="4"/>
    <n v="29913.849330186898"/>
    <n v="317"/>
    <x v="0"/>
    <d v="2023-08-15T00:00:00"/>
    <s v="Ibuprofen"/>
    <x v="0"/>
    <s v="High"/>
    <s v="Under Treatment"/>
    <s v="High Risk"/>
    <x v="3"/>
  </r>
  <r>
    <x v="373"/>
    <n v="70"/>
    <x v="1"/>
    <s v="B+"/>
    <x v="4"/>
    <d v="2022-05-16T00:00:00"/>
    <x v="371"/>
    <s v="Woodward Ltd"/>
    <x v="4"/>
    <n v="43353.403952319401"/>
    <n v="266"/>
    <x v="2"/>
    <d v="2022-05-26T00:00:00"/>
    <s v="Lipitor"/>
    <x v="0"/>
    <s v="High"/>
    <s v="Under Treatment"/>
    <s v="High Risk"/>
    <x v="2"/>
  </r>
  <r>
    <x v="374"/>
    <n v="68"/>
    <x v="1"/>
    <s v="O+"/>
    <x v="0"/>
    <d v="2020-08-25T00:00:00"/>
    <x v="372"/>
    <s v="Powell Branch Osborn, and"/>
    <x v="0"/>
    <n v="18382.6640546501"/>
    <n v="355"/>
    <x v="2"/>
    <d v="2020-09-15T00:00:00"/>
    <s v="Lipitor"/>
    <x v="2"/>
    <s v="High"/>
    <s v="Under Treatment"/>
    <s v="High Risk"/>
    <x v="2"/>
  </r>
  <r>
    <x v="375"/>
    <n v="31"/>
    <x v="1"/>
    <s v="B-"/>
    <x v="0"/>
    <d v="2023-10-04T00:00:00"/>
    <x v="373"/>
    <s v="Brown Brown, and Sanders"/>
    <x v="0"/>
    <n v="49419.868014557796"/>
    <n v="328"/>
    <x v="2"/>
    <d v="2023-10-11T00:00:00"/>
    <s v="Ibuprofen"/>
    <x v="1"/>
    <s v="High"/>
    <s v="Under Treatment"/>
    <s v="High Risk"/>
    <x v="0"/>
  </r>
  <r>
    <x v="376"/>
    <n v="28"/>
    <x v="0"/>
    <s v="O+"/>
    <x v="3"/>
    <d v="2022-04-28T00:00:00"/>
    <x v="374"/>
    <s v="Harris-Oconnor"/>
    <x v="2"/>
    <n v="9958.0239008240496"/>
    <n v="364"/>
    <x v="1"/>
    <d v="2022-05-27T00:00:00"/>
    <s v="Penicillin"/>
    <x v="1"/>
    <s v="Medium"/>
    <s v="Under Treatment"/>
    <s v="High Risk"/>
    <x v="0"/>
  </r>
  <r>
    <x v="377"/>
    <n v="84"/>
    <x v="0"/>
    <s v="O+"/>
    <x v="4"/>
    <d v="2019-05-29T00:00:00"/>
    <x v="375"/>
    <s v="Paul Richardson Haynes, and"/>
    <x v="0"/>
    <n v="21438.278985933801"/>
    <n v="217"/>
    <x v="2"/>
    <d v="2019-06-17T00:00:00"/>
    <s v="Aspirin"/>
    <x v="2"/>
    <s v="High"/>
    <s v="Under Treatment"/>
    <s v="High Risk"/>
    <x v="2"/>
  </r>
  <r>
    <x v="378"/>
    <n v="25"/>
    <x v="1"/>
    <s v="B+"/>
    <x v="4"/>
    <d v="2020-01-07T00:00:00"/>
    <x v="376"/>
    <s v="and Yang Fox Scott,"/>
    <x v="4"/>
    <n v="32760.468759879801"/>
    <n v="476"/>
    <x v="0"/>
    <d v="2020-02-01T00:00:00"/>
    <s v="Aspirin"/>
    <x v="0"/>
    <s v="High"/>
    <s v="Under Treatment"/>
    <s v="High Risk"/>
    <x v="0"/>
  </r>
  <r>
    <x v="379"/>
    <n v="78"/>
    <x v="1"/>
    <s v="O+"/>
    <x v="2"/>
    <d v="2023-01-24T00:00:00"/>
    <x v="377"/>
    <s v="Johnson and Delgado, Bennett"/>
    <x v="1"/>
    <n v="44393.180527655197"/>
    <n v="169"/>
    <x v="2"/>
    <d v="2023-02-01T00:00:00"/>
    <s v="Aspirin"/>
    <x v="1"/>
    <s v="High"/>
    <s v="Under Treatment"/>
    <s v="High Risk"/>
    <x v="2"/>
  </r>
  <r>
    <x v="380"/>
    <n v="56"/>
    <x v="0"/>
    <s v="AB+"/>
    <x v="2"/>
    <d v="2019-07-28T00:00:00"/>
    <x v="378"/>
    <s v="Garza Group"/>
    <x v="0"/>
    <n v="16578.905836578899"/>
    <n v="282"/>
    <x v="0"/>
    <d v="2019-08-26T00:00:00"/>
    <s v="Penicillin"/>
    <x v="1"/>
    <s v="High"/>
    <s v="Under Treatment"/>
    <s v="High Risk"/>
    <x v="1"/>
  </r>
  <r>
    <x v="381"/>
    <n v="77"/>
    <x v="0"/>
    <s v="AB-"/>
    <x v="5"/>
    <d v="2022-07-18T00:00:00"/>
    <x v="379"/>
    <s v="Olson, Andrade and Dixon"/>
    <x v="1"/>
    <n v="33749.858768557802"/>
    <n v="112"/>
    <x v="1"/>
    <d v="2022-08-07T00:00:00"/>
    <s v="Paracetamol"/>
    <x v="2"/>
    <s v="High"/>
    <s v="Under Treatment"/>
    <s v="High Risk"/>
    <x v="2"/>
  </r>
  <r>
    <x v="382"/>
    <n v="40"/>
    <x v="1"/>
    <s v="B-"/>
    <x v="0"/>
    <d v="2020-12-07T00:00:00"/>
    <x v="380"/>
    <s v="Farrell-Lyons"/>
    <x v="1"/>
    <n v="22720.333703383301"/>
    <n v="463"/>
    <x v="1"/>
    <d v="2020-12-20T00:00:00"/>
    <s v="Lipitor"/>
    <x v="2"/>
    <s v="High"/>
    <s v="Under Treatment"/>
    <s v="High Risk"/>
    <x v="3"/>
  </r>
  <r>
    <x v="383"/>
    <n v="80"/>
    <x v="0"/>
    <s v="AB-"/>
    <x v="2"/>
    <d v="2020-04-10T00:00:00"/>
    <x v="381"/>
    <s v="Greer Cain and Taylor,"/>
    <x v="1"/>
    <n v="35411.471373789602"/>
    <n v="282"/>
    <x v="2"/>
    <d v="2020-04-30T00:00:00"/>
    <s v="Paracetamol"/>
    <x v="2"/>
    <s v="High"/>
    <s v="Under Treatment"/>
    <s v="High Risk"/>
    <x v="2"/>
  </r>
  <r>
    <x v="384"/>
    <n v="35"/>
    <x v="0"/>
    <s v="A-"/>
    <x v="4"/>
    <d v="2023-07-12T00:00:00"/>
    <x v="382"/>
    <s v="Turner Ltd"/>
    <x v="1"/>
    <n v="27342.226743452498"/>
    <n v="279"/>
    <x v="0"/>
    <d v="2023-07-22T00:00:00"/>
    <s v="Aspirin"/>
    <x v="0"/>
    <s v="High"/>
    <s v="Under Treatment"/>
    <s v="High Risk"/>
    <x v="0"/>
  </r>
  <r>
    <x v="385"/>
    <n v="64"/>
    <x v="0"/>
    <s v="AB-"/>
    <x v="4"/>
    <d v="2021-04-15T00:00:00"/>
    <x v="383"/>
    <s v="Sherman Inc"/>
    <x v="4"/>
    <n v="26894.074932347001"/>
    <n v="208"/>
    <x v="1"/>
    <d v="2021-05-07T00:00:00"/>
    <s v="Aspirin"/>
    <x v="0"/>
    <s v="High"/>
    <s v="Under Treatment"/>
    <s v="High Risk"/>
    <x v="1"/>
  </r>
  <r>
    <x v="386"/>
    <n v="30"/>
    <x v="1"/>
    <s v="O-"/>
    <x v="0"/>
    <d v="2020-08-20T00:00:00"/>
    <x v="384"/>
    <s v="and Garcia Wade Richardson,"/>
    <x v="1"/>
    <n v="36551.054751607902"/>
    <n v="111"/>
    <x v="1"/>
    <d v="2020-08-23T00:00:00"/>
    <s v="Ibuprofen"/>
    <x v="2"/>
    <s v="High"/>
    <s v="Under Treatment"/>
    <s v="High Risk"/>
    <x v="0"/>
  </r>
  <r>
    <x v="387"/>
    <n v="19"/>
    <x v="1"/>
    <s v="A+"/>
    <x v="5"/>
    <d v="2020-08-14T00:00:00"/>
    <x v="385"/>
    <s v="White-Graham"/>
    <x v="1"/>
    <n v="10693.389264097599"/>
    <n v="435"/>
    <x v="2"/>
    <d v="2020-08-28T00:00:00"/>
    <s v="Ibuprofen"/>
    <x v="2"/>
    <s v="Medium"/>
    <s v="Under Treatment"/>
    <s v="High Risk"/>
    <x v="0"/>
  </r>
  <r>
    <x v="388"/>
    <n v="64"/>
    <x v="0"/>
    <s v="A+"/>
    <x v="2"/>
    <d v="2021-07-17T00:00:00"/>
    <x v="386"/>
    <s v="and Miller Sons"/>
    <x v="3"/>
    <n v="28835.441190757701"/>
    <n v="270"/>
    <x v="0"/>
    <d v="2021-08-03T00:00:00"/>
    <s v="Lipitor"/>
    <x v="1"/>
    <s v="High"/>
    <s v="Under Treatment"/>
    <s v="High Risk"/>
    <x v="1"/>
  </r>
  <r>
    <x v="389"/>
    <n v="44"/>
    <x v="0"/>
    <s v="B+"/>
    <x v="2"/>
    <d v="2023-01-27T00:00:00"/>
    <x v="387"/>
    <s v="Taylor, and Mullins Lara"/>
    <x v="1"/>
    <n v="7083.6142663370101"/>
    <n v="317"/>
    <x v="2"/>
    <d v="2023-02-02T00:00:00"/>
    <s v="Lipitor"/>
    <x v="1"/>
    <s v="Medium"/>
    <s v="Under Treatment"/>
    <s v="High Risk"/>
    <x v="3"/>
  </r>
  <r>
    <x v="390"/>
    <n v="66"/>
    <x v="1"/>
    <s v="O-"/>
    <x v="3"/>
    <d v="2020-09-04T00:00:00"/>
    <x v="388"/>
    <s v="and King, Vega Jones"/>
    <x v="1"/>
    <n v="2068.4292036295101"/>
    <n v="302"/>
    <x v="0"/>
    <d v="2020-09-20T00:00:00"/>
    <s v="Penicillin"/>
    <x v="1"/>
    <s v="Low"/>
    <s v="Under Treatment"/>
    <s v="High Risk"/>
    <x v="2"/>
  </r>
  <r>
    <x v="391"/>
    <n v="79"/>
    <x v="1"/>
    <s v="AB+"/>
    <x v="4"/>
    <d v="2020-02-08T00:00:00"/>
    <x v="389"/>
    <s v="Alvarez-Cruz"/>
    <x v="0"/>
    <n v="42956.128952957799"/>
    <n v="382"/>
    <x v="2"/>
    <d v="2020-02-21T00:00:00"/>
    <s v="Aspirin"/>
    <x v="0"/>
    <s v="High"/>
    <s v="Under Treatment"/>
    <s v="High Risk"/>
    <x v="2"/>
  </r>
  <r>
    <x v="392"/>
    <n v="59"/>
    <x v="1"/>
    <s v="O+"/>
    <x v="2"/>
    <d v="2019-07-01T00:00:00"/>
    <x v="390"/>
    <s v="Walker Cisneros and Adams,"/>
    <x v="2"/>
    <n v="17307.366222435001"/>
    <n v="255"/>
    <x v="0"/>
    <d v="2019-07-05T00:00:00"/>
    <s v="Penicillin"/>
    <x v="2"/>
    <s v="High"/>
    <s v="Under Treatment"/>
    <s v="High Risk"/>
    <x v="1"/>
  </r>
  <r>
    <x v="393"/>
    <n v="47"/>
    <x v="0"/>
    <s v="O+"/>
    <x v="3"/>
    <d v="2024-01-01T00:00:00"/>
    <x v="391"/>
    <s v="Ltd Lewis"/>
    <x v="2"/>
    <n v="41492.127588898198"/>
    <n v="388"/>
    <x v="2"/>
    <d v="2024-01-12T00:00:00"/>
    <s v="Aspirin"/>
    <x v="0"/>
    <s v="High"/>
    <s v="Under Treatment"/>
    <s v="High Risk"/>
    <x v="3"/>
  </r>
  <r>
    <x v="394"/>
    <n v="35"/>
    <x v="0"/>
    <s v="AB+"/>
    <x v="0"/>
    <d v="2019-09-19T00:00:00"/>
    <x v="392"/>
    <s v="Baker Hernandez and Scott,"/>
    <x v="0"/>
    <n v="44495.731038476602"/>
    <n v="469"/>
    <x v="2"/>
    <d v="2019-10-16T00:00:00"/>
    <s v="Paracetamol"/>
    <x v="1"/>
    <s v="High"/>
    <s v="Under Treatment"/>
    <s v="High Risk"/>
    <x v="0"/>
  </r>
  <r>
    <x v="395"/>
    <n v="69"/>
    <x v="1"/>
    <s v="B+"/>
    <x v="1"/>
    <d v="2023-02-24T00:00:00"/>
    <x v="393"/>
    <s v="Group Lopez"/>
    <x v="0"/>
    <n v="2936.8944986229299"/>
    <n v="223"/>
    <x v="1"/>
    <d v="2023-02-25T00:00:00"/>
    <s v="Aspirin"/>
    <x v="2"/>
    <s v="Low"/>
    <s v="Under Treatment"/>
    <s v="High Risk"/>
    <x v="2"/>
  </r>
  <r>
    <x v="396"/>
    <n v="51"/>
    <x v="1"/>
    <s v="A+"/>
    <x v="3"/>
    <d v="2019-08-30T00:00:00"/>
    <x v="394"/>
    <s v="PLC Cook"/>
    <x v="2"/>
    <n v="6949.8756449953498"/>
    <n v="366"/>
    <x v="0"/>
    <d v="2019-09-17T00:00:00"/>
    <s v="Paracetamol"/>
    <x v="1"/>
    <s v="Medium"/>
    <s v="Under Treatment"/>
    <s v="High Risk"/>
    <x v="1"/>
  </r>
  <r>
    <x v="397"/>
    <n v="31"/>
    <x v="1"/>
    <s v="O+"/>
    <x v="5"/>
    <d v="2019-12-21T00:00:00"/>
    <x v="395"/>
    <s v="Baker, Davis Hill and"/>
    <x v="0"/>
    <n v="15449.0639737078"/>
    <n v="384"/>
    <x v="2"/>
    <d v="2019-12-31T00:00:00"/>
    <s v="Lipitor"/>
    <x v="2"/>
    <s v="High"/>
    <s v="Under Treatment"/>
    <s v="High Risk"/>
    <x v="0"/>
  </r>
  <r>
    <x v="398"/>
    <n v="34"/>
    <x v="1"/>
    <s v="A-"/>
    <x v="1"/>
    <d v="2019-08-31T00:00:00"/>
    <x v="396"/>
    <s v="Johnson-Gray"/>
    <x v="0"/>
    <n v="37458.159278940999"/>
    <n v="184"/>
    <x v="2"/>
    <d v="2019-09-28T00:00:00"/>
    <s v="Paracetamol"/>
    <x v="2"/>
    <s v="High"/>
    <s v="Under Treatment"/>
    <s v="High Risk"/>
    <x v="0"/>
  </r>
  <r>
    <x v="399"/>
    <n v="51"/>
    <x v="1"/>
    <s v="O+"/>
    <x v="5"/>
    <d v="2023-08-11T00:00:00"/>
    <x v="397"/>
    <s v="Dennis-Roth"/>
    <x v="4"/>
    <n v="21534.715569914701"/>
    <n v="198"/>
    <x v="1"/>
    <d v="2023-08-20T00:00:00"/>
    <s v="Penicillin"/>
    <x v="0"/>
    <s v="High"/>
    <s v="Under Treatment"/>
    <s v="High Risk"/>
    <x v="1"/>
  </r>
  <r>
    <x v="400"/>
    <n v="85"/>
    <x v="0"/>
    <s v="B+"/>
    <x v="3"/>
    <d v="2021-10-29T00:00:00"/>
    <x v="398"/>
    <s v="Mcgee Patton Aguirre, and"/>
    <x v="4"/>
    <n v="43393.922915147799"/>
    <n v="123"/>
    <x v="2"/>
    <d v="2021-11-25T00:00:00"/>
    <s v="Penicillin"/>
    <x v="1"/>
    <s v="High"/>
    <s v="Under Treatment"/>
    <s v="High Risk"/>
    <x v="2"/>
  </r>
  <r>
    <x v="401"/>
    <n v="51"/>
    <x v="0"/>
    <s v="A-"/>
    <x v="0"/>
    <d v="2020-09-18T00:00:00"/>
    <x v="399"/>
    <s v="Foster-Thomas"/>
    <x v="1"/>
    <n v="50332.932411206602"/>
    <n v="394"/>
    <x v="1"/>
    <d v="2020-10-12T00:00:00"/>
    <s v="Aspirin"/>
    <x v="2"/>
    <s v="High"/>
    <s v="Under Treatment"/>
    <s v="High Risk"/>
    <x v="1"/>
  </r>
  <r>
    <x v="402"/>
    <n v="39"/>
    <x v="0"/>
    <s v="AB+"/>
    <x v="0"/>
    <d v="2021-02-24T00:00:00"/>
    <x v="400"/>
    <s v="Group Mann"/>
    <x v="2"/>
    <n v="18062.596843506701"/>
    <n v="140"/>
    <x v="0"/>
    <d v="2021-03-17T00:00:00"/>
    <s v="Paracetamol"/>
    <x v="1"/>
    <s v="High"/>
    <s v="Under Treatment"/>
    <s v="High Risk"/>
    <x v="3"/>
  </r>
  <r>
    <x v="403"/>
    <n v="75"/>
    <x v="0"/>
    <s v="AB-"/>
    <x v="4"/>
    <d v="2023-07-07T00:00:00"/>
    <x v="401"/>
    <s v="Martinez-Strickland"/>
    <x v="3"/>
    <n v="30064.180790216498"/>
    <n v="110"/>
    <x v="0"/>
    <d v="2023-07-13T00:00:00"/>
    <s v="Paracetamol"/>
    <x v="0"/>
    <s v="High"/>
    <s v="Under Treatment"/>
    <s v="High Risk"/>
    <x v="2"/>
  </r>
  <r>
    <x v="404"/>
    <n v="46"/>
    <x v="1"/>
    <s v="O+"/>
    <x v="4"/>
    <d v="2023-06-26T00:00:00"/>
    <x v="402"/>
    <s v="Shaw Tapia and Barnes,"/>
    <x v="0"/>
    <n v="45440.792809669801"/>
    <n v="462"/>
    <x v="2"/>
    <d v="2023-07-23T00:00:00"/>
    <s v="Ibuprofen"/>
    <x v="1"/>
    <s v="High"/>
    <s v="Under Treatment"/>
    <s v="High Risk"/>
    <x v="3"/>
  </r>
  <r>
    <x v="405"/>
    <n v="47"/>
    <x v="0"/>
    <s v="O-"/>
    <x v="1"/>
    <d v="2021-11-12T00:00:00"/>
    <x v="403"/>
    <s v="Morris-Campbell"/>
    <x v="2"/>
    <n v="12073.0672653691"/>
    <n v="400"/>
    <x v="0"/>
    <d v="2021-12-04T00:00:00"/>
    <s v="Paracetamol"/>
    <x v="0"/>
    <s v="Medium"/>
    <s v="Under Treatment"/>
    <s v="High Risk"/>
    <x v="3"/>
  </r>
  <r>
    <x v="406"/>
    <n v="38"/>
    <x v="1"/>
    <s v="O+"/>
    <x v="5"/>
    <d v="2021-10-23T00:00:00"/>
    <x v="404"/>
    <s v="Anderson Morton and Vang,"/>
    <x v="3"/>
    <n v="48065.462393153801"/>
    <n v="147"/>
    <x v="0"/>
    <d v="2021-11-08T00:00:00"/>
    <s v="Paracetamol"/>
    <x v="2"/>
    <s v="High"/>
    <s v="Under Treatment"/>
    <s v="High Risk"/>
    <x v="3"/>
  </r>
  <r>
    <x v="407"/>
    <n v="25"/>
    <x v="1"/>
    <s v="O+"/>
    <x v="5"/>
    <d v="2019-11-30T00:00:00"/>
    <x v="405"/>
    <s v="Olson LLC"/>
    <x v="2"/>
    <n v="16342.363733357601"/>
    <n v="255"/>
    <x v="1"/>
    <d v="2019-12-20T00:00:00"/>
    <s v="Lipitor"/>
    <x v="1"/>
    <s v="High"/>
    <s v="Under Treatment"/>
    <s v="High Risk"/>
    <x v="0"/>
  </r>
  <r>
    <x v="408"/>
    <n v="65"/>
    <x v="0"/>
    <s v="AB+"/>
    <x v="4"/>
    <d v="2023-03-19T00:00:00"/>
    <x v="406"/>
    <s v="Juarez and Sons"/>
    <x v="4"/>
    <n v="21767.231674942199"/>
    <n v="410"/>
    <x v="2"/>
    <d v="2023-04-16T00:00:00"/>
    <s v="Lipitor"/>
    <x v="0"/>
    <s v="High"/>
    <s v="Under Treatment"/>
    <s v="High Risk"/>
    <x v="1"/>
  </r>
  <r>
    <x v="409"/>
    <n v="50"/>
    <x v="1"/>
    <s v="O-"/>
    <x v="4"/>
    <d v="2022-02-02T00:00:00"/>
    <x v="407"/>
    <s v="Ramos Hansen Clark, and"/>
    <x v="0"/>
    <n v="16055.9303954196"/>
    <n v="393"/>
    <x v="1"/>
    <d v="2022-02-05T00:00:00"/>
    <s v="Aspirin"/>
    <x v="1"/>
    <s v="High"/>
    <s v="Under Treatment"/>
    <s v="High Risk"/>
    <x v="3"/>
  </r>
  <r>
    <x v="410"/>
    <n v="70"/>
    <x v="0"/>
    <s v="B+"/>
    <x v="5"/>
    <d v="2021-10-28T00:00:00"/>
    <x v="408"/>
    <s v="Nelson Baldwin, Boyd and"/>
    <x v="3"/>
    <n v="38572.169477915697"/>
    <n v="123"/>
    <x v="1"/>
    <d v="2021-10-31T00:00:00"/>
    <s v="Ibuprofen"/>
    <x v="1"/>
    <s v="High"/>
    <s v="Under Treatment"/>
    <s v="High Risk"/>
    <x v="2"/>
  </r>
  <r>
    <x v="411"/>
    <n v="25"/>
    <x v="0"/>
    <s v="O+"/>
    <x v="2"/>
    <d v="2021-10-07T00:00:00"/>
    <x v="409"/>
    <s v="Barker, Costa Hahn and"/>
    <x v="1"/>
    <n v="38716.355934862499"/>
    <n v="283"/>
    <x v="1"/>
    <d v="2021-11-06T00:00:00"/>
    <s v="Ibuprofen"/>
    <x v="0"/>
    <s v="High"/>
    <s v="Under Treatment"/>
    <s v="High Risk"/>
    <x v="0"/>
  </r>
  <r>
    <x v="412"/>
    <n v="20"/>
    <x v="0"/>
    <s v="A-"/>
    <x v="2"/>
    <d v="2021-04-29T00:00:00"/>
    <x v="410"/>
    <s v="Anderson and Higgins Galvan,"/>
    <x v="2"/>
    <n v="13666.2833707318"/>
    <n v="471"/>
    <x v="2"/>
    <d v="2021-05-17T00:00:00"/>
    <s v="Paracetamol"/>
    <x v="1"/>
    <s v="Medium"/>
    <s v="Under Treatment"/>
    <s v="High Risk"/>
    <x v="0"/>
  </r>
  <r>
    <x v="413"/>
    <n v="73"/>
    <x v="1"/>
    <s v="AB-"/>
    <x v="2"/>
    <d v="2019-05-12T00:00:00"/>
    <x v="411"/>
    <s v="Flores-Roman"/>
    <x v="4"/>
    <n v="30753.688823307701"/>
    <n v="236"/>
    <x v="2"/>
    <d v="2019-06-07T00:00:00"/>
    <s v="Lipitor"/>
    <x v="2"/>
    <s v="High"/>
    <s v="Under Treatment"/>
    <s v="High Risk"/>
    <x v="2"/>
  </r>
  <r>
    <x v="414"/>
    <n v="82"/>
    <x v="0"/>
    <s v="B-"/>
    <x v="1"/>
    <d v="2021-09-12T00:00:00"/>
    <x v="412"/>
    <s v="Miller, Moon Boyd and"/>
    <x v="3"/>
    <n v="44278.231656776297"/>
    <n v="295"/>
    <x v="2"/>
    <d v="2021-09-17T00:00:00"/>
    <s v="Aspirin"/>
    <x v="1"/>
    <s v="High"/>
    <s v="Under Treatment"/>
    <s v="High Risk"/>
    <x v="2"/>
  </r>
  <r>
    <x v="415"/>
    <n v="31"/>
    <x v="0"/>
    <s v="B+"/>
    <x v="2"/>
    <d v="2021-01-25T00:00:00"/>
    <x v="413"/>
    <s v="Inc Harmon"/>
    <x v="2"/>
    <n v="6267.5405617180704"/>
    <n v="140"/>
    <x v="0"/>
    <d v="2021-01-27T00:00:00"/>
    <s v="Ibuprofen"/>
    <x v="0"/>
    <s v="Medium"/>
    <s v="Under Treatment"/>
    <s v="High Risk"/>
    <x v="0"/>
  </r>
  <r>
    <x v="416"/>
    <n v="38"/>
    <x v="1"/>
    <s v="B-"/>
    <x v="3"/>
    <d v="2022-06-20T00:00:00"/>
    <x v="414"/>
    <s v="Sons Mckinney and"/>
    <x v="0"/>
    <n v="33171.030088757099"/>
    <n v="319"/>
    <x v="2"/>
    <d v="2022-07-14T00:00:00"/>
    <s v="Aspirin"/>
    <x v="1"/>
    <s v="High"/>
    <s v="Under Treatment"/>
    <s v="High Risk"/>
    <x v="3"/>
  </r>
  <r>
    <x v="417"/>
    <n v="63"/>
    <x v="1"/>
    <s v="AB-"/>
    <x v="0"/>
    <d v="2020-11-16T00:00:00"/>
    <x v="415"/>
    <s v="Carroll-Howard"/>
    <x v="3"/>
    <n v="44984.241556250301"/>
    <n v="124"/>
    <x v="2"/>
    <d v="2020-12-06T00:00:00"/>
    <s v="Paracetamol"/>
    <x v="0"/>
    <s v="High"/>
    <s v="Under Treatment"/>
    <s v="High Risk"/>
    <x v="1"/>
  </r>
  <r>
    <x v="418"/>
    <n v="62"/>
    <x v="1"/>
    <s v="B-"/>
    <x v="1"/>
    <d v="2020-10-09T00:00:00"/>
    <x v="416"/>
    <s v="and Park, Garcia Lam"/>
    <x v="4"/>
    <n v="27091.8603731937"/>
    <n v="315"/>
    <x v="0"/>
    <d v="2020-10-14T00:00:00"/>
    <s v="Ibuprofen"/>
    <x v="1"/>
    <s v="High"/>
    <s v="Under Treatment"/>
    <s v="High Risk"/>
    <x v="1"/>
  </r>
  <r>
    <x v="419"/>
    <n v="80"/>
    <x v="0"/>
    <s v="O+"/>
    <x v="1"/>
    <d v="2023-12-12T00:00:00"/>
    <x v="417"/>
    <s v="Chavez Valenzuela, and Gutierrez"/>
    <x v="3"/>
    <n v="32387.925148602299"/>
    <n v="264"/>
    <x v="0"/>
    <d v="2023-12-27T00:00:00"/>
    <s v="Ibuprofen"/>
    <x v="0"/>
    <s v="High"/>
    <s v="Under Treatment"/>
    <s v="High Risk"/>
    <x v="2"/>
  </r>
  <r>
    <x v="420"/>
    <n v="25"/>
    <x v="1"/>
    <s v="AB-"/>
    <x v="0"/>
    <d v="2022-06-14T00:00:00"/>
    <x v="418"/>
    <s v="Hill-Hernandez"/>
    <x v="4"/>
    <n v="32905.476793801201"/>
    <n v="289"/>
    <x v="1"/>
    <d v="2022-07-03T00:00:00"/>
    <s v="Lipitor"/>
    <x v="2"/>
    <s v="High"/>
    <s v="Under Treatment"/>
    <s v="High Risk"/>
    <x v="0"/>
  </r>
  <r>
    <x v="421"/>
    <n v="51"/>
    <x v="0"/>
    <s v="A-"/>
    <x v="2"/>
    <d v="2023-02-23T00:00:00"/>
    <x v="419"/>
    <s v="Skinner LLC"/>
    <x v="0"/>
    <n v="1332.3384328468901"/>
    <n v="489"/>
    <x v="1"/>
    <d v="2023-03-18T00:00:00"/>
    <s v="Aspirin"/>
    <x v="2"/>
    <s v="Low"/>
    <s v="Under Treatment"/>
    <s v="High Risk"/>
    <x v="1"/>
  </r>
  <r>
    <x v="422"/>
    <n v="46"/>
    <x v="1"/>
    <s v="AB+"/>
    <x v="1"/>
    <d v="2024-04-25T00:00:00"/>
    <x v="420"/>
    <s v="Inc Cox"/>
    <x v="2"/>
    <n v="17702.569386018298"/>
    <n v="385"/>
    <x v="0"/>
    <d v="2024-05-12T00:00:00"/>
    <s v="Ibuprofen"/>
    <x v="1"/>
    <s v="High"/>
    <s v="Under Treatment"/>
    <s v="High Risk"/>
    <x v="3"/>
  </r>
  <r>
    <x v="423"/>
    <n v="18"/>
    <x v="1"/>
    <s v="A+"/>
    <x v="3"/>
    <d v="2022-06-08T00:00:00"/>
    <x v="421"/>
    <s v="Perez Sons and"/>
    <x v="3"/>
    <n v="33443.552486150104"/>
    <n v="342"/>
    <x v="1"/>
    <d v="2022-06-22T00:00:00"/>
    <s v="Penicillin"/>
    <x v="0"/>
    <s v="High"/>
    <s v="Under Treatment"/>
    <s v="High Risk"/>
    <x v="4"/>
  </r>
  <r>
    <x v="424"/>
    <n v="28"/>
    <x v="1"/>
    <s v="B-"/>
    <x v="4"/>
    <d v="2022-06-11T00:00:00"/>
    <x v="422"/>
    <s v="Reid-Simmons"/>
    <x v="3"/>
    <n v="31326.726717212299"/>
    <n v="299"/>
    <x v="1"/>
    <d v="2022-06-28T00:00:00"/>
    <s v="Paracetamol"/>
    <x v="2"/>
    <s v="High"/>
    <s v="Under Treatment"/>
    <s v="High Risk"/>
    <x v="0"/>
  </r>
  <r>
    <x v="425"/>
    <n v="24"/>
    <x v="0"/>
    <s v="A-"/>
    <x v="3"/>
    <d v="2024-03-19T00:00:00"/>
    <x v="423"/>
    <s v="Inc Cherry"/>
    <x v="2"/>
    <n v="18932.314667025501"/>
    <n v="115"/>
    <x v="2"/>
    <d v="2024-04-02T00:00:00"/>
    <s v="Penicillin"/>
    <x v="1"/>
    <s v="High"/>
    <s v="Under Treatment"/>
    <s v="High Risk"/>
    <x v="0"/>
  </r>
  <r>
    <x v="426"/>
    <n v="55"/>
    <x v="1"/>
    <s v="AB-"/>
    <x v="2"/>
    <d v="2024-01-11T00:00:00"/>
    <x v="424"/>
    <s v="Zavala-Fernandez"/>
    <x v="0"/>
    <n v="22063.229031651201"/>
    <n v="147"/>
    <x v="2"/>
    <d v="2024-01-30T00:00:00"/>
    <s v="Paracetamol"/>
    <x v="1"/>
    <s v="High"/>
    <s v="Under Treatment"/>
    <s v="High Risk"/>
    <x v="1"/>
  </r>
  <r>
    <x v="427"/>
    <n v="41"/>
    <x v="1"/>
    <s v="A+"/>
    <x v="0"/>
    <d v="2021-06-26T00:00:00"/>
    <x v="425"/>
    <s v="Jones-Fleming"/>
    <x v="1"/>
    <n v="20714.7067340701"/>
    <n v="234"/>
    <x v="0"/>
    <d v="2021-07-21T00:00:00"/>
    <s v="Lipitor"/>
    <x v="1"/>
    <s v="High"/>
    <s v="Under Treatment"/>
    <s v="High Risk"/>
    <x v="3"/>
  </r>
  <r>
    <x v="428"/>
    <n v="85"/>
    <x v="0"/>
    <s v="O+"/>
    <x v="3"/>
    <d v="2024-01-19T00:00:00"/>
    <x v="426"/>
    <s v="Christian-Hall"/>
    <x v="3"/>
    <n v="34510.884904131002"/>
    <n v="292"/>
    <x v="2"/>
    <d v="2024-02-05T00:00:00"/>
    <s v="Ibuprofen"/>
    <x v="1"/>
    <s v="High"/>
    <s v="Under Treatment"/>
    <s v="High Risk"/>
    <x v="2"/>
  </r>
  <r>
    <x v="429"/>
    <n v="18"/>
    <x v="0"/>
    <s v="B+"/>
    <x v="2"/>
    <d v="2021-07-10T00:00:00"/>
    <x v="427"/>
    <s v="Cervantes-Herrera"/>
    <x v="3"/>
    <n v="30289.7049088163"/>
    <n v="165"/>
    <x v="1"/>
    <d v="2021-07-12T00:00:00"/>
    <s v="Paracetamol"/>
    <x v="0"/>
    <s v="High"/>
    <s v="Under Treatment"/>
    <s v="High Risk"/>
    <x v="4"/>
  </r>
  <r>
    <x v="430"/>
    <n v="60"/>
    <x v="0"/>
    <s v="B-"/>
    <x v="2"/>
    <d v="2020-07-25T00:00:00"/>
    <x v="428"/>
    <s v="Garrison-Mcfarland"/>
    <x v="1"/>
    <n v="35317.493039750603"/>
    <n v="431"/>
    <x v="0"/>
    <d v="2020-07-29T00:00:00"/>
    <s v="Lipitor"/>
    <x v="0"/>
    <s v="High"/>
    <s v="Under Treatment"/>
    <s v="High Risk"/>
    <x v="1"/>
  </r>
  <r>
    <x v="431"/>
    <n v="22"/>
    <x v="1"/>
    <s v="AB+"/>
    <x v="1"/>
    <d v="2019-09-17T00:00:00"/>
    <x v="429"/>
    <s v="Warren-Brown"/>
    <x v="4"/>
    <n v="8033.6116547124902"/>
    <n v="293"/>
    <x v="2"/>
    <d v="2019-10-01T00:00:00"/>
    <s v="Lipitor"/>
    <x v="1"/>
    <s v="Medium"/>
    <s v="Under Treatment"/>
    <s v="High Risk"/>
    <x v="0"/>
  </r>
  <r>
    <x v="432"/>
    <n v="65"/>
    <x v="1"/>
    <s v="A+"/>
    <x v="1"/>
    <d v="2019-05-14T00:00:00"/>
    <x v="430"/>
    <s v="Ruiz Group"/>
    <x v="1"/>
    <n v="7391.5347454366502"/>
    <n v="270"/>
    <x v="2"/>
    <d v="2019-05-20T00:00:00"/>
    <s v="Aspirin"/>
    <x v="1"/>
    <s v="Medium"/>
    <s v="Under Treatment"/>
    <s v="High Risk"/>
    <x v="1"/>
  </r>
  <r>
    <x v="433"/>
    <n v="32"/>
    <x v="1"/>
    <s v="O-"/>
    <x v="5"/>
    <d v="2019-12-23T00:00:00"/>
    <x v="431"/>
    <s v="Oliver Mcdonald, and Johnson"/>
    <x v="2"/>
    <n v="28743.003837889799"/>
    <n v="493"/>
    <x v="2"/>
    <d v="2019-12-30T00:00:00"/>
    <s v="Penicillin"/>
    <x v="0"/>
    <s v="High"/>
    <s v="Under Treatment"/>
    <s v="High Risk"/>
    <x v="0"/>
  </r>
  <r>
    <x v="434"/>
    <n v="76"/>
    <x v="0"/>
    <s v="A-"/>
    <x v="1"/>
    <d v="2024-02-08T00:00:00"/>
    <x v="432"/>
    <s v="Lara-Allen"/>
    <x v="0"/>
    <n v="47270.245739138998"/>
    <n v="373"/>
    <x v="2"/>
    <d v="2024-02-16T00:00:00"/>
    <s v="Aspirin"/>
    <x v="2"/>
    <s v="High"/>
    <s v="Under Treatment"/>
    <s v="High Risk"/>
    <x v="2"/>
  </r>
  <r>
    <x v="435"/>
    <n v="61"/>
    <x v="1"/>
    <s v="A-"/>
    <x v="3"/>
    <d v="2023-09-23T00:00:00"/>
    <x v="433"/>
    <s v="Group Summers"/>
    <x v="2"/>
    <n v="37846.352206748299"/>
    <n v="407"/>
    <x v="1"/>
    <d v="2023-09-24T00:00:00"/>
    <s v="Ibuprofen"/>
    <x v="2"/>
    <s v="High"/>
    <s v="Under Treatment"/>
    <s v="High Risk"/>
    <x v="1"/>
  </r>
  <r>
    <x v="436"/>
    <n v="63"/>
    <x v="0"/>
    <s v="AB+"/>
    <x v="0"/>
    <d v="2020-05-14T00:00:00"/>
    <x v="434"/>
    <s v="Phillips Medina, Rivera and"/>
    <x v="2"/>
    <n v="46502.765789587"/>
    <n v="151"/>
    <x v="2"/>
    <d v="2020-05-20T00:00:00"/>
    <s v="Paracetamol"/>
    <x v="1"/>
    <s v="High"/>
    <s v="Under Treatment"/>
    <s v="High Risk"/>
    <x v="1"/>
  </r>
  <r>
    <x v="437"/>
    <n v="54"/>
    <x v="1"/>
    <s v="B+"/>
    <x v="4"/>
    <d v="2020-02-11T00:00:00"/>
    <x v="435"/>
    <s v="LLC Flores"/>
    <x v="2"/>
    <n v="27660.285047541201"/>
    <n v="193"/>
    <x v="0"/>
    <d v="2020-03-01T00:00:00"/>
    <s v="Lipitor"/>
    <x v="0"/>
    <s v="High"/>
    <s v="Under Treatment"/>
    <s v="High Risk"/>
    <x v="1"/>
  </r>
  <r>
    <x v="438"/>
    <n v="77"/>
    <x v="0"/>
    <s v="AB+"/>
    <x v="4"/>
    <d v="2021-09-13T00:00:00"/>
    <x v="436"/>
    <s v="Inc Pace"/>
    <x v="3"/>
    <n v="36686.6559296173"/>
    <n v="488"/>
    <x v="0"/>
    <d v="2021-10-09T00:00:00"/>
    <s v="Paracetamol"/>
    <x v="0"/>
    <s v="High"/>
    <s v="Under Treatment"/>
    <s v="High Risk"/>
    <x v="2"/>
  </r>
  <r>
    <x v="439"/>
    <n v="69"/>
    <x v="0"/>
    <s v="B+"/>
    <x v="5"/>
    <d v="2020-12-29T00:00:00"/>
    <x v="437"/>
    <s v="Snow-Day"/>
    <x v="2"/>
    <n v="23523.596818012698"/>
    <n v="106"/>
    <x v="2"/>
    <d v="2021-01-21T00:00:00"/>
    <s v="Aspirin"/>
    <x v="1"/>
    <s v="High"/>
    <s v="Under Treatment"/>
    <s v="High Risk"/>
    <x v="2"/>
  </r>
  <r>
    <x v="440"/>
    <n v="40"/>
    <x v="0"/>
    <s v="O-"/>
    <x v="5"/>
    <d v="2021-12-13T00:00:00"/>
    <x v="438"/>
    <s v="Irwin-Kaufman"/>
    <x v="3"/>
    <n v="15518.4577815678"/>
    <n v="450"/>
    <x v="1"/>
    <d v="2021-12-19T00:00:00"/>
    <s v="Penicillin"/>
    <x v="2"/>
    <s v="High"/>
    <s v="Under Treatment"/>
    <s v="High Risk"/>
    <x v="3"/>
  </r>
  <r>
    <x v="441"/>
    <n v="23"/>
    <x v="1"/>
    <s v="O-"/>
    <x v="0"/>
    <d v="2020-03-16T00:00:00"/>
    <x v="439"/>
    <s v="and Frederick, Jones Garcia"/>
    <x v="0"/>
    <n v="3925.9338406051902"/>
    <n v="333"/>
    <x v="1"/>
    <d v="2020-03-22T00:00:00"/>
    <s v="Lipitor"/>
    <x v="0"/>
    <s v="Low"/>
    <s v="Under Treatment"/>
    <s v="High Risk"/>
    <x v="0"/>
  </r>
  <r>
    <x v="442"/>
    <n v="68"/>
    <x v="1"/>
    <s v="AB+"/>
    <x v="5"/>
    <d v="2020-10-20T00:00:00"/>
    <x v="440"/>
    <s v="and Fuentes Rogers Gill,"/>
    <x v="2"/>
    <n v="12605.7474398212"/>
    <n v="350"/>
    <x v="1"/>
    <d v="2020-10-27T00:00:00"/>
    <s v="Paracetamol"/>
    <x v="1"/>
    <s v="Medium"/>
    <s v="Under Treatment"/>
    <s v="High Risk"/>
    <x v="2"/>
  </r>
  <r>
    <x v="443"/>
    <n v="46"/>
    <x v="1"/>
    <s v="AB-"/>
    <x v="2"/>
    <d v="2022-11-21T00:00:00"/>
    <x v="441"/>
    <s v="Lopez-Brooks"/>
    <x v="2"/>
    <n v="18828.764128786501"/>
    <n v="194"/>
    <x v="2"/>
    <d v="2022-11-22T00:00:00"/>
    <s v="Ibuprofen"/>
    <x v="2"/>
    <s v="High"/>
    <s v="Under Treatment"/>
    <s v="High Risk"/>
    <x v="3"/>
  </r>
  <r>
    <x v="444"/>
    <n v="61"/>
    <x v="1"/>
    <s v="B+"/>
    <x v="5"/>
    <d v="2020-08-24T00:00:00"/>
    <x v="442"/>
    <s v="Leblanc Conway, Holt and"/>
    <x v="2"/>
    <n v="34381.688712175899"/>
    <n v="330"/>
    <x v="0"/>
    <d v="2020-09-06T00:00:00"/>
    <s v="Lipitor"/>
    <x v="1"/>
    <s v="High"/>
    <s v="Under Treatment"/>
    <s v="High Risk"/>
    <x v="1"/>
  </r>
  <r>
    <x v="445"/>
    <n v="25"/>
    <x v="0"/>
    <s v="O-"/>
    <x v="5"/>
    <d v="2022-02-12T00:00:00"/>
    <x v="443"/>
    <s v="Ltd Roberts"/>
    <x v="2"/>
    <n v="31501.719856801301"/>
    <n v="475"/>
    <x v="2"/>
    <d v="2022-03-03T00:00:00"/>
    <s v="Ibuprofen"/>
    <x v="1"/>
    <s v="High"/>
    <s v="Under Treatment"/>
    <s v="High Risk"/>
    <x v="0"/>
  </r>
  <r>
    <x v="446"/>
    <n v="75"/>
    <x v="1"/>
    <s v="A-"/>
    <x v="5"/>
    <d v="2023-08-15T00:00:00"/>
    <x v="444"/>
    <s v="and Carter Sons"/>
    <x v="1"/>
    <n v="12098.033219920701"/>
    <n v="387"/>
    <x v="2"/>
    <d v="2023-09-04T00:00:00"/>
    <s v="Lipitor"/>
    <x v="2"/>
    <s v="Medium"/>
    <s v="Under Treatment"/>
    <s v="High Risk"/>
    <x v="2"/>
  </r>
  <r>
    <x v="447"/>
    <n v="43"/>
    <x v="1"/>
    <s v="O-"/>
    <x v="2"/>
    <d v="2023-01-13T00:00:00"/>
    <x v="445"/>
    <s v="Moore and Rhodes Lang,"/>
    <x v="3"/>
    <n v="39547.3811893456"/>
    <n v="436"/>
    <x v="2"/>
    <d v="2023-02-01T00:00:00"/>
    <s v="Paracetamol"/>
    <x v="1"/>
    <s v="High"/>
    <s v="Under Treatment"/>
    <s v="High Risk"/>
    <x v="3"/>
  </r>
  <r>
    <x v="448"/>
    <n v="38"/>
    <x v="1"/>
    <s v="B-"/>
    <x v="1"/>
    <d v="2020-04-28T00:00:00"/>
    <x v="446"/>
    <s v="Poole LLC"/>
    <x v="2"/>
    <n v="6486.23572598591"/>
    <n v="283"/>
    <x v="2"/>
    <d v="2020-05-20T00:00:00"/>
    <s v="Aspirin"/>
    <x v="2"/>
    <s v="Medium"/>
    <s v="Under Treatment"/>
    <s v="High Risk"/>
    <x v="3"/>
  </r>
  <r>
    <x v="449"/>
    <n v="28"/>
    <x v="0"/>
    <s v="AB+"/>
    <x v="5"/>
    <d v="2022-10-21T00:00:00"/>
    <x v="447"/>
    <s v="Hansen-Torres"/>
    <x v="1"/>
    <n v="46657.686081891399"/>
    <n v="265"/>
    <x v="0"/>
    <d v="2022-10-22T00:00:00"/>
    <s v="Penicillin"/>
    <x v="1"/>
    <s v="High"/>
    <s v="Under Treatment"/>
    <s v="High Risk"/>
    <x v="0"/>
  </r>
  <r>
    <x v="450"/>
    <n v="80"/>
    <x v="0"/>
    <s v="O+"/>
    <x v="4"/>
    <d v="2022-12-15T00:00:00"/>
    <x v="448"/>
    <s v="Park-Douglas"/>
    <x v="2"/>
    <n v="31709.465028472401"/>
    <n v="168"/>
    <x v="0"/>
    <d v="2022-12-25T00:00:00"/>
    <s v="Paracetamol"/>
    <x v="2"/>
    <s v="High"/>
    <s v="Under Treatment"/>
    <s v="High Risk"/>
    <x v="2"/>
  </r>
  <r>
    <x v="451"/>
    <n v="75"/>
    <x v="1"/>
    <s v="AB-"/>
    <x v="0"/>
    <d v="2019-11-18T00:00:00"/>
    <x v="449"/>
    <s v="and Rodriguez Gallegos Henry,"/>
    <x v="0"/>
    <n v="29995.428563873302"/>
    <n v="433"/>
    <x v="1"/>
    <d v="2019-12-11T00:00:00"/>
    <s v="Paracetamol"/>
    <x v="2"/>
    <s v="High"/>
    <s v="Under Treatment"/>
    <s v="High Risk"/>
    <x v="2"/>
  </r>
  <r>
    <x v="452"/>
    <n v="27"/>
    <x v="0"/>
    <s v="A+"/>
    <x v="2"/>
    <d v="2020-08-01T00:00:00"/>
    <x v="450"/>
    <s v="Turner Bradford and Allison,"/>
    <x v="0"/>
    <n v="48965.175802785299"/>
    <n v="251"/>
    <x v="1"/>
    <d v="2020-08-26T00:00:00"/>
    <s v="Aspirin"/>
    <x v="2"/>
    <s v="High"/>
    <s v="Under Treatment"/>
    <s v="High Risk"/>
    <x v="0"/>
  </r>
  <r>
    <x v="453"/>
    <n v="19"/>
    <x v="1"/>
    <s v="B-"/>
    <x v="3"/>
    <d v="2020-03-17T00:00:00"/>
    <x v="451"/>
    <s v="Carrillo-Price"/>
    <x v="1"/>
    <n v="16920.161533782099"/>
    <n v="206"/>
    <x v="1"/>
    <d v="2020-04-10T00:00:00"/>
    <s v="Lipitor"/>
    <x v="2"/>
    <s v="High"/>
    <s v="Under Treatment"/>
    <s v="High Risk"/>
    <x v="0"/>
  </r>
  <r>
    <x v="454"/>
    <n v="58"/>
    <x v="0"/>
    <s v="AB+"/>
    <x v="5"/>
    <d v="2022-08-15T00:00:00"/>
    <x v="452"/>
    <s v="and Sons Lee"/>
    <x v="2"/>
    <n v="49861.874237561402"/>
    <n v="207"/>
    <x v="1"/>
    <d v="2022-09-01T00:00:00"/>
    <s v="Ibuprofen"/>
    <x v="2"/>
    <s v="High"/>
    <s v="Under Treatment"/>
    <s v="High Risk"/>
    <x v="1"/>
  </r>
  <r>
    <x v="455"/>
    <n v="57"/>
    <x v="0"/>
    <s v="AB+"/>
    <x v="0"/>
    <d v="2023-05-15T00:00:00"/>
    <x v="453"/>
    <s v="Rogers-Robles"/>
    <x v="0"/>
    <n v="36287.385064260699"/>
    <n v="263"/>
    <x v="2"/>
    <d v="2023-05-19T00:00:00"/>
    <s v="Lipitor"/>
    <x v="1"/>
    <s v="High"/>
    <s v="Under Treatment"/>
    <s v="High Risk"/>
    <x v="1"/>
  </r>
  <r>
    <x v="456"/>
    <n v="62"/>
    <x v="0"/>
    <s v="B+"/>
    <x v="4"/>
    <d v="2023-10-29T00:00:00"/>
    <x v="454"/>
    <s v="Arias-Galvan"/>
    <x v="2"/>
    <n v="22030.693351067799"/>
    <n v="132"/>
    <x v="0"/>
    <d v="2023-11-14T00:00:00"/>
    <s v="Lipitor"/>
    <x v="0"/>
    <s v="High"/>
    <s v="Under Treatment"/>
    <s v="High Risk"/>
    <x v="1"/>
  </r>
  <r>
    <x v="457"/>
    <n v="71"/>
    <x v="0"/>
    <s v="AB-"/>
    <x v="2"/>
    <d v="2024-01-09T00:00:00"/>
    <x v="455"/>
    <s v="Scott-Moore"/>
    <x v="3"/>
    <n v="45665.850891878501"/>
    <n v="387"/>
    <x v="2"/>
    <d v="2024-01-20T00:00:00"/>
    <s v="Penicillin"/>
    <x v="1"/>
    <s v="High"/>
    <s v="Under Treatment"/>
    <s v="High Risk"/>
    <x v="2"/>
  </r>
  <r>
    <x v="458"/>
    <n v="84"/>
    <x v="1"/>
    <s v="O-"/>
    <x v="5"/>
    <d v="2019-10-25T00:00:00"/>
    <x v="456"/>
    <s v="Quinn, Bentley and Allen"/>
    <x v="4"/>
    <n v="28401.556931871601"/>
    <n v="377"/>
    <x v="2"/>
    <d v="2019-11-15T00:00:00"/>
    <s v="Ibuprofen"/>
    <x v="1"/>
    <s v="High"/>
    <s v="Under Treatment"/>
    <s v="High Risk"/>
    <x v="2"/>
  </r>
  <r>
    <x v="459"/>
    <n v="72"/>
    <x v="1"/>
    <s v="AB-"/>
    <x v="3"/>
    <d v="2021-12-14T00:00:00"/>
    <x v="457"/>
    <s v="Blair-Bell"/>
    <x v="2"/>
    <n v="47454.594675132299"/>
    <n v="293"/>
    <x v="1"/>
    <d v="2021-12-24T00:00:00"/>
    <s v="Aspirin"/>
    <x v="2"/>
    <s v="High"/>
    <s v="Under Treatment"/>
    <s v="High Risk"/>
    <x v="2"/>
  </r>
  <r>
    <x v="460"/>
    <n v="33"/>
    <x v="1"/>
    <s v="A-"/>
    <x v="2"/>
    <d v="2023-05-30T00:00:00"/>
    <x v="458"/>
    <s v="Lester-Fletcher"/>
    <x v="4"/>
    <n v="22257.6093737339"/>
    <n v="243"/>
    <x v="0"/>
    <d v="2023-06-01T00:00:00"/>
    <s v="Ibuprofen"/>
    <x v="2"/>
    <s v="High"/>
    <s v="Under Treatment"/>
    <s v="High Risk"/>
    <x v="0"/>
  </r>
  <r>
    <x v="461"/>
    <n v="80"/>
    <x v="1"/>
    <s v="AB-"/>
    <x v="5"/>
    <d v="2019-08-26T00:00:00"/>
    <x v="459"/>
    <s v="Rodriguez LLC"/>
    <x v="0"/>
    <n v="30324.065977730599"/>
    <n v="159"/>
    <x v="0"/>
    <d v="2019-09-15T00:00:00"/>
    <s v="Penicillin"/>
    <x v="2"/>
    <s v="High"/>
    <s v="Under Treatment"/>
    <s v="High Risk"/>
    <x v="2"/>
  </r>
  <r>
    <x v="462"/>
    <n v="24"/>
    <x v="1"/>
    <s v="O-"/>
    <x v="5"/>
    <d v="2019-11-16T00:00:00"/>
    <x v="460"/>
    <s v="LLC Baldwin"/>
    <x v="1"/>
    <n v="10053.9245846758"/>
    <n v="371"/>
    <x v="1"/>
    <d v="2019-12-02T00:00:00"/>
    <s v="Aspirin"/>
    <x v="2"/>
    <s v="Medium"/>
    <s v="Under Treatment"/>
    <s v="High Risk"/>
    <x v="0"/>
  </r>
  <r>
    <x v="463"/>
    <n v="44"/>
    <x v="1"/>
    <s v="A-"/>
    <x v="5"/>
    <d v="2022-04-23T00:00:00"/>
    <x v="461"/>
    <s v="Riley PLC"/>
    <x v="1"/>
    <n v="9823.3034328471695"/>
    <n v="304"/>
    <x v="2"/>
    <d v="2022-05-19T00:00:00"/>
    <s v="Lipitor"/>
    <x v="0"/>
    <s v="Medium"/>
    <s v="Under Treatment"/>
    <s v="High Risk"/>
    <x v="3"/>
  </r>
  <r>
    <x v="464"/>
    <n v="83"/>
    <x v="0"/>
    <s v="B+"/>
    <x v="1"/>
    <d v="2022-10-19T00:00:00"/>
    <x v="462"/>
    <s v="Perez-Carlson"/>
    <x v="0"/>
    <n v="17855.801067762801"/>
    <n v="349"/>
    <x v="1"/>
    <d v="2022-11-10T00:00:00"/>
    <s v="Ibuprofen"/>
    <x v="1"/>
    <s v="High"/>
    <s v="Under Treatment"/>
    <s v="High Risk"/>
    <x v="2"/>
  </r>
  <r>
    <x v="465"/>
    <n v="80"/>
    <x v="0"/>
    <s v="O-"/>
    <x v="5"/>
    <d v="2022-02-05T00:00:00"/>
    <x v="463"/>
    <s v="Richardson Mccormick, Cruz and"/>
    <x v="4"/>
    <n v="40178.463294369503"/>
    <n v="396"/>
    <x v="2"/>
    <d v="2022-02-18T00:00:00"/>
    <s v="Penicillin"/>
    <x v="1"/>
    <s v="High"/>
    <s v="Under Treatment"/>
    <s v="High Risk"/>
    <x v="2"/>
  </r>
  <r>
    <x v="466"/>
    <n v="41"/>
    <x v="1"/>
    <s v="B+"/>
    <x v="0"/>
    <d v="2019-08-01T00:00:00"/>
    <x v="464"/>
    <s v="Underwood-Mcguire"/>
    <x v="4"/>
    <n v="24690.222176680199"/>
    <n v="320"/>
    <x v="1"/>
    <d v="2019-08-09T00:00:00"/>
    <s v="Ibuprofen"/>
    <x v="2"/>
    <s v="High"/>
    <s v="Under Treatment"/>
    <s v="High Risk"/>
    <x v="3"/>
  </r>
  <r>
    <x v="467"/>
    <n v="39"/>
    <x v="0"/>
    <s v="O-"/>
    <x v="5"/>
    <d v="2021-06-19T00:00:00"/>
    <x v="465"/>
    <s v="Galvan, Lopez Salazar and"/>
    <x v="3"/>
    <n v="21862.0563570798"/>
    <n v="497"/>
    <x v="2"/>
    <d v="2021-07-16T00:00:00"/>
    <s v="Aspirin"/>
    <x v="0"/>
    <s v="High"/>
    <s v="Under Treatment"/>
    <s v="High Risk"/>
    <x v="3"/>
  </r>
  <r>
    <x v="468"/>
    <n v="55"/>
    <x v="0"/>
    <s v="O-"/>
    <x v="3"/>
    <d v="2020-06-28T00:00:00"/>
    <x v="466"/>
    <s v="Fisher-Perez"/>
    <x v="2"/>
    <n v="29790.846838576999"/>
    <n v="142"/>
    <x v="0"/>
    <d v="2020-07-24T00:00:00"/>
    <s v="Ibuprofen"/>
    <x v="0"/>
    <s v="High"/>
    <s v="Under Treatment"/>
    <s v="High Risk"/>
    <x v="1"/>
  </r>
  <r>
    <x v="469"/>
    <n v="34"/>
    <x v="1"/>
    <s v="A-"/>
    <x v="3"/>
    <d v="2022-07-17T00:00:00"/>
    <x v="467"/>
    <s v="Ruiz PLC"/>
    <x v="2"/>
    <n v="20453.317499341199"/>
    <n v="445"/>
    <x v="0"/>
    <d v="2022-07-23T00:00:00"/>
    <s v="Paracetamol"/>
    <x v="1"/>
    <s v="High"/>
    <s v="Under Treatment"/>
    <s v="High Risk"/>
    <x v="0"/>
  </r>
  <r>
    <x v="470"/>
    <n v="27"/>
    <x v="1"/>
    <s v="O+"/>
    <x v="4"/>
    <d v="2021-05-22T00:00:00"/>
    <x v="468"/>
    <s v="Ltd Watts"/>
    <x v="4"/>
    <n v="6827.6979545313998"/>
    <n v="119"/>
    <x v="0"/>
    <d v="2021-06-09T00:00:00"/>
    <s v="Paracetamol"/>
    <x v="0"/>
    <s v="Medium"/>
    <s v="Under Treatment"/>
    <s v="High Risk"/>
    <x v="0"/>
  </r>
  <r>
    <x v="471"/>
    <n v="56"/>
    <x v="1"/>
    <s v="O+"/>
    <x v="2"/>
    <d v="2022-08-16T00:00:00"/>
    <x v="469"/>
    <s v="and Martinez Sons"/>
    <x v="4"/>
    <n v="7557.5991499684496"/>
    <n v="264"/>
    <x v="0"/>
    <d v="2022-09-04T00:00:00"/>
    <s v="Aspirin"/>
    <x v="1"/>
    <s v="Medium"/>
    <s v="Under Treatment"/>
    <s v="High Risk"/>
    <x v="1"/>
  </r>
  <r>
    <x v="472"/>
    <n v="60"/>
    <x v="1"/>
    <s v="A+"/>
    <x v="0"/>
    <d v="2021-03-31T00:00:00"/>
    <x v="470"/>
    <s v="Harrington-Marshall"/>
    <x v="2"/>
    <n v="15364.4847852978"/>
    <n v="181"/>
    <x v="1"/>
    <d v="2021-04-18T00:00:00"/>
    <s v="Ibuprofen"/>
    <x v="2"/>
    <s v="High"/>
    <s v="Under Treatment"/>
    <s v="High Risk"/>
    <x v="1"/>
  </r>
  <r>
    <x v="473"/>
    <n v="71"/>
    <x v="1"/>
    <s v="O-"/>
    <x v="1"/>
    <d v="2021-09-06T00:00:00"/>
    <x v="471"/>
    <s v="Robbins Inc"/>
    <x v="2"/>
    <n v="6664.2169167173297"/>
    <n v="228"/>
    <x v="2"/>
    <d v="2021-09-17T00:00:00"/>
    <s v="Lipitor"/>
    <x v="2"/>
    <s v="Medium"/>
    <s v="Under Treatment"/>
    <s v="High Risk"/>
    <x v="2"/>
  </r>
  <r>
    <x v="474"/>
    <n v="20"/>
    <x v="0"/>
    <s v="AB-"/>
    <x v="2"/>
    <d v="2023-08-26T00:00:00"/>
    <x v="472"/>
    <s v="and Conway George, Huff"/>
    <x v="4"/>
    <n v="7235.1906901877001"/>
    <n v="197"/>
    <x v="0"/>
    <d v="2023-08-27T00:00:00"/>
    <s v="Penicillin"/>
    <x v="1"/>
    <s v="Medium"/>
    <s v="Under Treatment"/>
    <s v="High Risk"/>
    <x v="0"/>
  </r>
  <r>
    <x v="475"/>
    <n v="75"/>
    <x v="0"/>
    <s v="A+"/>
    <x v="3"/>
    <d v="2019-11-27T00:00:00"/>
    <x v="473"/>
    <s v="Group Thompson"/>
    <x v="2"/>
    <n v="20336.4929220005"/>
    <n v="316"/>
    <x v="1"/>
    <d v="2019-12-07T00:00:00"/>
    <s v="Penicillin"/>
    <x v="0"/>
    <s v="High"/>
    <s v="Under Treatment"/>
    <s v="High Risk"/>
    <x v="2"/>
  </r>
  <r>
    <x v="476"/>
    <n v="32"/>
    <x v="1"/>
    <s v="A+"/>
    <x v="1"/>
    <d v="2023-03-07T00:00:00"/>
    <x v="474"/>
    <s v="Rodriguez-Arnold"/>
    <x v="3"/>
    <n v="38668.694588676401"/>
    <n v="462"/>
    <x v="0"/>
    <d v="2023-03-12T00:00:00"/>
    <s v="Lipitor"/>
    <x v="0"/>
    <s v="High"/>
    <s v="Under Treatment"/>
    <s v="High Risk"/>
    <x v="0"/>
  </r>
  <r>
    <x v="477"/>
    <n v="49"/>
    <x v="0"/>
    <s v="O-"/>
    <x v="0"/>
    <d v="2020-04-12T00:00:00"/>
    <x v="475"/>
    <s v="Morgan-Young"/>
    <x v="4"/>
    <n v="44411.124527080799"/>
    <n v="103"/>
    <x v="0"/>
    <d v="2020-05-04T00:00:00"/>
    <s v="Aspirin"/>
    <x v="0"/>
    <s v="High"/>
    <s v="Under Treatment"/>
    <s v="High Risk"/>
    <x v="3"/>
  </r>
  <r>
    <x v="478"/>
    <n v="69"/>
    <x v="0"/>
    <s v="AB-"/>
    <x v="4"/>
    <d v="2024-04-26T00:00:00"/>
    <x v="476"/>
    <s v="PLC Fox"/>
    <x v="2"/>
    <n v="7902.4204827991898"/>
    <n v="419"/>
    <x v="1"/>
    <d v="2024-05-24T00:00:00"/>
    <s v="Ibuprofen"/>
    <x v="2"/>
    <s v="Medium"/>
    <s v="Under Treatment"/>
    <s v="High Risk"/>
    <x v="2"/>
  </r>
  <r>
    <x v="479"/>
    <n v="51"/>
    <x v="1"/>
    <s v="A+"/>
    <x v="4"/>
    <d v="2023-06-29T00:00:00"/>
    <x v="477"/>
    <s v="Bell Preston Washington, and"/>
    <x v="1"/>
    <n v="46245.583952296503"/>
    <n v="455"/>
    <x v="0"/>
    <d v="2023-07-07T00:00:00"/>
    <s v="Paracetamol"/>
    <x v="2"/>
    <s v="High"/>
    <s v="Under Treatment"/>
    <s v="High Risk"/>
    <x v="1"/>
  </r>
  <r>
    <x v="480"/>
    <n v="38"/>
    <x v="1"/>
    <s v="O-"/>
    <x v="5"/>
    <d v="2022-06-05T00:00:00"/>
    <x v="478"/>
    <s v="Steele PLC"/>
    <x v="1"/>
    <n v="20914.947408227701"/>
    <n v="276"/>
    <x v="2"/>
    <d v="2022-06-15T00:00:00"/>
    <s v="Paracetamol"/>
    <x v="0"/>
    <s v="High"/>
    <s v="Under Treatment"/>
    <s v="High Risk"/>
    <x v="3"/>
  </r>
  <r>
    <x v="481"/>
    <n v="27"/>
    <x v="0"/>
    <s v="B-"/>
    <x v="0"/>
    <d v="2021-11-06T00:00:00"/>
    <x v="479"/>
    <s v="Allen-Perez"/>
    <x v="3"/>
    <n v="10965.6957491788"/>
    <n v="298"/>
    <x v="2"/>
    <d v="2021-11-07T00:00:00"/>
    <s v="Penicillin"/>
    <x v="0"/>
    <s v="Medium"/>
    <s v="Under Treatment"/>
    <s v="High Risk"/>
    <x v="0"/>
  </r>
  <r>
    <x v="482"/>
    <n v="36"/>
    <x v="0"/>
    <s v="B-"/>
    <x v="0"/>
    <d v="2021-07-21T00:00:00"/>
    <x v="480"/>
    <s v="and Alexander Crawford Graham,"/>
    <x v="2"/>
    <n v="27507.042983304102"/>
    <n v="286"/>
    <x v="1"/>
    <d v="2021-07-31T00:00:00"/>
    <s v="Ibuprofen"/>
    <x v="0"/>
    <s v="High"/>
    <s v="Under Treatment"/>
    <s v="High Risk"/>
    <x v="3"/>
  </r>
  <r>
    <x v="483"/>
    <n v="41"/>
    <x v="0"/>
    <s v="A-"/>
    <x v="0"/>
    <d v="2019-11-23T00:00:00"/>
    <x v="481"/>
    <s v="Moyer-Lamb"/>
    <x v="3"/>
    <n v="12678.096227641499"/>
    <n v="141"/>
    <x v="0"/>
    <d v="2019-12-06T00:00:00"/>
    <s v="Penicillin"/>
    <x v="0"/>
    <s v="Medium"/>
    <s v="Under Treatment"/>
    <s v="High Risk"/>
    <x v="3"/>
  </r>
  <r>
    <x v="484"/>
    <n v="33"/>
    <x v="0"/>
    <s v="AB-"/>
    <x v="3"/>
    <d v="2019-05-30T00:00:00"/>
    <x v="482"/>
    <s v="Taylor-Wilson"/>
    <x v="2"/>
    <n v="38395.529957277096"/>
    <n v="215"/>
    <x v="1"/>
    <d v="2019-06-29T00:00:00"/>
    <s v="Ibuprofen"/>
    <x v="1"/>
    <s v="High"/>
    <s v="Under Treatment"/>
    <s v="High Risk"/>
    <x v="0"/>
  </r>
  <r>
    <x v="485"/>
    <n v="56"/>
    <x v="1"/>
    <s v="AB-"/>
    <x v="3"/>
    <d v="2024-03-23T00:00:00"/>
    <x v="483"/>
    <s v="PLC Sutton"/>
    <x v="1"/>
    <n v="28510.807215450001"/>
    <n v="185"/>
    <x v="1"/>
    <d v="2024-04-14T00:00:00"/>
    <s v="Lipitor"/>
    <x v="1"/>
    <s v="High"/>
    <s v="Under Treatment"/>
    <s v="High Risk"/>
    <x v="1"/>
  </r>
  <r>
    <x v="486"/>
    <n v="25"/>
    <x v="0"/>
    <s v="O+"/>
    <x v="1"/>
    <d v="2019-06-23T00:00:00"/>
    <x v="484"/>
    <s v="and Sons Sanders"/>
    <x v="1"/>
    <n v="43400.666588542001"/>
    <n v="300"/>
    <x v="1"/>
    <d v="2019-07-12T00:00:00"/>
    <s v="Aspirin"/>
    <x v="2"/>
    <s v="High"/>
    <s v="Under Treatment"/>
    <s v="High Risk"/>
    <x v="0"/>
  </r>
  <r>
    <x v="487"/>
    <n v="21"/>
    <x v="1"/>
    <s v="O-"/>
    <x v="3"/>
    <d v="2022-01-30T00:00:00"/>
    <x v="485"/>
    <s v="Gentry and Sons"/>
    <x v="2"/>
    <n v="46890.4260126925"/>
    <n v="307"/>
    <x v="2"/>
    <d v="2022-02-26T00:00:00"/>
    <s v="Aspirin"/>
    <x v="2"/>
    <s v="High"/>
    <s v="Under Treatment"/>
    <s v="High Risk"/>
    <x v="0"/>
  </r>
  <r>
    <x v="488"/>
    <n v="57"/>
    <x v="0"/>
    <s v="B-"/>
    <x v="0"/>
    <d v="2022-11-12T00:00:00"/>
    <x v="486"/>
    <s v="Haynes-Silva"/>
    <x v="4"/>
    <n v="48491.643210085102"/>
    <n v="129"/>
    <x v="2"/>
    <d v="2022-11-22T00:00:00"/>
    <s v="Penicillin"/>
    <x v="0"/>
    <s v="High"/>
    <s v="Under Treatment"/>
    <s v="High Risk"/>
    <x v="1"/>
  </r>
  <r>
    <x v="489"/>
    <n v="39"/>
    <x v="1"/>
    <s v="O+"/>
    <x v="0"/>
    <d v="2020-12-22T00:00:00"/>
    <x v="487"/>
    <s v="Marshall, and Koch Harper"/>
    <x v="0"/>
    <n v="13643.730851835"/>
    <n v="380"/>
    <x v="2"/>
    <d v="2020-12-27T00:00:00"/>
    <s v="Lipitor"/>
    <x v="0"/>
    <s v="Medium"/>
    <s v="Under Treatment"/>
    <s v="High Risk"/>
    <x v="3"/>
  </r>
  <r>
    <x v="490"/>
    <n v="51"/>
    <x v="1"/>
    <s v="A-"/>
    <x v="2"/>
    <d v="2022-05-22T00:00:00"/>
    <x v="488"/>
    <s v="Duffy-Jackson"/>
    <x v="4"/>
    <n v="5415.2835101442097"/>
    <n v="209"/>
    <x v="1"/>
    <d v="2022-06-08T00:00:00"/>
    <s v="Aspirin"/>
    <x v="1"/>
    <s v="Medium"/>
    <s v="Under Treatment"/>
    <s v="High Risk"/>
    <x v="1"/>
  </r>
  <r>
    <x v="491"/>
    <n v="31"/>
    <x v="0"/>
    <s v="B+"/>
    <x v="4"/>
    <d v="2021-03-27T00:00:00"/>
    <x v="489"/>
    <s v="Brown-Diaz"/>
    <x v="2"/>
    <n v="44008.050211624999"/>
    <n v="392"/>
    <x v="2"/>
    <d v="2021-04-23T00:00:00"/>
    <s v="Lipitor"/>
    <x v="2"/>
    <s v="High"/>
    <s v="Under Treatment"/>
    <s v="High Risk"/>
    <x v="0"/>
  </r>
  <r>
    <x v="492"/>
    <n v="76"/>
    <x v="0"/>
    <s v="O+"/>
    <x v="2"/>
    <d v="2022-07-15T00:00:00"/>
    <x v="490"/>
    <s v="Lyons LLC"/>
    <x v="0"/>
    <n v="45242.856992781599"/>
    <n v="174"/>
    <x v="1"/>
    <d v="2022-07-19T00:00:00"/>
    <s v="Penicillin"/>
    <x v="2"/>
    <s v="High"/>
    <s v="Under Treatment"/>
    <s v="High Risk"/>
    <x v="2"/>
  </r>
  <r>
    <x v="493"/>
    <n v="59"/>
    <x v="0"/>
    <s v="A+"/>
    <x v="3"/>
    <d v="2022-06-06T00:00:00"/>
    <x v="491"/>
    <s v="PLC French"/>
    <x v="2"/>
    <n v="13550.1244871951"/>
    <n v="250"/>
    <x v="2"/>
    <d v="2022-06-30T00:00:00"/>
    <s v="Paracetamol"/>
    <x v="0"/>
    <s v="Medium"/>
    <s v="Under Treatment"/>
    <s v="High Risk"/>
    <x v="1"/>
  </r>
  <r>
    <x v="494"/>
    <n v="28"/>
    <x v="0"/>
    <s v="A+"/>
    <x v="5"/>
    <d v="2020-05-23T00:00:00"/>
    <x v="492"/>
    <s v="Tucker-Warren"/>
    <x v="3"/>
    <n v="48890.447816029802"/>
    <n v="324"/>
    <x v="2"/>
    <d v="2020-06-12T00:00:00"/>
    <s v="Penicillin"/>
    <x v="2"/>
    <s v="High"/>
    <s v="Under Treatment"/>
    <s v="High Risk"/>
    <x v="0"/>
  </r>
  <r>
    <x v="495"/>
    <n v="63"/>
    <x v="0"/>
    <s v="A-"/>
    <x v="1"/>
    <d v="2022-07-25T00:00:00"/>
    <x v="493"/>
    <s v="Wang-Hill"/>
    <x v="1"/>
    <n v="17159.581531514199"/>
    <n v="330"/>
    <x v="1"/>
    <d v="2022-08-22T00:00:00"/>
    <s v="Ibuprofen"/>
    <x v="0"/>
    <s v="High"/>
    <s v="Under Treatment"/>
    <s v="High Risk"/>
    <x v="1"/>
  </r>
  <r>
    <x v="496"/>
    <n v="24"/>
    <x v="0"/>
    <s v="A-"/>
    <x v="5"/>
    <d v="2021-04-01T00:00:00"/>
    <x v="494"/>
    <s v="Jones Ltd"/>
    <x v="4"/>
    <n v="7192.6281782379501"/>
    <n v="443"/>
    <x v="1"/>
    <d v="2021-04-19T00:00:00"/>
    <s v="Penicillin"/>
    <x v="2"/>
    <s v="Medium"/>
    <s v="Under Treatment"/>
    <s v="High Risk"/>
    <x v="0"/>
  </r>
  <r>
    <x v="497"/>
    <n v="81"/>
    <x v="0"/>
    <s v="B+"/>
    <x v="5"/>
    <d v="2020-07-20T00:00:00"/>
    <x v="495"/>
    <s v="White West Herman, and"/>
    <x v="1"/>
    <n v="44982.852472054903"/>
    <n v="121"/>
    <x v="2"/>
    <d v="2020-07-29T00:00:00"/>
    <s v="Lipitor"/>
    <x v="0"/>
    <s v="High"/>
    <s v="Under Treatment"/>
    <s v="High Risk"/>
    <x v="2"/>
  </r>
  <r>
    <x v="498"/>
    <n v="74"/>
    <x v="0"/>
    <s v="A+"/>
    <x v="2"/>
    <d v="2020-02-28T00:00:00"/>
    <x v="496"/>
    <s v="Inc Newton"/>
    <x v="1"/>
    <n v="16004.4690772289"/>
    <n v="254"/>
    <x v="1"/>
    <d v="2020-03-28T00:00:00"/>
    <s v="Ibuprofen"/>
    <x v="1"/>
    <s v="High"/>
    <s v="Under Treatment"/>
    <s v="High Risk"/>
    <x v="2"/>
  </r>
  <r>
    <x v="499"/>
    <n v="28"/>
    <x v="0"/>
    <s v="AB+"/>
    <x v="0"/>
    <d v="2023-08-30T00:00:00"/>
    <x v="497"/>
    <s v="Huerta-Sanchez"/>
    <x v="3"/>
    <n v="7320.0426170861601"/>
    <n v="458"/>
    <x v="2"/>
    <d v="2023-09-17T00:00:00"/>
    <s v="Ibuprofen"/>
    <x v="0"/>
    <s v="Medium"/>
    <s v="Under Treatment"/>
    <s v="High Risk"/>
    <x v="0"/>
  </r>
  <r>
    <x v="500"/>
    <n v="27"/>
    <x v="0"/>
    <s v="AB-"/>
    <x v="1"/>
    <d v="2020-07-27T00:00:00"/>
    <x v="498"/>
    <s v="Snyder-Parrish"/>
    <x v="0"/>
    <n v="28329.824069378799"/>
    <n v="470"/>
    <x v="1"/>
    <d v="2020-08-24T00:00:00"/>
    <s v="Aspirin"/>
    <x v="0"/>
    <s v="High"/>
    <s v="Under Treatment"/>
    <s v="High Risk"/>
    <x v="0"/>
  </r>
  <r>
    <x v="501"/>
    <n v="24"/>
    <x v="0"/>
    <s v="AB-"/>
    <x v="2"/>
    <d v="2021-03-28T00:00:00"/>
    <x v="499"/>
    <s v="Inc Bryant"/>
    <x v="3"/>
    <n v="24130.516754629301"/>
    <n v="214"/>
    <x v="0"/>
    <d v="2021-04-05T00:00:00"/>
    <s v="Paracetamol"/>
    <x v="1"/>
    <s v="High"/>
    <s v="Under Treatment"/>
    <s v="High Risk"/>
    <x v="0"/>
  </r>
  <r>
    <x v="502"/>
    <n v="63"/>
    <x v="0"/>
    <s v="A-"/>
    <x v="2"/>
    <d v="2022-05-08T00:00:00"/>
    <x v="500"/>
    <s v="Williams Inc"/>
    <x v="4"/>
    <n v="22361.147596566199"/>
    <n v="445"/>
    <x v="1"/>
    <d v="2022-05-10T00:00:00"/>
    <s v="Paracetamol"/>
    <x v="0"/>
    <s v="High"/>
    <s v="Under Treatment"/>
    <s v="High Risk"/>
    <x v="1"/>
  </r>
  <r>
    <x v="503"/>
    <n v="35"/>
    <x v="1"/>
    <s v="AB+"/>
    <x v="5"/>
    <d v="2023-10-31T00:00:00"/>
    <x v="501"/>
    <s v="Williams Dillon White, and"/>
    <x v="2"/>
    <n v="30986.932516935402"/>
    <n v="346"/>
    <x v="0"/>
    <d v="2023-11-21T00:00:00"/>
    <s v="Paracetamol"/>
    <x v="2"/>
    <s v="High"/>
    <s v="Under Treatment"/>
    <s v="High Risk"/>
    <x v="0"/>
  </r>
  <r>
    <x v="504"/>
    <n v="80"/>
    <x v="1"/>
    <s v="B+"/>
    <x v="1"/>
    <d v="2021-12-09T00:00:00"/>
    <x v="502"/>
    <s v="Gardner Group"/>
    <x v="1"/>
    <n v="11086.7304763579"/>
    <n v="482"/>
    <x v="0"/>
    <d v="2021-12-12T00:00:00"/>
    <s v="Lipitor"/>
    <x v="1"/>
    <s v="Medium"/>
    <s v="Under Treatment"/>
    <s v="High Risk"/>
    <x v="2"/>
  </r>
  <r>
    <x v="505"/>
    <n v="31"/>
    <x v="0"/>
    <s v="O-"/>
    <x v="1"/>
    <d v="2024-01-10T00:00:00"/>
    <x v="503"/>
    <s v="Garcia-Blake"/>
    <x v="1"/>
    <n v="28483.876936659799"/>
    <n v="265"/>
    <x v="0"/>
    <d v="2024-02-02T00:00:00"/>
    <s v="Lipitor"/>
    <x v="2"/>
    <s v="High"/>
    <s v="Under Treatment"/>
    <s v="High Risk"/>
    <x v="0"/>
  </r>
  <r>
    <x v="506"/>
    <n v="82"/>
    <x v="0"/>
    <s v="AB+"/>
    <x v="3"/>
    <d v="2022-01-05T00:00:00"/>
    <x v="504"/>
    <s v="Kim-Ibarra"/>
    <x v="1"/>
    <n v="27878.850837775899"/>
    <n v="472"/>
    <x v="2"/>
    <d v="2022-01-11T00:00:00"/>
    <s v="Ibuprofen"/>
    <x v="0"/>
    <s v="High"/>
    <s v="Under Treatment"/>
    <s v="High Risk"/>
    <x v="2"/>
  </r>
  <r>
    <x v="507"/>
    <n v="77"/>
    <x v="1"/>
    <s v="O+"/>
    <x v="5"/>
    <d v="2022-11-17T00:00:00"/>
    <x v="505"/>
    <s v="Cross Ltd"/>
    <x v="2"/>
    <n v="30575.764602708899"/>
    <n v="116"/>
    <x v="0"/>
    <d v="2022-12-15T00:00:00"/>
    <s v="Paracetamol"/>
    <x v="2"/>
    <s v="High"/>
    <s v="Under Treatment"/>
    <s v="High Risk"/>
    <x v="2"/>
  </r>
  <r>
    <x v="508"/>
    <n v="70"/>
    <x v="1"/>
    <s v="A+"/>
    <x v="2"/>
    <d v="2020-04-20T00:00:00"/>
    <x v="506"/>
    <s v="Group Santana"/>
    <x v="1"/>
    <n v="7422.7252599488202"/>
    <n v="496"/>
    <x v="2"/>
    <d v="2020-04-23T00:00:00"/>
    <s v="Lipitor"/>
    <x v="2"/>
    <s v="Medium"/>
    <s v="Under Treatment"/>
    <s v="High Risk"/>
    <x v="2"/>
  </r>
  <r>
    <x v="509"/>
    <n v="29"/>
    <x v="0"/>
    <s v="O+"/>
    <x v="3"/>
    <d v="2022-04-06T00:00:00"/>
    <x v="507"/>
    <s v="Martin-Rice"/>
    <x v="3"/>
    <n v="48574.8324380657"/>
    <n v="448"/>
    <x v="2"/>
    <d v="2022-04-30T00:00:00"/>
    <s v="Penicillin"/>
    <x v="1"/>
    <s v="High"/>
    <s v="Under Treatment"/>
    <s v="High Risk"/>
    <x v="0"/>
  </r>
  <r>
    <x v="510"/>
    <n v="70"/>
    <x v="0"/>
    <s v="AB+"/>
    <x v="1"/>
    <d v="2020-03-07T00:00:00"/>
    <x v="508"/>
    <s v="Barnes-Williams"/>
    <x v="3"/>
    <n v="7409.3365463680202"/>
    <n v="418"/>
    <x v="2"/>
    <d v="2020-03-29T00:00:00"/>
    <s v="Aspirin"/>
    <x v="0"/>
    <s v="Medium"/>
    <s v="Under Treatment"/>
    <s v="High Risk"/>
    <x v="2"/>
  </r>
  <r>
    <x v="511"/>
    <n v="50"/>
    <x v="1"/>
    <s v="B+"/>
    <x v="5"/>
    <d v="2022-07-02T00:00:00"/>
    <x v="509"/>
    <s v="Rodriguez Harris, Willis and"/>
    <x v="1"/>
    <n v="47551.570142530101"/>
    <n v="179"/>
    <x v="2"/>
    <d v="2022-07-15T00:00:00"/>
    <s v="Ibuprofen"/>
    <x v="1"/>
    <s v="High"/>
    <s v="Under Treatment"/>
    <s v="High Risk"/>
    <x v="3"/>
  </r>
  <r>
    <x v="512"/>
    <n v="52"/>
    <x v="1"/>
    <s v="O+"/>
    <x v="3"/>
    <d v="2019-06-18T00:00:00"/>
    <x v="510"/>
    <s v="Santana Garcia, Alexander and"/>
    <x v="2"/>
    <n v="42301.914619339703"/>
    <n v="132"/>
    <x v="2"/>
    <d v="2019-07-08T00:00:00"/>
    <s v="Aspirin"/>
    <x v="2"/>
    <s v="High"/>
    <s v="Under Treatment"/>
    <s v="High Risk"/>
    <x v="1"/>
  </r>
  <r>
    <x v="513"/>
    <n v="70"/>
    <x v="0"/>
    <s v="A-"/>
    <x v="0"/>
    <d v="2022-01-06T00:00:00"/>
    <x v="511"/>
    <s v="Brown-Clark"/>
    <x v="4"/>
    <n v="10003.671027381701"/>
    <n v="169"/>
    <x v="2"/>
    <d v="2022-01-27T00:00:00"/>
    <s v="Paracetamol"/>
    <x v="0"/>
    <s v="Medium"/>
    <s v="Under Treatment"/>
    <s v="High Risk"/>
    <x v="2"/>
  </r>
  <r>
    <x v="514"/>
    <n v="74"/>
    <x v="0"/>
    <s v="AB-"/>
    <x v="4"/>
    <d v="2022-12-09T00:00:00"/>
    <x v="512"/>
    <s v="Gomez-Smith"/>
    <x v="4"/>
    <n v="10722.4950696961"/>
    <n v="206"/>
    <x v="2"/>
    <d v="2022-12-28T00:00:00"/>
    <s v="Penicillin"/>
    <x v="1"/>
    <s v="Medium"/>
    <s v="Under Treatment"/>
    <s v="High Risk"/>
    <x v="2"/>
  </r>
  <r>
    <x v="515"/>
    <n v="75"/>
    <x v="1"/>
    <s v="O+"/>
    <x v="1"/>
    <d v="2020-06-14T00:00:00"/>
    <x v="513"/>
    <s v="Hall Lee Bailey, and"/>
    <x v="0"/>
    <n v="47516.520546428401"/>
    <n v="356"/>
    <x v="0"/>
    <d v="2020-06-20T00:00:00"/>
    <s v="Lipitor"/>
    <x v="0"/>
    <s v="High"/>
    <s v="Under Treatment"/>
    <s v="High Risk"/>
    <x v="2"/>
  </r>
  <r>
    <x v="516"/>
    <n v="61"/>
    <x v="0"/>
    <s v="B+"/>
    <x v="1"/>
    <d v="2021-03-12T00:00:00"/>
    <x v="514"/>
    <s v="Brennan Bentley, and Hunter"/>
    <x v="4"/>
    <n v="41379.382614866401"/>
    <n v="354"/>
    <x v="0"/>
    <d v="2021-03-25T00:00:00"/>
    <s v="Lipitor"/>
    <x v="1"/>
    <s v="High"/>
    <s v="Under Treatment"/>
    <s v="High Risk"/>
    <x v="1"/>
  </r>
  <r>
    <x v="517"/>
    <n v="51"/>
    <x v="1"/>
    <s v="A-"/>
    <x v="1"/>
    <d v="2019-12-08T00:00:00"/>
    <x v="515"/>
    <s v="Anderson Group"/>
    <x v="4"/>
    <n v="32006.031565887999"/>
    <n v="200"/>
    <x v="0"/>
    <d v="2020-01-05T00:00:00"/>
    <s v="Penicillin"/>
    <x v="0"/>
    <s v="High"/>
    <s v="Under Treatment"/>
    <s v="High Risk"/>
    <x v="1"/>
  </r>
  <r>
    <x v="518"/>
    <n v="37"/>
    <x v="1"/>
    <s v="A-"/>
    <x v="5"/>
    <d v="2023-06-19T00:00:00"/>
    <x v="516"/>
    <s v="Walsh, Howell and Jennings"/>
    <x v="3"/>
    <n v="14405.939243142"/>
    <n v="312"/>
    <x v="2"/>
    <d v="2023-07-14T00:00:00"/>
    <s v="Lipitor"/>
    <x v="1"/>
    <s v="Medium"/>
    <s v="Under Treatment"/>
    <s v="High Risk"/>
    <x v="3"/>
  </r>
  <r>
    <x v="519"/>
    <n v="51"/>
    <x v="0"/>
    <s v="B+"/>
    <x v="4"/>
    <d v="2019-05-10T00:00:00"/>
    <x v="517"/>
    <s v="Haney-Marshall"/>
    <x v="3"/>
    <n v="24691.249050914401"/>
    <n v="484"/>
    <x v="0"/>
    <d v="2019-06-07T00:00:00"/>
    <s v="Penicillin"/>
    <x v="0"/>
    <s v="High"/>
    <s v="Under Treatment"/>
    <s v="High Risk"/>
    <x v="1"/>
  </r>
  <r>
    <x v="520"/>
    <n v="70"/>
    <x v="0"/>
    <s v="B-"/>
    <x v="3"/>
    <d v="2019-10-27T00:00:00"/>
    <x v="518"/>
    <s v="Johnson, and Petty Rubio"/>
    <x v="0"/>
    <n v="37861.5091105963"/>
    <n v="428"/>
    <x v="1"/>
    <d v="2019-11-12T00:00:00"/>
    <s v="Lipitor"/>
    <x v="0"/>
    <s v="High"/>
    <s v="Under Treatment"/>
    <s v="High Risk"/>
    <x v="2"/>
  </r>
  <r>
    <x v="521"/>
    <n v="60"/>
    <x v="1"/>
    <s v="B+"/>
    <x v="0"/>
    <d v="2022-08-27T00:00:00"/>
    <x v="519"/>
    <s v="Morse, Hudson Williams and"/>
    <x v="2"/>
    <n v="22952.729823687001"/>
    <n v="342"/>
    <x v="2"/>
    <d v="2022-09-15T00:00:00"/>
    <s v="Penicillin"/>
    <x v="0"/>
    <s v="High"/>
    <s v="Under Treatment"/>
    <s v="High Risk"/>
    <x v="1"/>
  </r>
  <r>
    <x v="522"/>
    <n v="45"/>
    <x v="1"/>
    <s v="A+"/>
    <x v="5"/>
    <d v="2019-08-08T00:00:00"/>
    <x v="520"/>
    <s v="Kane, and Dickson Schwartz"/>
    <x v="3"/>
    <n v="2735.0315749023698"/>
    <n v="497"/>
    <x v="1"/>
    <d v="2019-08-14T00:00:00"/>
    <s v="Penicillin"/>
    <x v="1"/>
    <s v="Low"/>
    <s v="Under Treatment"/>
    <s v="High Risk"/>
    <x v="3"/>
  </r>
  <r>
    <x v="523"/>
    <n v="30"/>
    <x v="0"/>
    <s v="A-"/>
    <x v="5"/>
    <d v="2023-02-12T00:00:00"/>
    <x v="521"/>
    <s v="Inc Mccullough"/>
    <x v="1"/>
    <n v="37755.480777675701"/>
    <n v="128"/>
    <x v="2"/>
    <d v="2023-02-17T00:00:00"/>
    <s v="Paracetamol"/>
    <x v="0"/>
    <s v="High"/>
    <s v="Under Treatment"/>
    <s v="High Risk"/>
    <x v="0"/>
  </r>
  <r>
    <x v="524"/>
    <n v="35"/>
    <x v="0"/>
    <s v="A+"/>
    <x v="4"/>
    <d v="2021-05-04T00:00:00"/>
    <x v="522"/>
    <s v="Taylor-Wong"/>
    <x v="1"/>
    <n v="2691.04906433409"/>
    <n v="338"/>
    <x v="2"/>
    <d v="2021-05-10T00:00:00"/>
    <s v="Penicillin"/>
    <x v="1"/>
    <s v="Low"/>
    <s v="Under Treatment"/>
    <s v="High Risk"/>
    <x v="0"/>
  </r>
  <r>
    <x v="525"/>
    <n v="51"/>
    <x v="1"/>
    <s v="O+"/>
    <x v="1"/>
    <d v="2021-07-11T00:00:00"/>
    <x v="523"/>
    <s v="Avery-Roy"/>
    <x v="2"/>
    <n v="7897.2874849056698"/>
    <n v="335"/>
    <x v="2"/>
    <d v="2021-07-28T00:00:00"/>
    <s v="Lipitor"/>
    <x v="0"/>
    <s v="Medium"/>
    <s v="Under Treatment"/>
    <s v="High Risk"/>
    <x v="1"/>
  </r>
  <r>
    <x v="526"/>
    <n v="61"/>
    <x v="0"/>
    <s v="A+"/>
    <x v="2"/>
    <d v="2021-02-10T00:00:00"/>
    <x v="524"/>
    <s v="LLC Anderson"/>
    <x v="1"/>
    <n v="4446.3429168297298"/>
    <n v="345"/>
    <x v="1"/>
    <d v="2021-02-18T00:00:00"/>
    <s v="Lipitor"/>
    <x v="1"/>
    <s v="Low"/>
    <s v="Under Treatment"/>
    <s v="High Risk"/>
    <x v="1"/>
  </r>
  <r>
    <x v="527"/>
    <n v="52"/>
    <x v="1"/>
    <s v="AB+"/>
    <x v="2"/>
    <d v="2021-10-16T00:00:00"/>
    <x v="525"/>
    <s v="Castaneda-Young"/>
    <x v="0"/>
    <n v="20852.1463661622"/>
    <n v="380"/>
    <x v="2"/>
    <d v="2021-11-04T00:00:00"/>
    <s v="Penicillin"/>
    <x v="0"/>
    <s v="High"/>
    <s v="Under Treatment"/>
    <s v="High Risk"/>
    <x v="1"/>
  </r>
  <r>
    <x v="528"/>
    <n v="64"/>
    <x v="1"/>
    <s v="B+"/>
    <x v="2"/>
    <d v="2019-10-03T00:00:00"/>
    <x v="526"/>
    <s v="and Thomas Strong, Cook"/>
    <x v="3"/>
    <n v="47701.477432869098"/>
    <n v="109"/>
    <x v="0"/>
    <d v="2019-10-25T00:00:00"/>
    <s v="Lipitor"/>
    <x v="1"/>
    <s v="High"/>
    <s v="Under Treatment"/>
    <s v="High Risk"/>
    <x v="1"/>
  </r>
  <r>
    <x v="529"/>
    <n v="25"/>
    <x v="0"/>
    <s v="A+"/>
    <x v="1"/>
    <d v="2020-04-26T00:00:00"/>
    <x v="527"/>
    <s v="Wells-Price"/>
    <x v="2"/>
    <n v="49934.1379634404"/>
    <n v="258"/>
    <x v="2"/>
    <d v="2020-05-02T00:00:00"/>
    <s v="Aspirin"/>
    <x v="2"/>
    <s v="High"/>
    <s v="Under Treatment"/>
    <s v="High Risk"/>
    <x v="0"/>
  </r>
  <r>
    <x v="530"/>
    <n v="76"/>
    <x v="1"/>
    <s v="B-"/>
    <x v="1"/>
    <d v="2019-09-13T00:00:00"/>
    <x v="528"/>
    <s v="Rios Ltd"/>
    <x v="1"/>
    <n v="17263.948978830798"/>
    <n v="394"/>
    <x v="1"/>
    <d v="2019-09-19T00:00:00"/>
    <s v="Penicillin"/>
    <x v="2"/>
    <s v="High"/>
    <s v="Under Treatment"/>
    <s v="High Risk"/>
    <x v="2"/>
  </r>
  <r>
    <x v="531"/>
    <n v="77"/>
    <x v="0"/>
    <s v="B+"/>
    <x v="1"/>
    <d v="2023-10-14T00:00:00"/>
    <x v="529"/>
    <s v="Brooks LLC"/>
    <x v="1"/>
    <n v="10057.9155776424"/>
    <n v="130"/>
    <x v="2"/>
    <d v="2023-11-04T00:00:00"/>
    <s v="Paracetamol"/>
    <x v="2"/>
    <s v="Medium"/>
    <s v="Under Treatment"/>
    <s v="High Risk"/>
    <x v="2"/>
  </r>
  <r>
    <x v="532"/>
    <n v="57"/>
    <x v="1"/>
    <s v="B-"/>
    <x v="0"/>
    <d v="2023-12-05T00:00:00"/>
    <x v="530"/>
    <s v="Henderson Carpenter and Barrett,"/>
    <x v="0"/>
    <n v="3548.0516482337398"/>
    <n v="431"/>
    <x v="2"/>
    <d v="2023-12-31T00:00:00"/>
    <s v="Lipitor"/>
    <x v="2"/>
    <s v="Low"/>
    <s v="Under Treatment"/>
    <s v="High Risk"/>
    <x v="1"/>
  </r>
  <r>
    <x v="533"/>
    <n v="54"/>
    <x v="0"/>
    <s v="B+"/>
    <x v="5"/>
    <d v="2021-02-01T00:00:00"/>
    <x v="531"/>
    <s v="Mcdaniel-Walsh"/>
    <x v="3"/>
    <n v="10011.290745005301"/>
    <n v="145"/>
    <x v="1"/>
    <d v="2021-02-07T00:00:00"/>
    <s v="Lipitor"/>
    <x v="1"/>
    <s v="Medium"/>
    <s v="Under Treatment"/>
    <s v="High Risk"/>
    <x v="1"/>
  </r>
  <r>
    <x v="534"/>
    <n v="62"/>
    <x v="0"/>
    <s v="A-"/>
    <x v="0"/>
    <d v="2022-06-30T00:00:00"/>
    <x v="532"/>
    <s v="Ross-Jones"/>
    <x v="0"/>
    <n v="14876.3342210964"/>
    <n v="396"/>
    <x v="0"/>
    <d v="2022-07-01T00:00:00"/>
    <s v="Lipitor"/>
    <x v="1"/>
    <s v="Medium"/>
    <s v="Under Treatment"/>
    <s v="High Risk"/>
    <x v="1"/>
  </r>
  <r>
    <x v="535"/>
    <n v="37"/>
    <x v="0"/>
    <s v="B-"/>
    <x v="5"/>
    <d v="2023-11-09T00:00:00"/>
    <x v="533"/>
    <s v="Mathews, Smith and Moss"/>
    <x v="1"/>
    <n v="30294.651380458599"/>
    <n v="216"/>
    <x v="2"/>
    <d v="2023-11-29T00:00:00"/>
    <s v="Penicillin"/>
    <x v="0"/>
    <s v="High"/>
    <s v="Under Treatment"/>
    <s v="High Risk"/>
    <x v="3"/>
  </r>
  <r>
    <x v="536"/>
    <n v="56"/>
    <x v="1"/>
    <s v="B+"/>
    <x v="4"/>
    <d v="2020-07-30T00:00:00"/>
    <x v="534"/>
    <s v="and Lawrence, Williams Thomas"/>
    <x v="0"/>
    <n v="45888.7048579736"/>
    <n v="365"/>
    <x v="2"/>
    <d v="2020-08-10T00:00:00"/>
    <s v="Paracetamol"/>
    <x v="2"/>
    <s v="High"/>
    <s v="Under Treatment"/>
    <s v="High Risk"/>
    <x v="1"/>
  </r>
  <r>
    <x v="537"/>
    <n v="68"/>
    <x v="1"/>
    <s v="O+"/>
    <x v="5"/>
    <d v="2022-04-10T00:00:00"/>
    <x v="535"/>
    <s v="Wilkerson Group"/>
    <x v="3"/>
    <n v="31958.396616156999"/>
    <n v="203"/>
    <x v="2"/>
    <d v="2022-04-19T00:00:00"/>
    <s v="Lipitor"/>
    <x v="0"/>
    <s v="High"/>
    <s v="Under Treatment"/>
    <s v="High Risk"/>
    <x v="2"/>
  </r>
  <r>
    <x v="538"/>
    <n v="46"/>
    <x v="0"/>
    <s v="A-"/>
    <x v="1"/>
    <d v="2020-01-02T00:00:00"/>
    <x v="536"/>
    <s v="Villanueva-Garcia"/>
    <x v="1"/>
    <n v="22645.786100995902"/>
    <n v="169"/>
    <x v="0"/>
    <d v="2020-01-16T00:00:00"/>
    <s v="Paracetamol"/>
    <x v="0"/>
    <s v="High"/>
    <s v="Under Treatment"/>
    <s v="High Risk"/>
    <x v="3"/>
  </r>
  <r>
    <x v="539"/>
    <n v="62"/>
    <x v="0"/>
    <s v="B-"/>
    <x v="4"/>
    <d v="2023-11-10T00:00:00"/>
    <x v="537"/>
    <s v="Duffy-Bowman"/>
    <x v="1"/>
    <n v="21297.406511963502"/>
    <n v="362"/>
    <x v="1"/>
    <d v="2023-12-01T00:00:00"/>
    <s v="Paracetamol"/>
    <x v="2"/>
    <s v="High"/>
    <s v="Under Treatment"/>
    <s v="High Risk"/>
    <x v="1"/>
  </r>
  <r>
    <x v="540"/>
    <n v="75"/>
    <x v="0"/>
    <s v="B-"/>
    <x v="4"/>
    <d v="2022-07-16T00:00:00"/>
    <x v="538"/>
    <s v="James Inc"/>
    <x v="4"/>
    <n v="6336.7080137760604"/>
    <n v="428"/>
    <x v="1"/>
    <d v="2022-08-13T00:00:00"/>
    <s v="Ibuprofen"/>
    <x v="0"/>
    <s v="Medium"/>
    <s v="Under Treatment"/>
    <s v="High Risk"/>
    <x v="2"/>
  </r>
  <r>
    <x v="541"/>
    <n v="51"/>
    <x v="1"/>
    <s v="AB+"/>
    <x v="5"/>
    <d v="2020-04-30T00:00:00"/>
    <x v="539"/>
    <s v="Montgomery-Anthony"/>
    <x v="3"/>
    <n v="10710.3257208337"/>
    <n v="461"/>
    <x v="0"/>
    <d v="2020-05-22T00:00:00"/>
    <s v="Penicillin"/>
    <x v="2"/>
    <s v="Medium"/>
    <s v="Under Treatment"/>
    <s v="High Risk"/>
    <x v="1"/>
  </r>
  <r>
    <x v="542"/>
    <n v="64"/>
    <x v="0"/>
    <s v="AB+"/>
    <x v="3"/>
    <d v="2021-01-12T00:00:00"/>
    <x v="540"/>
    <s v="Davis-Padilla"/>
    <x v="0"/>
    <n v="25066.521450249398"/>
    <n v="454"/>
    <x v="0"/>
    <d v="2021-01-25T00:00:00"/>
    <s v="Ibuprofen"/>
    <x v="2"/>
    <s v="High"/>
    <s v="Under Treatment"/>
    <s v="High Risk"/>
    <x v="1"/>
  </r>
  <r>
    <x v="543"/>
    <n v="49"/>
    <x v="1"/>
    <s v="O-"/>
    <x v="5"/>
    <d v="2019-05-23T00:00:00"/>
    <x v="541"/>
    <s v="Ellison-Hayden"/>
    <x v="4"/>
    <n v="13396.900169397801"/>
    <n v="273"/>
    <x v="1"/>
    <d v="2019-06-02T00:00:00"/>
    <s v="Paracetamol"/>
    <x v="0"/>
    <s v="Medium"/>
    <s v="Under Treatment"/>
    <s v="High Risk"/>
    <x v="3"/>
  </r>
  <r>
    <x v="544"/>
    <n v="74"/>
    <x v="0"/>
    <s v="A+"/>
    <x v="1"/>
    <d v="2023-04-23T00:00:00"/>
    <x v="542"/>
    <s v="Long-Lee"/>
    <x v="0"/>
    <n v="29822.097860118"/>
    <n v="231"/>
    <x v="1"/>
    <d v="2023-05-09T00:00:00"/>
    <s v="Lipitor"/>
    <x v="0"/>
    <s v="High"/>
    <s v="Under Treatment"/>
    <s v="High Risk"/>
    <x v="2"/>
  </r>
  <r>
    <x v="545"/>
    <n v="52"/>
    <x v="1"/>
    <s v="A-"/>
    <x v="5"/>
    <d v="2020-10-25T00:00:00"/>
    <x v="543"/>
    <s v="and Sons Dixon"/>
    <x v="2"/>
    <n v="33708.8575442648"/>
    <n v="191"/>
    <x v="2"/>
    <d v="2020-11-04T00:00:00"/>
    <s v="Lipitor"/>
    <x v="2"/>
    <s v="High"/>
    <s v="Under Treatment"/>
    <s v="High Risk"/>
    <x v="1"/>
  </r>
  <r>
    <x v="546"/>
    <n v="58"/>
    <x v="1"/>
    <s v="B-"/>
    <x v="1"/>
    <d v="2021-04-08T00:00:00"/>
    <x v="544"/>
    <s v="Clark, Garza Tate and"/>
    <x v="4"/>
    <n v="40825.0846667644"/>
    <n v="231"/>
    <x v="2"/>
    <d v="2021-05-01T00:00:00"/>
    <s v="Ibuprofen"/>
    <x v="0"/>
    <s v="High"/>
    <s v="Under Treatment"/>
    <s v="High Risk"/>
    <x v="1"/>
  </r>
  <r>
    <x v="547"/>
    <n v="21"/>
    <x v="0"/>
    <s v="B-"/>
    <x v="5"/>
    <d v="2020-09-09T00:00:00"/>
    <x v="545"/>
    <s v="Bates Inc"/>
    <x v="2"/>
    <n v="27345.455201931902"/>
    <n v="371"/>
    <x v="1"/>
    <d v="2020-10-04T00:00:00"/>
    <s v="Aspirin"/>
    <x v="1"/>
    <s v="High"/>
    <s v="Under Treatment"/>
    <s v="High Risk"/>
    <x v="0"/>
  </r>
  <r>
    <x v="548"/>
    <n v="69"/>
    <x v="0"/>
    <s v="AB+"/>
    <x v="5"/>
    <d v="2019-12-06T00:00:00"/>
    <x v="546"/>
    <s v="LLC Sanford"/>
    <x v="2"/>
    <n v="38751.796520547301"/>
    <n v="439"/>
    <x v="1"/>
    <d v="2019-12-08T00:00:00"/>
    <s v="Ibuprofen"/>
    <x v="1"/>
    <s v="High"/>
    <s v="Under Treatment"/>
    <s v="High Risk"/>
    <x v="2"/>
  </r>
  <r>
    <x v="549"/>
    <n v="73"/>
    <x v="0"/>
    <s v="O-"/>
    <x v="5"/>
    <d v="2019-07-04T00:00:00"/>
    <x v="547"/>
    <s v="Johnson-Wilson"/>
    <x v="3"/>
    <n v="35419.512965816197"/>
    <n v="500"/>
    <x v="2"/>
    <d v="2019-07-06T00:00:00"/>
    <s v="Penicillin"/>
    <x v="2"/>
    <s v="High"/>
    <s v="Under Treatment"/>
    <s v="High Risk"/>
    <x v="2"/>
  </r>
  <r>
    <x v="550"/>
    <n v="44"/>
    <x v="0"/>
    <s v="AB+"/>
    <x v="4"/>
    <d v="2019-05-26T00:00:00"/>
    <x v="548"/>
    <s v="Delacruz-Chavez"/>
    <x v="1"/>
    <n v="3852.9471118220799"/>
    <n v="328"/>
    <x v="1"/>
    <d v="2019-06-08T00:00:00"/>
    <s v="Paracetamol"/>
    <x v="2"/>
    <s v="Low"/>
    <s v="Under Treatment"/>
    <s v="High Risk"/>
    <x v="3"/>
  </r>
  <r>
    <x v="551"/>
    <n v="45"/>
    <x v="0"/>
    <s v="AB-"/>
    <x v="2"/>
    <d v="2020-09-03T00:00:00"/>
    <x v="549"/>
    <s v="and Sons Ford"/>
    <x v="3"/>
    <n v="16648.547398710602"/>
    <n v="424"/>
    <x v="1"/>
    <d v="2020-09-15T00:00:00"/>
    <s v="Aspirin"/>
    <x v="0"/>
    <s v="High"/>
    <s v="Under Treatment"/>
    <s v="High Risk"/>
    <x v="3"/>
  </r>
  <r>
    <x v="552"/>
    <n v="44"/>
    <x v="0"/>
    <s v="B+"/>
    <x v="4"/>
    <d v="2019-12-20T00:00:00"/>
    <x v="550"/>
    <s v="Wood-Herring"/>
    <x v="4"/>
    <n v="32990.194386958203"/>
    <n v="486"/>
    <x v="2"/>
    <d v="2020-01-18T00:00:00"/>
    <s v="Ibuprofen"/>
    <x v="0"/>
    <s v="High"/>
    <s v="Under Treatment"/>
    <s v="High Risk"/>
    <x v="3"/>
  </r>
  <r>
    <x v="553"/>
    <n v="42"/>
    <x v="0"/>
    <s v="A+"/>
    <x v="1"/>
    <d v="2020-05-19T00:00:00"/>
    <x v="551"/>
    <s v="Brown-Henry"/>
    <x v="1"/>
    <n v="5947.6896496546497"/>
    <n v="196"/>
    <x v="1"/>
    <d v="2020-06-12T00:00:00"/>
    <s v="Aspirin"/>
    <x v="1"/>
    <s v="Medium"/>
    <s v="Under Treatment"/>
    <s v="High Risk"/>
    <x v="3"/>
  </r>
  <r>
    <x v="554"/>
    <n v="61"/>
    <x v="1"/>
    <s v="A+"/>
    <x v="2"/>
    <d v="2024-02-20T00:00:00"/>
    <x v="552"/>
    <s v="Sheppard-Livingston"/>
    <x v="4"/>
    <n v="28281.348378789698"/>
    <n v="477"/>
    <x v="1"/>
    <d v="2024-03-08T00:00:00"/>
    <s v="Penicillin"/>
    <x v="2"/>
    <s v="High"/>
    <s v="Under Treatment"/>
    <s v="High Risk"/>
    <x v="1"/>
  </r>
  <r>
    <x v="555"/>
    <n v="75"/>
    <x v="1"/>
    <s v="AB-"/>
    <x v="0"/>
    <d v="2023-08-31T00:00:00"/>
    <x v="553"/>
    <s v="Golden PLC"/>
    <x v="1"/>
    <n v="30873.619909168799"/>
    <n v="252"/>
    <x v="2"/>
    <d v="2023-09-07T00:00:00"/>
    <s v="Ibuprofen"/>
    <x v="1"/>
    <s v="High"/>
    <s v="Under Treatment"/>
    <s v="High Risk"/>
    <x v="2"/>
  </r>
  <r>
    <x v="556"/>
    <n v="85"/>
    <x v="0"/>
    <s v="A+"/>
    <x v="4"/>
    <d v="2023-01-19T00:00:00"/>
    <x v="554"/>
    <s v="and Perez, Bennett Townsend"/>
    <x v="4"/>
    <n v="9542.7397088854595"/>
    <n v="289"/>
    <x v="1"/>
    <d v="2023-01-28T00:00:00"/>
    <s v="Paracetamol"/>
    <x v="2"/>
    <s v="Medium"/>
    <s v="Under Treatment"/>
    <s v="High Risk"/>
    <x v="2"/>
  </r>
  <r>
    <x v="557"/>
    <n v="74"/>
    <x v="0"/>
    <s v="O-"/>
    <x v="1"/>
    <d v="2023-11-20T00:00:00"/>
    <x v="555"/>
    <s v="Johnson, and Benson Harris"/>
    <x v="0"/>
    <n v="32429.6191269396"/>
    <n v="191"/>
    <x v="1"/>
    <d v="2023-12-17T00:00:00"/>
    <s v="Ibuprofen"/>
    <x v="1"/>
    <s v="High"/>
    <s v="Under Treatment"/>
    <s v="High Risk"/>
    <x v="2"/>
  </r>
  <r>
    <x v="558"/>
    <n v="59"/>
    <x v="0"/>
    <s v="AB+"/>
    <x v="1"/>
    <d v="2021-07-28T00:00:00"/>
    <x v="556"/>
    <s v="and Clay, Morton Cunningham"/>
    <x v="4"/>
    <n v="5588.9938847347003"/>
    <n v="459"/>
    <x v="0"/>
    <d v="2021-08-03T00:00:00"/>
    <s v="Penicillin"/>
    <x v="0"/>
    <s v="Medium"/>
    <s v="Under Treatment"/>
    <s v="High Risk"/>
    <x v="1"/>
  </r>
  <r>
    <x v="559"/>
    <n v="49"/>
    <x v="0"/>
    <s v="A-"/>
    <x v="3"/>
    <d v="2023-04-04T00:00:00"/>
    <x v="557"/>
    <s v="Anderson-Estrada"/>
    <x v="3"/>
    <n v="31497.554875136098"/>
    <n v="265"/>
    <x v="1"/>
    <d v="2023-04-27T00:00:00"/>
    <s v="Lipitor"/>
    <x v="1"/>
    <s v="High"/>
    <s v="Under Treatment"/>
    <s v="High Risk"/>
    <x v="3"/>
  </r>
  <r>
    <x v="560"/>
    <n v="51"/>
    <x v="1"/>
    <s v="B+"/>
    <x v="4"/>
    <d v="2020-01-28T00:00:00"/>
    <x v="558"/>
    <s v="Gonzalez Inc"/>
    <x v="4"/>
    <n v="15422.042886846"/>
    <n v="154"/>
    <x v="0"/>
    <d v="2020-02-21T00:00:00"/>
    <s v="Ibuprofen"/>
    <x v="1"/>
    <s v="High"/>
    <s v="Under Treatment"/>
    <s v="High Risk"/>
    <x v="1"/>
  </r>
  <r>
    <x v="561"/>
    <n v="59"/>
    <x v="1"/>
    <s v="AB+"/>
    <x v="1"/>
    <d v="2020-03-18T00:00:00"/>
    <x v="559"/>
    <s v="and Vargas Reynolds Evans,"/>
    <x v="0"/>
    <n v="41632.524848102599"/>
    <n v="395"/>
    <x v="2"/>
    <d v="2020-03-25T00:00:00"/>
    <s v="Penicillin"/>
    <x v="0"/>
    <s v="High"/>
    <s v="Under Treatment"/>
    <s v="High Risk"/>
    <x v="1"/>
  </r>
  <r>
    <x v="562"/>
    <n v="25"/>
    <x v="1"/>
    <s v="AB-"/>
    <x v="2"/>
    <d v="2020-06-18T00:00:00"/>
    <x v="560"/>
    <s v="Cantu and Tanner Rojas,"/>
    <x v="1"/>
    <n v="7437.4187079969997"/>
    <n v="412"/>
    <x v="1"/>
    <d v="2020-06-23T00:00:00"/>
    <s v="Paracetamol"/>
    <x v="1"/>
    <s v="Medium"/>
    <s v="Under Treatment"/>
    <s v="High Risk"/>
    <x v="0"/>
  </r>
  <r>
    <x v="563"/>
    <n v="29"/>
    <x v="0"/>
    <s v="O-"/>
    <x v="0"/>
    <d v="2023-07-15T00:00:00"/>
    <x v="561"/>
    <s v="Thornton, Adams Mccarty and"/>
    <x v="1"/>
    <n v="38860.0208846444"/>
    <n v="436"/>
    <x v="2"/>
    <d v="2023-07-27T00:00:00"/>
    <s v="Aspirin"/>
    <x v="2"/>
    <s v="High"/>
    <s v="Under Treatment"/>
    <s v="High Risk"/>
    <x v="0"/>
  </r>
  <r>
    <x v="564"/>
    <n v="25"/>
    <x v="0"/>
    <s v="A-"/>
    <x v="4"/>
    <d v="2023-10-02T00:00:00"/>
    <x v="562"/>
    <s v="Cantrell-Griffith"/>
    <x v="4"/>
    <n v="6662.2428539442099"/>
    <n v="249"/>
    <x v="0"/>
    <d v="2023-10-24T00:00:00"/>
    <s v="Ibuprofen"/>
    <x v="1"/>
    <s v="Medium"/>
    <s v="Under Treatment"/>
    <s v="High Risk"/>
    <x v="0"/>
  </r>
  <r>
    <x v="565"/>
    <n v="61"/>
    <x v="0"/>
    <s v="B-"/>
    <x v="2"/>
    <d v="2021-01-13T00:00:00"/>
    <x v="563"/>
    <s v="Martin Group"/>
    <x v="4"/>
    <n v="13074.2152801333"/>
    <n v="147"/>
    <x v="0"/>
    <d v="2021-02-05T00:00:00"/>
    <s v="Aspirin"/>
    <x v="1"/>
    <s v="Medium"/>
    <s v="Under Treatment"/>
    <s v="High Risk"/>
    <x v="1"/>
  </r>
  <r>
    <x v="566"/>
    <n v="54"/>
    <x v="0"/>
    <s v="AB-"/>
    <x v="4"/>
    <d v="2019-10-22T00:00:00"/>
    <x v="564"/>
    <s v="Ramirez-Hill"/>
    <x v="0"/>
    <n v="20227.039404011601"/>
    <n v="144"/>
    <x v="1"/>
    <d v="2019-11-01T00:00:00"/>
    <s v="Aspirin"/>
    <x v="2"/>
    <s v="High"/>
    <s v="Under Treatment"/>
    <s v="High Risk"/>
    <x v="1"/>
  </r>
  <r>
    <x v="567"/>
    <n v="41"/>
    <x v="0"/>
    <s v="A+"/>
    <x v="1"/>
    <d v="2019-08-09T00:00:00"/>
    <x v="565"/>
    <s v="Jackson-Butler"/>
    <x v="1"/>
    <n v="38779.207874658103"/>
    <n v="268"/>
    <x v="1"/>
    <d v="2019-09-03T00:00:00"/>
    <s v="Paracetamol"/>
    <x v="2"/>
    <s v="High"/>
    <s v="Under Treatment"/>
    <s v="High Risk"/>
    <x v="3"/>
  </r>
  <r>
    <x v="568"/>
    <n v="21"/>
    <x v="1"/>
    <s v="O-"/>
    <x v="3"/>
    <d v="2023-12-30T00:00:00"/>
    <x v="566"/>
    <s v="Miller-Avila"/>
    <x v="2"/>
    <n v="4561.6642072855602"/>
    <n v="357"/>
    <x v="2"/>
    <d v="2024-01-27T00:00:00"/>
    <s v="Lipitor"/>
    <x v="2"/>
    <s v="Low"/>
    <s v="Under Treatment"/>
    <s v="High Risk"/>
    <x v="0"/>
  </r>
  <r>
    <x v="569"/>
    <n v="38"/>
    <x v="1"/>
    <s v="AB+"/>
    <x v="2"/>
    <d v="2022-07-11T00:00:00"/>
    <x v="567"/>
    <s v="Reyes-Crawford"/>
    <x v="1"/>
    <n v="1656.5482170529599"/>
    <n v="176"/>
    <x v="2"/>
    <d v="2022-08-03T00:00:00"/>
    <s v="Lipitor"/>
    <x v="2"/>
    <s v="Low"/>
    <s v="Under Treatment"/>
    <s v="High Risk"/>
    <x v="3"/>
  </r>
  <r>
    <x v="570"/>
    <n v="75"/>
    <x v="0"/>
    <s v="AB+"/>
    <x v="1"/>
    <d v="2020-09-19T00:00:00"/>
    <x v="568"/>
    <s v="Marshall-Smith"/>
    <x v="2"/>
    <n v="28463.8609852708"/>
    <n v="200"/>
    <x v="1"/>
    <d v="2020-10-06T00:00:00"/>
    <s v="Penicillin"/>
    <x v="1"/>
    <s v="High"/>
    <s v="Under Treatment"/>
    <s v="High Risk"/>
    <x v="2"/>
  </r>
  <r>
    <x v="571"/>
    <n v="44"/>
    <x v="0"/>
    <s v="B+"/>
    <x v="0"/>
    <d v="2019-09-06T00:00:00"/>
    <x v="569"/>
    <s v="and Peterson Matthews Robinson,"/>
    <x v="3"/>
    <n v="5268.69045746545"/>
    <n v="142"/>
    <x v="0"/>
    <d v="2019-09-07T00:00:00"/>
    <s v="Ibuprofen"/>
    <x v="1"/>
    <s v="Medium"/>
    <s v="Under Treatment"/>
    <s v="High Risk"/>
    <x v="3"/>
  </r>
  <r>
    <x v="572"/>
    <n v="23"/>
    <x v="0"/>
    <s v="O-"/>
    <x v="1"/>
    <d v="2019-11-22T00:00:00"/>
    <x v="570"/>
    <s v="Nelson PLC"/>
    <x v="4"/>
    <n v="24011.702249255701"/>
    <n v="442"/>
    <x v="1"/>
    <d v="2019-12-22T00:00:00"/>
    <s v="Paracetamol"/>
    <x v="1"/>
    <s v="High"/>
    <s v="Under Treatment"/>
    <s v="High Risk"/>
    <x v="0"/>
  </r>
  <r>
    <x v="573"/>
    <n v="45"/>
    <x v="1"/>
    <s v="B-"/>
    <x v="0"/>
    <d v="2020-07-22T00:00:00"/>
    <x v="571"/>
    <s v="Perez-Mitchell"/>
    <x v="1"/>
    <n v="18467.079449113498"/>
    <n v="177"/>
    <x v="2"/>
    <d v="2020-07-24T00:00:00"/>
    <s v="Penicillin"/>
    <x v="2"/>
    <s v="High"/>
    <s v="Under Treatment"/>
    <s v="High Risk"/>
    <x v="3"/>
  </r>
  <r>
    <x v="574"/>
    <n v="58"/>
    <x v="0"/>
    <s v="B+"/>
    <x v="0"/>
    <d v="2022-03-01T00:00:00"/>
    <x v="572"/>
    <s v="Gross, Thompson Smith and"/>
    <x v="2"/>
    <n v="3782.7414157908502"/>
    <n v="134"/>
    <x v="0"/>
    <d v="2022-03-19T00:00:00"/>
    <s v="Paracetamol"/>
    <x v="2"/>
    <s v="Low"/>
    <s v="Under Treatment"/>
    <s v="High Risk"/>
    <x v="1"/>
  </r>
  <r>
    <x v="575"/>
    <n v="34"/>
    <x v="0"/>
    <s v="B-"/>
    <x v="2"/>
    <d v="2023-03-01T00:00:00"/>
    <x v="573"/>
    <s v="Burch, Moore and Thompson"/>
    <x v="2"/>
    <n v="11921.6595106981"/>
    <n v="355"/>
    <x v="0"/>
    <d v="2023-03-21T00:00:00"/>
    <s v="Ibuprofen"/>
    <x v="1"/>
    <s v="Medium"/>
    <s v="Under Treatment"/>
    <s v="High Risk"/>
    <x v="0"/>
  </r>
  <r>
    <x v="576"/>
    <n v="54"/>
    <x v="1"/>
    <s v="B+"/>
    <x v="1"/>
    <d v="2021-04-22T00:00:00"/>
    <x v="574"/>
    <s v="Hamilton Group"/>
    <x v="4"/>
    <n v="16725.979586496898"/>
    <n v="361"/>
    <x v="0"/>
    <d v="2021-05-11T00:00:00"/>
    <s v="Lipitor"/>
    <x v="2"/>
    <s v="High"/>
    <s v="Under Treatment"/>
    <s v="High Risk"/>
    <x v="1"/>
  </r>
  <r>
    <x v="577"/>
    <n v="29"/>
    <x v="1"/>
    <s v="A+"/>
    <x v="1"/>
    <d v="2020-09-23T00:00:00"/>
    <x v="575"/>
    <s v="Shaw LLC"/>
    <x v="4"/>
    <n v="39700.824123397702"/>
    <n v="421"/>
    <x v="0"/>
    <d v="2020-09-25T00:00:00"/>
    <s v="Paracetamol"/>
    <x v="1"/>
    <s v="High"/>
    <s v="Under Treatment"/>
    <s v="High Risk"/>
    <x v="0"/>
  </r>
  <r>
    <x v="578"/>
    <n v="54"/>
    <x v="1"/>
    <s v="A+"/>
    <x v="0"/>
    <d v="2023-01-08T00:00:00"/>
    <x v="576"/>
    <s v="and Day, Lewis Coleman"/>
    <x v="1"/>
    <n v="2568.0119666809801"/>
    <n v="136"/>
    <x v="1"/>
    <d v="2023-01-19T00:00:00"/>
    <s v="Lipitor"/>
    <x v="2"/>
    <s v="Low"/>
    <s v="Under Treatment"/>
    <s v="High Risk"/>
    <x v="1"/>
  </r>
  <r>
    <x v="579"/>
    <n v="46"/>
    <x v="0"/>
    <s v="AB-"/>
    <x v="3"/>
    <d v="2022-08-17T00:00:00"/>
    <x v="577"/>
    <s v="Stone-Perez"/>
    <x v="1"/>
    <n v="15242.387178999201"/>
    <n v="203"/>
    <x v="2"/>
    <d v="2022-09-08T00:00:00"/>
    <s v="Paracetamol"/>
    <x v="2"/>
    <s v="High"/>
    <s v="Under Treatment"/>
    <s v="High Risk"/>
    <x v="3"/>
  </r>
  <r>
    <x v="580"/>
    <n v="35"/>
    <x v="1"/>
    <s v="AB+"/>
    <x v="4"/>
    <d v="2021-06-15T00:00:00"/>
    <x v="578"/>
    <s v="Ltd Foley"/>
    <x v="3"/>
    <n v="31054.046064325499"/>
    <n v="114"/>
    <x v="0"/>
    <d v="2021-06-25T00:00:00"/>
    <s v="Lipitor"/>
    <x v="0"/>
    <s v="High"/>
    <s v="Under Treatment"/>
    <s v="High Risk"/>
    <x v="0"/>
  </r>
  <r>
    <x v="581"/>
    <n v="58"/>
    <x v="1"/>
    <s v="AB+"/>
    <x v="1"/>
    <d v="2024-03-01T00:00:00"/>
    <x v="579"/>
    <s v="Ward-Mayer"/>
    <x v="0"/>
    <n v="49118.591261523798"/>
    <n v="114"/>
    <x v="0"/>
    <d v="2024-03-20T00:00:00"/>
    <s v="Lipitor"/>
    <x v="1"/>
    <s v="High"/>
    <s v="Under Treatment"/>
    <s v="High Risk"/>
    <x v="1"/>
  </r>
  <r>
    <x v="582"/>
    <n v="36"/>
    <x v="1"/>
    <s v="AB+"/>
    <x v="4"/>
    <d v="2023-12-11T00:00:00"/>
    <x v="580"/>
    <s v="and Martinez Sons"/>
    <x v="1"/>
    <n v="3235.5811559615499"/>
    <n v="146"/>
    <x v="2"/>
    <d v="2024-01-08T00:00:00"/>
    <s v="Aspirin"/>
    <x v="0"/>
    <s v="Low"/>
    <s v="Under Treatment"/>
    <s v="High Risk"/>
    <x v="3"/>
  </r>
  <r>
    <x v="583"/>
    <n v="80"/>
    <x v="1"/>
    <s v="B+"/>
    <x v="5"/>
    <d v="2022-05-04T00:00:00"/>
    <x v="581"/>
    <s v="Group Anderson"/>
    <x v="1"/>
    <n v="26052.024164818798"/>
    <n v="379"/>
    <x v="2"/>
    <d v="2022-05-05T00:00:00"/>
    <s v="Aspirin"/>
    <x v="2"/>
    <s v="High"/>
    <s v="Under Treatment"/>
    <s v="High Risk"/>
    <x v="2"/>
  </r>
  <r>
    <x v="584"/>
    <n v="47"/>
    <x v="1"/>
    <s v="B+"/>
    <x v="4"/>
    <d v="2021-09-21T00:00:00"/>
    <x v="582"/>
    <s v="Inc Martinez"/>
    <x v="2"/>
    <n v="10725.8254626362"/>
    <n v="355"/>
    <x v="2"/>
    <d v="2021-10-10T00:00:00"/>
    <s v="Ibuprofen"/>
    <x v="2"/>
    <s v="Medium"/>
    <s v="Under Treatment"/>
    <s v="High Risk"/>
    <x v="3"/>
  </r>
  <r>
    <x v="585"/>
    <n v="49"/>
    <x v="1"/>
    <s v="B-"/>
    <x v="4"/>
    <d v="2020-03-20T00:00:00"/>
    <x v="583"/>
    <s v="Mcmahon Ortiz, Owens and"/>
    <x v="3"/>
    <n v="30038.275975375898"/>
    <n v="424"/>
    <x v="2"/>
    <d v="2020-04-09T00:00:00"/>
    <s v="Ibuprofen"/>
    <x v="2"/>
    <s v="High"/>
    <s v="Under Treatment"/>
    <s v="High Risk"/>
    <x v="3"/>
  </r>
  <r>
    <x v="586"/>
    <n v="58"/>
    <x v="0"/>
    <s v="AB-"/>
    <x v="3"/>
    <d v="2024-03-29T00:00:00"/>
    <x v="584"/>
    <s v="Williams-Saunders"/>
    <x v="3"/>
    <n v="49446.458179355599"/>
    <n v="108"/>
    <x v="1"/>
    <d v="2024-04-16T00:00:00"/>
    <s v="Lipitor"/>
    <x v="2"/>
    <s v="High"/>
    <s v="Under Treatment"/>
    <s v="High Risk"/>
    <x v="1"/>
  </r>
  <r>
    <x v="587"/>
    <n v="44"/>
    <x v="0"/>
    <s v="A-"/>
    <x v="0"/>
    <d v="2022-03-21T00:00:00"/>
    <x v="585"/>
    <s v="Mathis-Schwartz"/>
    <x v="0"/>
    <n v="13928.2801338995"/>
    <n v="113"/>
    <x v="1"/>
    <d v="2022-04-06T00:00:00"/>
    <s v="Penicillin"/>
    <x v="1"/>
    <s v="Medium"/>
    <s v="Under Treatment"/>
    <s v="High Risk"/>
    <x v="3"/>
  </r>
  <r>
    <x v="588"/>
    <n v="38"/>
    <x v="0"/>
    <s v="A+"/>
    <x v="2"/>
    <d v="2020-07-23T00:00:00"/>
    <x v="586"/>
    <s v="Romero-Ramsey"/>
    <x v="2"/>
    <n v="2744.40891002426"/>
    <n v="162"/>
    <x v="1"/>
    <d v="2020-08-09T00:00:00"/>
    <s v="Ibuprofen"/>
    <x v="2"/>
    <s v="Low"/>
    <s v="Under Treatment"/>
    <s v="High Risk"/>
    <x v="3"/>
  </r>
  <r>
    <x v="589"/>
    <n v="71"/>
    <x v="0"/>
    <s v="A-"/>
    <x v="5"/>
    <d v="2020-03-15T00:00:00"/>
    <x v="587"/>
    <s v="Ltd Richardson"/>
    <x v="0"/>
    <n v="35854.086422520901"/>
    <n v="172"/>
    <x v="0"/>
    <d v="2020-03-29T00:00:00"/>
    <s v="Lipitor"/>
    <x v="2"/>
    <s v="High"/>
    <s v="Under Treatment"/>
    <s v="High Risk"/>
    <x v="2"/>
  </r>
  <r>
    <x v="590"/>
    <n v="42"/>
    <x v="0"/>
    <s v="A+"/>
    <x v="2"/>
    <d v="2021-05-10T00:00:00"/>
    <x v="588"/>
    <s v="and Sons Williams"/>
    <x v="4"/>
    <n v="2784.02053102635"/>
    <n v="241"/>
    <x v="0"/>
    <d v="2021-05-16T00:00:00"/>
    <s v="Penicillin"/>
    <x v="2"/>
    <s v="Low"/>
    <s v="Under Treatment"/>
    <s v="High Risk"/>
    <x v="3"/>
  </r>
  <r>
    <x v="591"/>
    <n v="64"/>
    <x v="1"/>
    <s v="O-"/>
    <x v="4"/>
    <d v="2023-07-13T00:00:00"/>
    <x v="589"/>
    <s v="Gonzalez Anderson Jacobson, and"/>
    <x v="2"/>
    <n v="4018.0168763199999"/>
    <n v="415"/>
    <x v="1"/>
    <d v="2023-07-25T00:00:00"/>
    <s v="Ibuprofen"/>
    <x v="2"/>
    <s v="Low"/>
    <s v="Under Treatment"/>
    <s v="High Risk"/>
    <x v="1"/>
  </r>
  <r>
    <x v="592"/>
    <n v="57"/>
    <x v="1"/>
    <s v="AB-"/>
    <x v="3"/>
    <d v="2023-07-20T00:00:00"/>
    <x v="590"/>
    <s v="Miller Massey Lopez, and"/>
    <x v="2"/>
    <n v="20508.588956594402"/>
    <n v="261"/>
    <x v="0"/>
    <d v="2023-08-02T00:00:00"/>
    <s v="Ibuprofen"/>
    <x v="1"/>
    <s v="High"/>
    <s v="Under Treatment"/>
    <s v="High Risk"/>
    <x v="1"/>
  </r>
  <r>
    <x v="593"/>
    <n v="54"/>
    <x v="0"/>
    <s v="B+"/>
    <x v="2"/>
    <d v="2020-02-14T00:00:00"/>
    <x v="591"/>
    <s v="Taylor Walsh Hawkins, and"/>
    <x v="0"/>
    <n v="25648.043763609399"/>
    <n v="424"/>
    <x v="0"/>
    <d v="2020-03-01T00:00:00"/>
    <s v="Paracetamol"/>
    <x v="0"/>
    <s v="High"/>
    <s v="Under Treatment"/>
    <s v="High Risk"/>
    <x v="1"/>
  </r>
  <r>
    <x v="594"/>
    <n v="44"/>
    <x v="0"/>
    <s v="B-"/>
    <x v="5"/>
    <d v="2023-05-28T00:00:00"/>
    <x v="592"/>
    <s v="LLC Brown"/>
    <x v="0"/>
    <n v="19691.420685517201"/>
    <n v="264"/>
    <x v="2"/>
    <d v="2023-06-22T00:00:00"/>
    <s v="Aspirin"/>
    <x v="1"/>
    <s v="High"/>
    <s v="Under Treatment"/>
    <s v="High Risk"/>
    <x v="3"/>
  </r>
  <r>
    <x v="595"/>
    <n v="78"/>
    <x v="1"/>
    <s v="B-"/>
    <x v="0"/>
    <d v="2022-06-12T00:00:00"/>
    <x v="593"/>
    <s v="Nelson-Wong"/>
    <x v="4"/>
    <n v="10311.9361727306"/>
    <n v="211"/>
    <x v="0"/>
    <d v="2022-06-27T00:00:00"/>
    <s v="Penicillin"/>
    <x v="1"/>
    <s v="Medium"/>
    <s v="Under Treatment"/>
    <s v="High Risk"/>
    <x v="2"/>
  </r>
  <r>
    <x v="596"/>
    <n v="49"/>
    <x v="0"/>
    <s v="B+"/>
    <x v="4"/>
    <d v="2024-02-26T00:00:00"/>
    <x v="594"/>
    <s v="and Richardson Webster Smith,"/>
    <x v="2"/>
    <n v="22069.596567641202"/>
    <n v="142"/>
    <x v="2"/>
    <d v="2024-03-09T00:00:00"/>
    <s v="Paracetamol"/>
    <x v="0"/>
    <s v="High"/>
    <s v="Under Treatment"/>
    <s v="High Risk"/>
    <x v="3"/>
  </r>
  <r>
    <x v="597"/>
    <n v="22"/>
    <x v="1"/>
    <s v="B+"/>
    <x v="3"/>
    <d v="2021-11-07T00:00:00"/>
    <x v="595"/>
    <s v="Hudson-Flores"/>
    <x v="4"/>
    <n v="43117.658482416897"/>
    <n v="458"/>
    <x v="1"/>
    <d v="2021-11-26T00:00:00"/>
    <s v="Penicillin"/>
    <x v="2"/>
    <s v="High"/>
    <s v="Under Treatment"/>
    <s v="High Risk"/>
    <x v="0"/>
  </r>
  <r>
    <x v="598"/>
    <n v="72"/>
    <x v="1"/>
    <s v="B+"/>
    <x v="4"/>
    <d v="2020-02-03T00:00:00"/>
    <x v="596"/>
    <s v="Inc Rios"/>
    <x v="4"/>
    <n v="3718.5481703732798"/>
    <n v="304"/>
    <x v="0"/>
    <d v="2020-02-04T00:00:00"/>
    <s v="Aspirin"/>
    <x v="0"/>
    <s v="Low"/>
    <s v="Under Treatment"/>
    <s v="High Risk"/>
    <x v="2"/>
  </r>
  <r>
    <x v="599"/>
    <n v="46"/>
    <x v="1"/>
    <s v="B+"/>
    <x v="5"/>
    <d v="2019-07-05T00:00:00"/>
    <x v="597"/>
    <s v="PLC Thompson"/>
    <x v="0"/>
    <n v="18788.144233799801"/>
    <n v="267"/>
    <x v="1"/>
    <d v="2019-07-20T00:00:00"/>
    <s v="Lipitor"/>
    <x v="1"/>
    <s v="High"/>
    <s v="Under Treatment"/>
    <s v="High Risk"/>
    <x v="3"/>
  </r>
  <r>
    <x v="600"/>
    <n v="61"/>
    <x v="0"/>
    <s v="B+"/>
    <x v="2"/>
    <d v="2019-08-15T00:00:00"/>
    <x v="598"/>
    <s v="Ramirez-Taylor"/>
    <x v="0"/>
    <n v="47594.474842407697"/>
    <n v="145"/>
    <x v="2"/>
    <d v="2019-09-09T00:00:00"/>
    <s v="Paracetamol"/>
    <x v="2"/>
    <s v="High"/>
    <s v="Under Treatment"/>
    <s v="High Risk"/>
    <x v="1"/>
  </r>
  <r>
    <x v="601"/>
    <n v="34"/>
    <x v="0"/>
    <s v="A-"/>
    <x v="2"/>
    <d v="2023-04-06T00:00:00"/>
    <x v="599"/>
    <s v="Edwards Johnson, and Burgess"/>
    <x v="1"/>
    <n v="6578.0290575360796"/>
    <n v="162"/>
    <x v="1"/>
    <d v="2023-05-06T00:00:00"/>
    <s v="Ibuprofen"/>
    <x v="1"/>
    <s v="Medium"/>
    <s v="Under Treatment"/>
    <s v="High Risk"/>
    <x v="0"/>
  </r>
  <r>
    <x v="602"/>
    <n v="71"/>
    <x v="1"/>
    <s v="AB+"/>
    <x v="5"/>
    <d v="2019-10-08T00:00:00"/>
    <x v="600"/>
    <s v="LLC Spears"/>
    <x v="0"/>
    <n v="38435.447756703703"/>
    <n v="340"/>
    <x v="2"/>
    <d v="2019-10-28T00:00:00"/>
    <s v="Penicillin"/>
    <x v="2"/>
    <s v="High"/>
    <s v="Under Treatment"/>
    <s v="High Risk"/>
    <x v="2"/>
  </r>
  <r>
    <x v="603"/>
    <n v="61"/>
    <x v="0"/>
    <s v="A+"/>
    <x v="1"/>
    <d v="2020-08-10T00:00:00"/>
    <x v="601"/>
    <s v="Perez-Smith"/>
    <x v="2"/>
    <n v="29810.0469179352"/>
    <n v="346"/>
    <x v="1"/>
    <d v="2020-09-06T00:00:00"/>
    <s v="Penicillin"/>
    <x v="0"/>
    <s v="High"/>
    <s v="Under Treatment"/>
    <s v="High Risk"/>
    <x v="1"/>
  </r>
  <r>
    <x v="604"/>
    <n v="24"/>
    <x v="0"/>
    <s v="A+"/>
    <x v="3"/>
    <d v="2019-09-26T00:00:00"/>
    <x v="602"/>
    <s v="and Sons Mcbride"/>
    <x v="0"/>
    <n v="4808.8203115489696"/>
    <n v="415"/>
    <x v="1"/>
    <d v="2019-10-14T00:00:00"/>
    <s v="Ibuprofen"/>
    <x v="0"/>
    <s v="Low"/>
    <s v="Under Treatment"/>
    <s v="High Risk"/>
    <x v="0"/>
  </r>
  <r>
    <x v="605"/>
    <n v="28"/>
    <x v="0"/>
    <s v="O+"/>
    <x v="0"/>
    <d v="2021-02-11T00:00:00"/>
    <x v="603"/>
    <s v="Sons and Chapman"/>
    <x v="4"/>
    <n v="38365.872780228499"/>
    <n v="183"/>
    <x v="0"/>
    <d v="2021-02-19T00:00:00"/>
    <s v="Lipitor"/>
    <x v="2"/>
    <s v="High"/>
    <s v="Under Treatment"/>
    <s v="High Risk"/>
    <x v="0"/>
  </r>
  <r>
    <x v="606"/>
    <n v="21"/>
    <x v="1"/>
    <s v="O+"/>
    <x v="5"/>
    <d v="2019-09-05T00:00:00"/>
    <x v="604"/>
    <s v="Cole-Davila"/>
    <x v="0"/>
    <n v="45540.095544321302"/>
    <n v="394"/>
    <x v="2"/>
    <d v="2019-09-29T00:00:00"/>
    <s v="Lipitor"/>
    <x v="1"/>
    <s v="High"/>
    <s v="Under Treatment"/>
    <s v="High Risk"/>
    <x v="0"/>
  </r>
  <r>
    <x v="607"/>
    <n v="40"/>
    <x v="1"/>
    <s v="B+"/>
    <x v="3"/>
    <d v="2021-03-01T00:00:00"/>
    <x v="605"/>
    <s v="Pearson, and Lynch Oconnor"/>
    <x v="4"/>
    <n v="31444.0880406221"/>
    <n v="124"/>
    <x v="0"/>
    <d v="2021-03-20T00:00:00"/>
    <s v="Penicillin"/>
    <x v="2"/>
    <s v="High"/>
    <s v="Under Treatment"/>
    <s v="High Risk"/>
    <x v="3"/>
  </r>
  <r>
    <x v="608"/>
    <n v="57"/>
    <x v="0"/>
    <s v="A-"/>
    <x v="0"/>
    <d v="2024-04-19T00:00:00"/>
    <x v="606"/>
    <s v="Rivera-Peck"/>
    <x v="1"/>
    <n v="37194.263984150202"/>
    <n v="278"/>
    <x v="0"/>
    <d v="2024-05-14T00:00:00"/>
    <s v="Ibuprofen"/>
    <x v="2"/>
    <s v="High"/>
    <s v="Under Treatment"/>
    <s v="High Risk"/>
    <x v="1"/>
  </r>
  <r>
    <x v="609"/>
    <n v="47"/>
    <x v="1"/>
    <s v="AB+"/>
    <x v="0"/>
    <d v="2023-04-27T00:00:00"/>
    <x v="607"/>
    <s v="Hess-White"/>
    <x v="0"/>
    <n v="12422.7554154748"/>
    <n v="355"/>
    <x v="2"/>
    <d v="2023-05-03T00:00:00"/>
    <s v="Lipitor"/>
    <x v="0"/>
    <s v="Medium"/>
    <s v="Under Treatment"/>
    <s v="High Risk"/>
    <x v="3"/>
  </r>
  <r>
    <x v="610"/>
    <n v="33"/>
    <x v="1"/>
    <s v="O-"/>
    <x v="5"/>
    <d v="2020-10-31T00:00:00"/>
    <x v="608"/>
    <s v="Johnson-Estrada"/>
    <x v="0"/>
    <n v="13034.075502789001"/>
    <n v="300"/>
    <x v="0"/>
    <d v="2020-11-18T00:00:00"/>
    <s v="Penicillin"/>
    <x v="0"/>
    <s v="Medium"/>
    <s v="Under Treatment"/>
    <s v="High Risk"/>
    <x v="0"/>
  </r>
  <r>
    <x v="611"/>
    <n v="58"/>
    <x v="1"/>
    <s v="B-"/>
    <x v="0"/>
    <d v="2023-09-08T00:00:00"/>
    <x v="609"/>
    <s v="Rivera-Mosley"/>
    <x v="4"/>
    <n v="37903.2900444236"/>
    <n v="421"/>
    <x v="2"/>
    <d v="2023-09-22T00:00:00"/>
    <s v="Lipitor"/>
    <x v="0"/>
    <s v="High"/>
    <s v="Under Treatment"/>
    <s v="High Risk"/>
    <x v="1"/>
  </r>
  <r>
    <x v="612"/>
    <n v="39"/>
    <x v="1"/>
    <s v="O-"/>
    <x v="0"/>
    <d v="2022-11-20T00:00:00"/>
    <x v="610"/>
    <s v="Diaz Smith Johnson, and"/>
    <x v="0"/>
    <n v="45913.1659056016"/>
    <n v="398"/>
    <x v="1"/>
    <d v="2022-12-19T00:00:00"/>
    <s v="Paracetamol"/>
    <x v="2"/>
    <s v="High"/>
    <s v="Under Treatment"/>
    <s v="High Risk"/>
    <x v="3"/>
  </r>
  <r>
    <x v="613"/>
    <n v="30"/>
    <x v="0"/>
    <s v="O-"/>
    <x v="5"/>
    <d v="2020-07-04T00:00:00"/>
    <x v="611"/>
    <s v="Harris-Ingram"/>
    <x v="3"/>
    <n v="30468.2633818547"/>
    <n v="378"/>
    <x v="1"/>
    <d v="2020-08-02T00:00:00"/>
    <s v="Lipitor"/>
    <x v="0"/>
    <s v="High"/>
    <s v="Under Treatment"/>
    <s v="High Risk"/>
    <x v="0"/>
  </r>
  <r>
    <x v="614"/>
    <n v="27"/>
    <x v="0"/>
    <s v="B+"/>
    <x v="3"/>
    <d v="2023-06-24T00:00:00"/>
    <x v="612"/>
    <s v="and Esparza Sons"/>
    <x v="0"/>
    <n v="50202.207847823098"/>
    <n v="198"/>
    <x v="0"/>
    <d v="2023-07-13T00:00:00"/>
    <s v="Aspirin"/>
    <x v="2"/>
    <s v="High"/>
    <s v="Under Treatment"/>
    <s v="High Risk"/>
    <x v="0"/>
  </r>
  <r>
    <x v="615"/>
    <n v="76"/>
    <x v="1"/>
    <s v="B+"/>
    <x v="0"/>
    <d v="2023-03-16T00:00:00"/>
    <x v="613"/>
    <s v="LLC Hernandez"/>
    <x v="2"/>
    <n v="43206.224111033604"/>
    <n v="441"/>
    <x v="1"/>
    <d v="2023-04-02T00:00:00"/>
    <s v="Aspirin"/>
    <x v="1"/>
    <s v="High"/>
    <s v="Under Treatment"/>
    <s v="High Risk"/>
    <x v="2"/>
  </r>
  <r>
    <x v="616"/>
    <n v="71"/>
    <x v="0"/>
    <s v="O-"/>
    <x v="3"/>
    <d v="2021-04-10T00:00:00"/>
    <x v="614"/>
    <s v="Foster Lamb, Graham and"/>
    <x v="1"/>
    <n v="10659.6088129445"/>
    <n v="170"/>
    <x v="2"/>
    <d v="2021-04-18T00:00:00"/>
    <s v="Ibuprofen"/>
    <x v="2"/>
    <s v="Medium"/>
    <s v="Under Treatment"/>
    <s v="High Risk"/>
    <x v="2"/>
  </r>
  <r>
    <x v="617"/>
    <n v="31"/>
    <x v="0"/>
    <s v="O-"/>
    <x v="0"/>
    <d v="2023-09-19T00:00:00"/>
    <x v="615"/>
    <s v="Fuentes Knight, Sandoval and"/>
    <x v="2"/>
    <n v="32926.233540322202"/>
    <n v="459"/>
    <x v="1"/>
    <d v="2023-10-16T00:00:00"/>
    <s v="Lipitor"/>
    <x v="1"/>
    <s v="High"/>
    <s v="Under Treatment"/>
    <s v="High Risk"/>
    <x v="0"/>
  </r>
  <r>
    <x v="618"/>
    <n v="25"/>
    <x v="0"/>
    <s v="A-"/>
    <x v="0"/>
    <d v="2024-01-27T00:00:00"/>
    <x v="616"/>
    <s v="Hudson-Williams"/>
    <x v="2"/>
    <n v="48004.974678792903"/>
    <n v="416"/>
    <x v="1"/>
    <d v="2024-02-26T00:00:00"/>
    <s v="Paracetamol"/>
    <x v="0"/>
    <s v="High"/>
    <s v="Under Treatment"/>
    <s v="High Risk"/>
    <x v="0"/>
  </r>
  <r>
    <x v="619"/>
    <n v="61"/>
    <x v="1"/>
    <s v="AB+"/>
    <x v="4"/>
    <d v="2020-04-16T00:00:00"/>
    <x v="617"/>
    <s v="Mullen-Hernandez"/>
    <x v="1"/>
    <n v="20651.614839143502"/>
    <n v="470"/>
    <x v="0"/>
    <d v="2020-04-22T00:00:00"/>
    <s v="Aspirin"/>
    <x v="2"/>
    <s v="High"/>
    <s v="Under Treatment"/>
    <s v="High Risk"/>
    <x v="1"/>
  </r>
  <r>
    <x v="620"/>
    <n v="42"/>
    <x v="1"/>
    <s v="O+"/>
    <x v="4"/>
    <d v="2019-08-23T00:00:00"/>
    <x v="618"/>
    <s v="Herman, Liu and Hill"/>
    <x v="4"/>
    <n v="31822.730852999201"/>
    <n v="370"/>
    <x v="1"/>
    <d v="2019-09-05T00:00:00"/>
    <s v="Lipitor"/>
    <x v="2"/>
    <s v="High"/>
    <s v="Under Treatment"/>
    <s v="High Risk"/>
    <x v="3"/>
  </r>
  <r>
    <x v="621"/>
    <n v="44"/>
    <x v="0"/>
    <s v="AB-"/>
    <x v="2"/>
    <d v="2021-07-01T00:00:00"/>
    <x v="619"/>
    <s v="Davis White, Flores and"/>
    <x v="3"/>
    <n v="21856.738254657401"/>
    <n v="482"/>
    <x v="2"/>
    <d v="2021-07-23T00:00:00"/>
    <s v="Paracetamol"/>
    <x v="1"/>
    <s v="High"/>
    <s v="Under Treatment"/>
    <s v="High Risk"/>
    <x v="3"/>
  </r>
  <r>
    <x v="622"/>
    <n v="18"/>
    <x v="1"/>
    <s v="B+"/>
    <x v="1"/>
    <d v="2022-08-21T00:00:00"/>
    <x v="620"/>
    <s v="Williams-Jones"/>
    <x v="1"/>
    <n v="45326.914860092002"/>
    <n v="260"/>
    <x v="1"/>
    <d v="2022-09-04T00:00:00"/>
    <s v="Ibuprofen"/>
    <x v="2"/>
    <s v="High"/>
    <s v="Under Treatment"/>
    <s v="High Risk"/>
    <x v="4"/>
  </r>
  <r>
    <x v="623"/>
    <n v="51"/>
    <x v="0"/>
    <s v="A-"/>
    <x v="0"/>
    <d v="2020-08-06T00:00:00"/>
    <x v="621"/>
    <s v="Inc Holloway"/>
    <x v="3"/>
    <n v="25152.293887858701"/>
    <n v="103"/>
    <x v="1"/>
    <d v="2020-08-26T00:00:00"/>
    <s v="Lipitor"/>
    <x v="2"/>
    <s v="High"/>
    <s v="Under Treatment"/>
    <s v="High Risk"/>
    <x v="1"/>
  </r>
  <r>
    <x v="624"/>
    <n v="39"/>
    <x v="0"/>
    <s v="O-"/>
    <x v="4"/>
    <d v="2022-07-22T00:00:00"/>
    <x v="622"/>
    <s v="Meadows and Nelson, Owen"/>
    <x v="4"/>
    <n v="13869.7885226571"/>
    <n v="314"/>
    <x v="0"/>
    <d v="2022-07-24T00:00:00"/>
    <s v="Aspirin"/>
    <x v="2"/>
    <s v="Medium"/>
    <s v="Under Treatment"/>
    <s v="High Risk"/>
    <x v="3"/>
  </r>
  <r>
    <x v="625"/>
    <n v="21"/>
    <x v="0"/>
    <s v="O-"/>
    <x v="3"/>
    <d v="2023-09-29T00:00:00"/>
    <x v="623"/>
    <s v="Davis Group"/>
    <x v="0"/>
    <n v="41208.167588520402"/>
    <n v="359"/>
    <x v="1"/>
    <d v="2023-10-06T00:00:00"/>
    <s v="Paracetamol"/>
    <x v="0"/>
    <s v="High"/>
    <s v="Under Treatment"/>
    <s v="High Risk"/>
    <x v="0"/>
  </r>
  <r>
    <x v="626"/>
    <n v="61"/>
    <x v="1"/>
    <s v="AB-"/>
    <x v="0"/>
    <d v="2020-06-22T00:00:00"/>
    <x v="624"/>
    <s v="Juarez-Weiss"/>
    <x v="2"/>
    <n v="17722.9610787116"/>
    <n v="221"/>
    <x v="1"/>
    <d v="2020-07-20T00:00:00"/>
    <s v="Ibuprofen"/>
    <x v="2"/>
    <s v="High"/>
    <s v="Under Treatment"/>
    <s v="High Risk"/>
    <x v="1"/>
  </r>
  <r>
    <x v="627"/>
    <n v="59"/>
    <x v="1"/>
    <s v="AB-"/>
    <x v="1"/>
    <d v="2019-10-26T00:00:00"/>
    <x v="625"/>
    <s v="Dawson-Jones"/>
    <x v="2"/>
    <n v="21125.321978632201"/>
    <n v="264"/>
    <x v="2"/>
    <d v="2019-10-29T00:00:00"/>
    <s v="Lipitor"/>
    <x v="0"/>
    <s v="High"/>
    <s v="Under Treatment"/>
    <s v="High Risk"/>
    <x v="1"/>
  </r>
  <r>
    <x v="628"/>
    <n v="51"/>
    <x v="1"/>
    <s v="O+"/>
    <x v="5"/>
    <d v="2024-02-21T00:00:00"/>
    <x v="626"/>
    <s v="Hickman Group"/>
    <x v="3"/>
    <n v="5164.5538563353703"/>
    <n v="470"/>
    <x v="0"/>
    <d v="2024-03-19T00:00:00"/>
    <s v="Paracetamol"/>
    <x v="2"/>
    <s v="Medium"/>
    <s v="Under Treatment"/>
    <s v="High Risk"/>
    <x v="1"/>
  </r>
  <r>
    <x v="629"/>
    <n v="49"/>
    <x v="0"/>
    <s v="O+"/>
    <x v="1"/>
    <d v="2022-12-13T00:00:00"/>
    <x v="627"/>
    <s v="Dillon PLC"/>
    <x v="1"/>
    <n v="6327.80102622511"/>
    <n v="371"/>
    <x v="1"/>
    <d v="2022-12-28T00:00:00"/>
    <s v="Aspirin"/>
    <x v="2"/>
    <s v="Medium"/>
    <s v="Under Treatment"/>
    <s v="High Risk"/>
    <x v="3"/>
  </r>
  <r>
    <x v="630"/>
    <n v="68"/>
    <x v="1"/>
    <s v="O-"/>
    <x v="4"/>
    <d v="2022-11-16T00:00:00"/>
    <x v="628"/>
    <s v="Murphy, and Garcia Jones"/>
    <x v="0"/>
    <n v="29526.3215250996"/>
    <n v="384"/>
    <x v="2"/>
    <d v="2022-11-21T00:00:00"/>
    <s v="Aspirin"/>
    <x v="1"/>
    <s v="High"/>
    <s v="Under Treatment"/>
    <s v="High Risk"/>
    <x v="2"/>
  </r>
  <r>
    <x v="631"/>
    <n v="69"/>
    <x v="1"/>
    <s v="O+"/>
    <x v="3"/>
    <d v="2019-06-19T00:00:00"/>
    <x v="629"/>
    <s v="Ramsey-Thomas"/>
    <x v="1"/>
    <n v="38989.5337611512"/>
    <n v="165"/>
    <x v="2"/>
    <d v="2019-07-17T00:00:00"/>
    <s v="Penicillin"/>
    <x v="1"/>
    <s v="High"/>
    <s v="Under Treatment"/>
    <s v="High Risk"/>
    <x v="2"/>
  </r>
  <r>
    <x v="632"/>
    <n v="49"/>
    <x v="1"/>
    <s v="B+"/>
    <x v="1"/>
    <d v="2023-01-29T00:00:00"/>
    <x v="630"/>
    <s v="Miller and Sons"/>
    <x v="0"/>
    <n v="33395.1036616005"/>
    <n v="490"/>
    <x v="1"/>
    <d v="2023-02-18T00:00:00"/>
    <s v="Ibuprofen"/>
    <x v="0"/>
    <s v="High"/>
    <s v="Under Treatment"/>
    <s v="High Risk"/>
    <x v="3"/>
  </r>
  <r>
    <x v="633"/>
    <n v="27"/>
    <x v="1"/>
    <s v="O-"/>
    <x v="0"/>
    <d v="2023-11-30T00:00:00"/>
    <x v="631"/>
    <s v="Chung Herrera, and Pollard"/>
    <x v="4"/>
    <n v="20258.780318593501"/>
    <n v="491"/>
    <x v="2"/>
    <d v="2023-12-12T00:00:00"/>
    <s v="Paracetamol"/>
    <x v="2"/>
    <s v="High"/>
    <s v="Under Treatment"/>
    <s v="High Risk"/>
    <x v="0"/>
  </r>
  <r>
    <x v="634"/>
    <n v="73"/>
    <x v="0"/>
    <s v="A+"/>
    <x v="1"/>
    <d v="2021-03-26T00:00:00"/>
    <x v="632"/>
    <s v="and Hernandez Waters, Cruz"/>
    <x v="1"/>
    <n v="43050.8313822153"/>
    <n v="340"/>
    <x v="0"/>
    <d v="2021-04-20T00:00:00"/>
    <s v="Penicillin"/>
    <x v="2"/>
    <s v="High"/>
    <s v="Under Treatment"/>
    <s v="High Risk"/>
    <x v="2"/>
  </r>
  <r>
    <x v="635"/>
    <n v="59"/>
    <x v="1"/>
    <s v="O-"/>
    <x v="0"/>
    <d v="2024-01-03T00:00:00"/>
    <x v="633"/>
    <s v="and Carroll Orr Kelly,"/>
    <x v="0"/>
    <n v="42434.776861682803"/>
    <n v="494"/>
    <x v="0"/>
    <d v="2024-01-25T00:00:00"/>
    <s v="Lipitor"/>
    <x v="2"/>
    <s v="High"/>
    <s v="Under Treatment"/>
    <s v="High Risk"/>
    <x v="1"/>
  </r>
  <r>
    <x v="636"/>
    <n v="61"/>
    <x v="1"/>
    <s v="A+"/>
    <x v="0"/>
    <d v="2022-12-03T00:00:00"/>
    <x v="634"/>
    <s v="Odonnell-Watts"/>
    <x v="1"/>
    <n v="22108.971999392601"/>
    <n v="334"/>
    <x v="1"/>
    <d v="2022-12-10T00:00:00"/>
    <s v="Paracetamol"/>
    <x v="1"/>
    <s v="High"/>
    <s v="Under Treatment"/>
    <s v="High Risk"/>
    <x v="1"/>
  </r>
  <r>
    <x v="637"/>
    <n v="50"/>
    <x v="0"/>
    <s v="B+"/>
    <x v="3"/>
    <d v="2021-09-25T00:00:00"/>
    <x v="635"/>
    <s v="Inc Roberts"/>
    <x v="3"/>
    <n v="40783.150303669303"/>
    <n v="366"/>
    <x v="0"/>
    <d v="2021-10-23T00:00:00"/>
    <s v="Penicillin"/>
    <x v="1"/>
    <s v="High"/>
    <s v="Under Treatment"/>
    <s v="High Risk"/>
    <x v="3"/>
  </r>
  <r>
    <x v="638"/>
    <n v="37"/>
    <x v="1"/>
    <s v="AB+"/>
    <x v="2"/>
    <d v="2022-08-01T00:00:00"/>
    <x v="636"/>
    <s v="Davis-Martin"/>
    <x v="3"/>
    <n v="41548.150825872501"/>
    <n v="157"/>
    <x v="2"/>
    <d v="2022-08-30T00:00:00"/>
    <s v="Lipitor"/>
    <x v="1"/>
    <s v="High"/>
    <s v="Under Treatment"/>
    <s v="High Risk"/>
    <x v="3"/>
  </r>
  <r>
    <x v="639"/>
    <n v="18"/>
    <x v="0"/>
    <s v="AB+"/>
    <x v="4"/>
    <d v="2020-10-16T00:00:00"/>
    <x v="637"/>
    <s v="Baldwin PLC"/>
    <x v="4"/>
    <n v="41248.130837810597"/>
    <n v="125"/>
    <x v="2"/>
    <d v="2020-10-17T00:00:00"/>
    <s v="Lipitor"/>
    <x v="2"/>
    <s v="High"/>
    <s v="Under Treatment"/>
    <s v="High Risk"/>
    <x v="4"/>
  </r>
  <r>
    <x v="640"/>
    <n v="25"/>
    <x v="1"/>
    <s v="A+"/>
    <x v="0"/>
    <d v="2024-04-29T00:00:00"/>
    <x v="638"/>
    <s v="Heath-Brown"/>
    <x v="3"/>
    <n v="6162.3459594781698"/>
    <n v="332"/>
    <x v="1"/>
    <d v="2024-05-19T00:00:00"/>
    <s v="Aspirin"/>
    <x v="1"/>
    <s v="Medium"/>
    <s v="Under Treatment"/>
    <s v="High Risk"/>
    <x v="0"/>
  </r>
  <r>
    <x v="641"/>
    <n v="59"/>
    <x v="1"/>
    <s v="AB-"/>
    <x v="5"/>
    <d v="2022-09-12T00:00:00"/>
    <x v="639"/>
    <s v="Colon-Leon"/>
    <x v="4"/>
    <n v="23154.638501228801"/>
    <n v="418"/>
    <x v="1"/>
    <d v="2022-09-21T00:00:00"/>
    <s v="Aspirin"/>
    <x v="0"/>
    <s v="High"/>
    <s v="Under Treatment"/>
    <s v="High Risk"/>
    <x v="1"/>
  </r>
  <r>
    <x v="642"/>
    <n v="82"/>
    <x v="0"/>
    <s v="O+"/>
    <x v="2"/>
    <d v="2019-06-30T00:00:00"/>
    <x v="640"/>
    <s v="Boyle-Woods"/>
    <x v="3"/>
    <n v="6653.5915604930296"/>
    <n v="449"/>
    <x v="1"/>
    <d v="2019-07-22T00:00:00"/>
    <s v="Penicillin"/>
    <x v="0"/>
    <s v="Medium"/>
    <s v="Under Treatment"/>
    <s v="High Risk"/>
    <x v="2"/>
  </r>
  <r>
    <x v="643"/>
    <n v="63"/>
    <x v="1"/>
    <s v="AB-"/>
    <x v="1"/>
    <d v="2020-01-23T00:00:00"/>
    <x v="641"/>
    <s v="Tucker-Moyer"/>
    <x v="4"/>
    <n v="31457.797306905199"/>
    <n v="316"/>
    <x v="2"/>
    <d v="2020-02-01T00:00:00"/>
    <s v="Aspirin"/>
    <x v="0"/>
    <s v="High"/>
    <s v="Under Treatment"/>
    <s v="High Risk"/>
    <x v="1"/>
  </r>
  <r>
    <x v="644"/>
    <n v="66"/>
    <x v="0"/>
    <s v="AB-"/>
    <x v="0"/>
    <d v="2023-01-30T00:00:00"/>
    <x v="642"/>
    <s v="Dougherty Group"/>
    <x v="1"/>
    <n v="41413.809391901501"/>
    <n v="323"/>
    <x v="1"/>
    <d v="2023-02-27T00:00:00"/>
    <s v="Ibuprofen"/>
    <x v="1"/>
    <s v="High"/>
    <s v="Under Treatment"/>
    <s v="High Risk"/>
    <x v="2"/>
  </r>
  <r>
    <x v="645"/>
    <n v="58"/>
    <x v="0"/>
    <s v="O+"/>
    <x v="5"/>
    <d v="2019-08-24T00:00:00"/>
    <x v="643"/>
    <s v="Morgan Zimmerman, Matthews and"/>
    <x v="2"/>
    <n v="16352.5862779409"/>
    <n v="478"/>
    <x v="0"/>
    <d v="2019-09-17T00:00:00"/>
    <s v="Aspirin"/>
    <x v="0"/>
    <s v="High"/>
    <s v="Under Treatment"/>
    <s v="High Risk"/>
    <x v="1"/>
  </r>
  <r>
    <x v="646"/>
    <n v="28"/>
    <x v="1"/>
    <s v="A+"/>
    <x v="5"/>
    <d v="2024-02-05T00:00:00"/>
    <x v="644"/>
    <s v="Jimenez-Huff"/>
    <x v="3"/>
    <n v="1805.52280570939"/>
    <n v="205"/>
    <x v="0"/>
    <d v="2024-02-06T00:00:00"/>
    <s v="Penicillin"/>
    <x v="0"/>
    <s v="Low"/>
    <s v="Under Treatment"/>
    <s v="High Risk"/>
    <x v="0"/>
  </r>
  <r>
    <x v="647"/>
    <n v="18"/>
    <x v="1"/>
    <s v="O+"/>
    <x v="5"/>
    <d v="2021-08-30T00:00:00"/>
    <x v="645"/>
    <s v="Stevenson-Chen"/>
    <x v="0"/>
    <n v="38363.261268971903"/>
    <n v="286"/>
    <x v="1"/>
    <d v="2021-09-25T00:00:00"/>
    <s v="Penicillin"/>
    <x v="1"/>
    <s v="High"/>
    <s v="Under Treatment"/>
    <s v="High Risk"/>
    <x v="4"/>
  </r>
  <r>
    <x v="648"/>
    <n v="46"/>
    <x v="1"/>
    <s v="B+"/>
    <x v="3"/>
    <d v="2022-01-07T00:00:00"/>
    <x v="646"/>
    <s v="Parker-White"/>
    <x v="4"/>
    <n v="32746.5563747251"/>
    <n v="416"/>
    <x v="0"/>
    <d v="2022-01-25T00:00:00"/>
    <s v="Ibuprofen"/>
    <x v="0"/>
    <s v="High"/>
    <s v="Under Treatment"/>
    <s v="High Risk"/>
    <x v="3"/>
  </r>
  <r>
    <x v="649"/>
    <n v="24"/>
    <x v="1"/>
    <s v="B+"/>
    <x v="0"/>
    <d v="2020-02-29T00:00:00"/>
    <x v="647"/>
    <s v="Gray-Black"/>
    <x v="3"/>
    <n v="32993.492398907198"/>
    <n v="151"/>
    <x v="0"/>
    <d v="2020-03-17T00:00:00"/>
    <s v="Lipitor"/>
    <x v="0"/>
    <s v="High"/>
    <s v="Under Treatment"/>
    <s v="High Risk"/>
    <x v="0"/>
  </r>
  <r>
    <x v="650"/>
    <n v="53"/>
    <x v="0"/>
    <s v="A+"/>
    <x v="1"/>
    <d v="2019-08-06T00:00:00"/>
    <x v="648"/>
    <s v="Johnson-Garcia"/>
    <x v="3"/>
    <n v="3338.2155112066498"/>
    <n v="362"/>
    <x v="1"/>
    <d v="2019-09-03T00:00:00"/>
    <s v="Lipitor"/>
    <x v="0"/>
    <s v="Low"/>
    <s v="Under Treatment"/>
    <s v="High Risk"/>
    <x v="1"/>
  </r>
  <r>
    <x v="651"/>
    <n v="72"/>
    <x v="1"/>
    <s v="O+"/>
    <x v="3"/>
    <d v="2021-12-06T00:00:00"/>
    <x v="380"/>
    <s v="Phelps Group"/>
    <x v="0"/>
    <n v="35828.319502236402"/>
    <n v="248"/>
    <x v="1"/>
    <d v="2021-12-12T00:00:00"/>
    <s v="Aspirin"/>
    <x v="1"/>
    <s v="High"/>
    <s v="Under Treatment"/>
    <s v="High Risk"/>
    <x v="2"/>
  </r>
  <r>
    <x v="652"/>
    <n v="73"/>
    <x v="0"/>
    <s v="AB+"/>
    <x v="4"/>
    <d v="2019-12-27T00:00:00"/>
    <x v="649"/>
    <s v="Fischer Ltd"/>
    <x v="1"/>
    <n v="30283.174586609999"/>
    <n v="311"/>
    <x v="1"/>
    <d v="2019-12-29T00:00:00"/>
    <s v="Lipitor"/>
    <x v="2"/>
    <s v="High"/>
    <s v="Under Treatment"/>
    <s v="High Risk"/>
    <x v="2"/>
  </r>
  <r>
    <x v="653"/>
    <n v="69"/>
    <x v="1"/>
    <s v="AB-"/>
    <x v="0"/>
    <d v="2022-06-04T00:00:00"/>
    <x v="650"/>
    <s v="Rhodes-Kelly"/>
    <x v="4"/>
    <n v="31419.119372499099"/>
    <n v="201"/>
    <x v="0"/>
    <d v="2022-06-13T00:00:00"/>
    <s v="Penicillin"/>
    <x v="0"/>
    <s v="High"/>
    <s v="Under Treatment"/>
    <s v="High Risk"/>
    <x v="2"/>
  </r>
  <r>
    <x v="654"/>
    <n v="32"/>
    <x v="0"/>
    <s v="O+"/>
    <x v="2"/>
    <d v="2023-01-18T00:00:00"/>
    <x v="651"/>
    <s v="Tate Pierce and Jackson,"/>
    <x v="2"/>
    <n v="23734.854011553402"/>
    <n v="394"/>
    <x v="1"/>
    <d v="2023-02-03T00:00:00"/>
    <s v="Penicillin"/>
    <x v="0"/>
    <s v="High"/>
    <s v="Under Treatment"/>
    <s v="High Risk"/>
    <x v="0"/>
  </r>
  <r>
    <x v="655"/>
    <n v="29"/>
    <x v="0"/>
    <s v="B+"/>
    <x v="2"/>
    <d v="2023-07-25T00:00:00"/>
    <x v="652"/>
    <s v="Inc Daniel"/>
    <x v="2"/>
    <n v="45417.642346733497"/>
    <n v="167"/>
    <x v="2"/>
    <d v="2023-07-28T00:00:00"/>
    <s v="Lipitor"/>
    <x v="1"/>
    <s v="High"/>
    <s v="Under Treatment"/>
    <s v="High Risk"/>
    <x v="0"/>
  </r>
  <r>
    <x v="656"/>
    <n v="82"/>
    <x v="1"/>
    <s v="A+"/>
    <x v="5"/>
    <d v="2020-07-17T00:00:00"/>
    <x v="653"/>
    <s v="and Roberson Lee Young,"/>
    <x v="0"/>
    <n v="12822.7832871436"/>
    <n v="356"/>
    <x v="0"/>
    <d v="2020-08-09T00:00:00"/>
    <s v="Lipitor"/>
    <x v="1"/>
    <s v="Medium"/>
    <s v="Under Treatment"/>
    <s v="High Risk"/>
    <x v="2"/>
  </r>
  <r>
    <x v="657"/>
    <n v="19"/>
    <x v="0"/>
    <s v="O-"/>
    <x v="1"/>
    <d v="2023-02-03T00:00:00"/>
    <x v="654"/>
    <s v="Giles-Miller"/>
    <x v="2"/>
    <n v="25856.220204485999"/>
    <n v="441"/>
    <x v="1"/>
    <d v="2023-02-23T00:00:00"/>
    <s v="Lipitor"/>
    <x v="2"/>
    <s v="High"/>
    <s v="Under Treatment"/>
    <s v="High Risk"/>
    <x v="0"/>
  </r>
  <r>
    <x v="658"/>
    <n v="63"/>
    <x v="0"/>
    <s v="A-"/>
    <x v="5"/>
    <d v="2021-11-27T00:00:00"/>
    <x v="655"/>
    <s v="Martinez, and Snyder Hill"/>
    <x v="3"/>
    <n v="10443.6777697778"/>
    <n v="125"/>
    <x v="2"/>
    <d v="2021-12-08T00:00:00"/>
    <s v="Penicillin"/>
    <x v="0"/>
    <s v="Medium"/>
    <s v="Under Treatment"/>
    <s v="High Risk"/>
    <x v="1"/>
  </r>
  <r>
    <x v="659"/>
    <n v="38"/>
    <x v="0"/>
    <s v="A-"/>
    <x v="4"/>
    <d v="2020-08-18T00:00:00"/>
    <x v="656"/>
    <s v="Barber-Page"/>
    <x v="0"/>
    <n v="40606.458482727197"/>
    <n v="496"/>
    <x v="1"/>
    <d v="2020-08-24T00:00:00"/>
    <s v="Paracetamol"/>
    <x v="1"/>
    <s v="High"/>
    <s v="Under Treatment"/>
    <s v="High Risk"/>
    <x v="3"/>
  </r>
  <r>
    <x v="660"/>
    <n v="38"/>
    <x v="0"/>
    <s v="B-"/>
    <x v="3"/>
    <d v="2024-02-17T00:00:00"/>
    <x v="657"/>
    <s v="Johnson-Holland"/>
    <x v="3"/>
    <n v="34557.2886363492"/>
    <n v="174"/>
    <x v="1"/>
    <d v="2024-02-19T00:00:00"/>
    <s v="Lipitor"/>
    <x v="0"/>
    <s v="High"/>
    <s v="Under Treatment"/>
    <s v="High Risk"/>
    <x v="3"/>
  </r>
  <r>
    <x v="661"/>
    <n v="36"/>
    <x v="0"/>
    <s v="AB+"/>
    <x v="2"/>
    <d v="2021-12-17T00:00:00"/>
    <x v="658"/>
    <s v="Rodriguez Diaz Daugherty, and"/>
    <x v="0"/>
    <n v="28270.3035717442"/>
    <n v="119"/>
    <x v="2"/>
    <d v="2022-01-07T00:00:00"/>
    <s v="Ibuprofen"/>
    <x v="1"/>
    <s v="High"/>
    <s v="Under Treatment"/>
    <s v="High Risk"/>
    <x v="3"/>
  </r>
  <r>
    <x v="662"/>
    <n v="67"/>
    <x v="1"/>
    <s v="A+"/>
    <x v="5"/>
    <d v="2022-09-20T00:00:00"/>
    <x v="659"/>
    <s v="Rowland-Abbott"/>
    <x v="0"/>
    <n v="47734.987870708297"/>
    <n v="143"/>
    <x v="1"/>
    <d v="2022-10-07T00:00:00"/>
    <s v="Aspirin"/>
    <x v="2"/>
    <s v="High"/>
    <s v="Under Treatment"/>
    <s v="High Risk"/>
    <x v="2"/>
  </r>
  <r>
    <x v="663"/>
    <n v="39"/>
    <x v="0"/>
    <s v="A+"/>
    <x v="5"/>
    <d v="2021-10-12T00:00:00"/>
    <x v="660"/>
    <s v="Ryan-Mcneil"/>
    <x v="0"/>
    <n v="8731.4822745908004"/>
    <n v="219"/>
    <x v="1"/>
    <d v="2021-10-27T00:00:00"/>
    <s v="Ibuprofen"/>
    <x v="0"/>
    <s v="Medium"/>
    <s v="Under Treatment"/>
    <s v="High Risk"/>
    <x v="3"/>
  </r>
  <r>
    <x v="664"/>
    <n v="55"/>
    <x v="0"/>
    <s v="O-"/>
    <x v="3"/>
    <d v="2023-08-08T00:00:00"/>
    <x v="661"/>
    <s v="Ramos Miller and Moore,"/>
    <x v="1"/>
    <n v="19249.687186475301"/>
    <n v="107"/>
    <x v="1"/>
    <d v="2023-08-21T00:00:00"/>
    <s v="Aspirin"/>
    <x v="2"/>
    <s v="High"/>
    <s v="Under Treatment"/>
    <s v="High Risk"/>
    <x v="1"/>
  </r>
  <r>
    <x v="665"/>
    <n v="80"/>
    <x v="0"/>
    <s v="AB-"/>
    <x v="1"/>
    <d v="2019-11-15T00:00:00"/>
    <x v="662"/>
    <s v="Sons Cherry and"/>
    <x v="2"/>
    <n v="22758.637601322302"/>
    <n v="170"/>
    <x v="2"/>
    <d v="2019-12-13T00:00:00"/>
    <s v="Aspirin"/>
    <x v="1"/>
    <s v="High"/>
    <s v="Under Treatment"/>
    <s v="High Risk"/>
    <x v="2"/>
  </r>
  <r>
    <x v="666"/>
    <n v="41"/>
    <x v="0"/>
    <s v="O+"/>
    <x v="0"/>
    <d v="2022-11-08T00:00:00"/>
    <x v="663"/>
    <s v="Phillips Ltd"/>
    <x v="4"/>
    <n v="3899.8636407651702"/>
    <n v="234"/>
    <x v="1"/>
    <d v="2022-11-11T00:00:00"/>
    <s v="Penicillin"/>
    <x v="2"/>
    <s v="Low"/>
    <s v="Under Treatment"/>
    <s v="High Risk"/>
    <x v="3"/>
  </r>
  <r>
    <x v="667"/>
    <n v="81"/>
    <x v="0"/>
    <s v="A+"/>
    <x v="5"/>
    <d v="2020-02-24T00:00:00"/>
    <x v="664"/>
    <s v="Oliver Griffin Johnson, and"/>
    <x v="0"/>
    <n v="19698.000742558201"/>
    <n v="279"/>
    <x v="2"/>
    <d v="2020-03-16T00:00:00"/>
    <s v="Paracetamol"/>
    <x v="2"/>
    <s v="High"/>
    <s v="Under Treatment"/>
    <s v="High Risk"/>
    <x v="2"/>
  </r>
  <r>
    <x v="668"/>
    <n v="66"/>
    <x v="1"/>
    <s v="O+"/>
    <x v="3"/>
    <d v="2022-05-28T00:00:00"/>
    <x v="665"/>
    <s v="Gregory Group"/>
    <x v="2"/>
    <n v="34060.2729478252"/>
    <n v="111"/>
    <x v="2"/>
    <d v="2022-06-22T00:00:00"/>
    <s v="Lipitor"/>
    <x v="1"/>
    <s v="High"/>
    <s v="Under Treatment"/>
    <s v="High Risk"/>
    <x v="2"/>
  </r>
  <r>
    <x v="669"/>
    <n v="44"/>
    <x v="0"/>
    <s v="A+"/>
    <x v="4"/>
    <d v="2022-09-03T00:00:00"/>
    <x v="666"/>
    <s v="and Camacho Thomas Malone,"/>
    <x v="3"/>
    <n v="40367.634173431703"/>
    <n v="317"/>
    <x v="2"/>
    <d v="2022-09-30T00:00:00"/>
    <s v="Aspirin"/>
    <x v="1"/>
    <s v="High"/>
    <s v="Under Treatment"/>
    <s v="High Risk"/>
    <x v="3"/>
  </r>
  <r>
    <x v="670"/>
    <n v="81"/>
    <x v="1"/>
    <s v="AB-"/>
    <x v="5"/>
    <d v="2020-04-07T00:00:00"/>
    <x v="667"/>
    <s v="LLC Smith"/>
    <x v="4"/>
    <n v="3638.2461963533001"/>
    <n v="125"/>
    <x v="1"/>
    <d v="2020-04-30T00:00:00"/>
    <s v="Aspirin"/>
    <x v="2"/>
    <s v="Low"/>
    <s v="Under Treatment"/>
    <s v="High Risk"/>
    <x v="2"/>
  </r>
  <r>
    <x v="671"/>
    <n v="77"/>
    <x v="0"/>
    <s v="O+"/>
    <x v="5"/>
    <d v="2019-08-25T00:00:00"/>
    <x v="668"/>
    <s v="Cunningham Andrade and Butler,"/>
    <x v="4"/>
    <n v="46134.925978635998"/>
    <n v="107"/>
    <x v="2"/>
    <d v="2019-09-04T00:00:00"/>
    <s v="Aspirin"/>
    <x v="1"/>
    <s v="High"/>
    <s v="Under Treatment"/>
    <s v="High Risk"/>
    <x v="2"/>
  </r>
  <r>
    <x v="672"/>
    <n v="78"/>
    <x v="0"/>
    <s v="O+"/>
    <x v="0"/>
    <d v="2024-02-25T00:00:00"/>
    <x v="669"/>
    <s v="Ltd Smith"/>
    <x v="2"/>
    <n v="30549.6533247304"/>
    <n v="314"/>
    <x v="1"/>
    <d v="2024-03-08T00:00:00"/>
    <s v="Paracetamol"/>
    <x v="1"/>
    <s v="High"/>
    <s v="Under Treatment"/>
    <s v="High Risk"/>
    <x v="2"/>
  </r>
  <r>
    <x v="673"/>
    <n v="70"/>
    <x v="0"/>
    <s v="O+"/>
    <x v="2"/>
    <d v="2019-09-08T00:00:00"/>
    <x v="670"/>
    <s v="Inc Sanchez"/>
    <x v="1"/>
    <n v="13666.17587126"/>
    <n v="331"/>
    <x v="2"/>
    <d v="2019-09-09T00:00:00"/>
    <s v="Lipitor"/>
    <x v="0"/>
    <s v="Medium"/>
    <s v="Under Treatment"/>
    <s v="High Risk"/>
    <x v="2"/>
  </r>
  <r>
    <x v="674"/>
    <n v="33"/>
    <x v="0"/>
    <s v="B-"/>
    <x v="3"/>
    <d v="2023-05-25T00:00:00"/>
    <x v="671"/>
    <s v="Rice, Cooper Rivera and"/>
    <x v="2"/>
    <n v="45199.273308814103"/>
    <n v="388"/>
    <x v="2"/>
    <d v="2023-05-29T00:00:00"/>
    <s v="Lipitor"/>
    <x v="2"/>
    <s v="High"/>
    <s v="Under Treatment"/>
    <s v="High Risk"/>
    <x v="0"/>
  </r>
  <r>
    <x v="675"/>
    <n v="56"/>
    <x v="1"/>
    <s v="AB-"/>
    <x v="5"/>
    <d v="2023-07-11T00:00:00"/>
    <x v="672"/>
    <s v="Garcia LLC"/>
    <x v="1"/>
    <n v="20514.400178780699"/>
    <n v="214"/>
    <x v="2"/>
    <d v="2023-08-01T00:00:00"/>
    <s v="Ibuprofen"/>
    <x v="2"/>
    <s v="High"/>
    <s v="Under Treatment"/>
    <s v="High Risk"/>
    <x v="1"/>
  </r>
  <r>
    <x v="676"/>
    <n v="33"/>
    <x v="0"/>
    <s v="AB+"/>
    <x v="4"/>
    <d v="2021-11-05T00:00:00"/>
    <x v="673"/>
    <s v="Hogan, Young Holmes and"/>
    <x v="1"/>
    <n v="2462.2103195749701"/>
    <n v="329"/>
    <x v="0"/>
    <d v="2021-11-06T00:00:00"/>
    <s v="Paracetamol"/>
    <x v="1"/>
    <s v="Low"/>
    <s v="Under Treatment"/>
    <s v="High Risk"/>
    <x v="0"/>
  </r>
  <r>
    <x v="677"/>
    <n v="25"/>
    <x v="0"/>
    <s v="O-"/>
    <x v="4"/>
    <d v="2023-08-27T00:00:00"/>
    <x v="674"/>
    <s v="Vazquez-Sanchez"/>
    <x v="2"/>
    <n v="31401.501850284902"/>
    <n v="265"/>
    <x v="0"/>
    <d v="2023-08-28T00:00:00"/>
    <s v="Lipitor"/>
    <x v="1"/>
    <s v="High"/>
    <s v="Under Treatment"/>
    <s v="High Risk"/>
    <x v="0"/>
  </r>
  <r>
    <x v="678"/>
    <n v="66"/>
    <x v="1"/>
    <s v="B-"/>
    <x v="1"/>
    <d v="2022-05-26T00:00:00"/>
    <x v="675"/>
    <s v="Mcintyre Ltd"/>
    <x v="3"/>
    <n v="20749.862818116799"/>
    <n v="179"/>
    <x v="2"/>
    <d v="2022-05-30T00:00:00"/>
    <s v="Paracetamol"/>
    <x v="1"/>
    <s v="High"/>
    <s v="Under Treatment"/>
    <s v="High Risk"/>
    <x v="2"/>
  </r>
  <r>
    <x v="679"/>
    <n v="37"/>
    <x v="0"/>
    <s v="AB+"/>
    <x v="3"/>
    <d v="2022-09-26T00:00:00"/>
    <x v="676"/>
    <s v="and Moore Sons"/>
    <x v="4"/>
    <n v="35821.649335478003"/>
    <n v="230"/>
    <x v="0"/>
    <d v="2022-10-24T00:00:00"/>
    <s v="Paracetamol"/>
    <x v="0"/>
    <s v="High"/>
    <s v="Under Treatment"/>
    <s v="High Risk"/>
    <x v="3"/>
  </r>
  <r>
    <x v="680"/>
    <n v="56"/>
    <x v="0"/>
    <s v="A-"/>
    <x v="5"/>
    <d v="2019-12-26T00:00:00"/>
    <x v="677"/>
    <s v="and Mclaughlin Powers Stevens,"/>
    <x v="1"/>
    <n v="21633.327763436599"/>
    <n v="111"/>
    <x v="2"/>
    <d v="2019-12-27T00:00:00"/>
    <s v="Paracetamol"/>
    <x v="1"/>
    <s v="High"/>
    <s v="Under Treatment"/>
    <s v="High Risk"/>
    <x v="1"/>
  </r>
  <r>
    <x v="681"/>
    <n v="51"/>
    <x v="0"/>
    <s v="A-"/>
    <x v="5"/>
    <d v="2021-01-18T00:00:00"/>
    <x v="678"/>
    <s v="and Anderson, Porter Becker"/>
    <x v="0"/>
    <n v="39448.886509397802"/>
    <n v="124"/>
    <x v="2"/>
    <d v="2021-02-11T00:00:00"/>
    <s v="Aspirin"/>
    <x v="1"/>
    <s v="High"/>
    <s v="Under Treatment"/>
    <s v="High Risk"/>
    <x v="1"/>
  </r>
  <r>
    <x v="682"/>
    <n v="40"/>
    <x v="1"/>
    <s v="O-"/>
    <x v="0"/>
    <d v="2021-02-23T00:00:00"/>
    <x v="679"/>
    <s v="Bailey-Hunt"/>
    <x v="1"/>
    <n v="8867.7466691417594"/>
    <n v="302"/>
    <x v="1"/>
    <d v="2021-03-20T00:00:00"/>
    <s v="Lipitor"/>
    <x v="1"/>
    <s v="Medium"/>
    <s v="Under Treatment"/>
    <s v="High Risk"/>
    <x v="3"/>
  </r>
  <r>
    <x v="683"/>
    <n v="76"/>
    <x v="0"/>
    <s v="A+"/>
    <x v="3"/>
    <d v="2019-09-22T00:00:00"/>
    <x v="680"/>
    <s v="Watson Johnson Joseph, and"/>
    <x v="2"/>
    <n v="13014.3300004474"/>
    <n v="108"/>
    <x v="1"/>
    <d v="2019-09-28T00:00:00"/>
    <s v="Aspirin"/>
    <x v="2"/>
    <s v="Medium"/>
    <s v="Under Treatment"/>
    <s v="High Risk"/>
    <x v="2"/>
  </r>
  <r>
    <x v="684"/>
    <n v="54"/>
    <x v="0"/>
    <s v="O+"/>
    <x v="1"/>
    <d v="2020-05-12T00:00:00"/>
    <x v="681"/>
    <s v="and Goodwin, Hernandez Andrade"/>
    <x v="1"/>
    <n v="41307.895829138302"/>
    <n v="141"/>
    <x v="2"/>
    <d v="2020-05-17T00:00:00"/>
    <s v="Penicillin"/>
    <x v="0"/>
    <s v="High"/>
    <s v="Under Treatment"/>
    <s v="High Risk"/>
    <x v="1"/>
  </r>
  <r>
    <x v="685"/>
    <n v="40"/>
    <x v="0"/>
    <s v="B+"/>
    <x v="3"/>
    <d v="2022-08-29T00:00:00"/>
    <x v="682"/>
    <s v="Solomon PLC"/>
    <x v="1"/>
    <n v="36632.318354519797"/>
    <n v="476"/>
    <x v="0"/>
    <d v="2022-09-10T00:00:00"/>
    <s v="Penicillin"/>
    <x v="1"/>
    <s v="High"/>
    <s v="Under Treatment"/>
    <s v="High Risk"/>
    <x v="3"/>
  </r>
  <r>
    <x v="686"/>
    <n v="79"/>
    <x v="0"/>
    <s v="O-"/>
    <x v="0"/>
    <d v="2019-11-01T00:00:00"/>
    <x v="683"/>
    <s v="Flores Sons and"/>
    <x v="0"/>
    <n v="17658.472403553402"/>
    <n v="461"/>
    <x v="1"/>
    <d v="2019-11-19T00:00:00"/>
    <s v="Penicillin"/>
    <x v="1"/>
    <s v="High"/>
    <s v="Under Treatment"/>
    <s v="High Risk"/>
    <x v="2"/>
  </r>
  <r>
    <x v="687"/>
    <n v="42"/>
    <x v="0"/>
    <s v="B+"/>
    <x v="2"/>
    <d v="2021-02-28T00:00:00"/>
    <x v="684"/>
    <s v="Lopez Keller, Williams and"/>
    <x v="4"/>
    <n v="7383.3833592049896"/>
    <n v="395"/>
    <x v="1"/>
    <d v="2021-03-14T00:00:00"/>
    <s v="Paracetamol"/>
    <x v="0"/>
    <s v="Medium"/>
    <s v="Under Treatment"/>
    <s v="High Risk"/>
    <x v="3"/>
  </r>
  <r>
    <x v="688"/>
    <n v="41"/>
    <x v="0"/>
    <s v="A+"/>
    <x v="3"/>
    <d v="2020-09-07T00:00:00"/>
    <x v="685"/>
    <s v="Brown-Wood"/>
    <x v="0"/>
    <n v="28974.4553263161"/>
    <n v="377"/>
    <x v="2"/>
    <d v="2020-09-30T00:00:00"/>
    <s v="Paracetamol"/>
    <x v="0"/>
    <s v="High"/>
    <s v="Under Treatment"/>
    <s v="High Risk"/>
    <x v="3"/>
  </r>
  <r>
    <x v="689"/>
    <n v="26"/>
    <x v="0"/>
    <s v="A+"/>
    <x v="5"/>
    <d v="2024-02-16T00:00:00"/>
    <x v="686"/>
    <s v="Martinez-Davis"/>
    <x v="0"/>
    <n v="4697.2343343229204"/>
    <n v="143"/>
    <x v="2"/>
    <d v="2024-02-28T00:00:00"/>
    <s v="Aspirin"/>
    <x v="2"/>
    <s v="Low"/>
    <s v="Under Treatment"/>
    <s v="High Risk"/>
    <x v="0"/>
  </r>
  <r>
    <x v="690"/>
    <n v="76"/>
    <x v="1"/>
    <s v="B+"/>
    <x v="0"/>
    <d v="2021-01-16T00:00:00"/>
    <x v="687"/>
    <s v="Alexander-Oconnor"/>
    <x v="4"/>
    <n v="41150.190687148097"/>
    <n v="244"/>
    <x v="2"/>
    <d v="2021-01-27T00:00:00"/>
    <s v="Lipitor"/>
    <x v="2"/>
    <s v="High"/>
    <s v="Under Treatment"/>
    <s v="High Risk"/>
    <x v="2"/>
  </r>
  <r>
    <x v="691"/>
    <n v="29"/>
    <x v="1"/>
    <s v="A+"/>
    <x v="5"/>
    <d v="2023-01-31T00:00:00"/>
    <x v="688"/>
    <s v="Carlson-Stone"/>
    <x v="4"/>
    <n v="30324.4509103686"/>
    <n v="156"/>
    <x v="1"/>
    <d v="2023-02-14T00:00:00"/>
    <s v="Penicillin"/>
    <x v="0"/>
    <s v="High"/>
    <s v="Under Treatment"/>
    <s v="High Risk"/>
    <x v="0"/>
  </r>
  <r>
    <x v="692"/>
    <n v="30"/>
    <x v="1"/>
    <s v="O-"/>
    <x v="2"/>
    <d v="2022-04-27T00:00:00"/>
    <x v="689"/>
    <s v="Nicholson-Johnson"/>
    <x v="4"/>
    <n v="46717.950110965401"/>
    <n v="147"/>
    <x v="0"/>
    <d v="2022-05-01T00:00:00"/>
    <s v="Penicillin"/>
    <x v="1"/>
    <s v="High"/>
    <s v="Under Treatment"/>
    <s v="High Risk"/>
    <x v="0"/>
  </r>
  <r>
    <x v="693"/>
    <n v="37"/>
    <x v="1"/>
    <s v="O-"/>
    <x v="3"/>
    <d v="2020-06-06T00:00:00"/>
    <x v="690"/>
    <s v="PLC Carr"/>
    <x v="2"/>
    <n v="49997.326369686103"/>
    <n v="427"/>
    <x v="2"/>
    <d v="2020-06-22T00:00:00"/>
    <s v="Aspirin"/>
    <x v="0"/>
    <s v="High"/>
    <s v="Under Treatment"/>
    <s v="High Risk"/>
    <x v="3"/>
  </r>
  <r>
    <x v="694"/>
    <n v="82"/>
    <x v="1"/>
    <s v="AB-"/>
    <x v="3"/>
    <d v="2019-11-02T00:00:00"/>
    <x v="691"/>
    <s v="Alexander-Middleton"/>
    <x v="0"/>
    <n v="38397.023322175497"/>
    <n v="316"/>
    <x v="2"/>
    <d v="2019-11-28T00:00:00"/>
    <s v="Penicillin"/>
    <x v="2"/>
    <s v="High"/>
    <s v="Under Treatment"/>
    <s v="High Risk"/>
    <x v="2"/>
  </r>
  <r>
    <x v="695"/>
    <n v="52"/>
    <x v="1"/>
    <s v="A+"/>
    <x v="5"/>
    <d v="2021-01-10T00:00:00"/>
    <x v="692"/>
    <s v="Group Schneider"/>
    <x v="2"/>
    <n v="25685.625760964602"/>
    <n v="260"/>
    <x v="1"/>
    <d v="2021-01-25T00:00:00"/>
    <s v="Paracetamol"/>
    <x v="2"/>
    <s v="High"/>
    <s v="Under Treatment"/>
    <s v="High Risk"/>
    <x v="1"/>
  </r>
  <r>
    <x v="696"/>
    <n v="30"/>
    <x v="0"/>
    <s v="A+"/>
    <x v="0"/>
    <d v="2021-02-17T00:00:00"/>
    <x v="693"/>
    <s v="Ramos-Holt"/>
    <x v="0"/>
    <n v="7609.4360165669996"/>
    <n v="404"/>
    <x v="0"/>
    <d v="2021-03-07T00:00:00"/>
    <s v="Ibuprofen"/>
    <x v="2"/>
    <s v="Medium"/>
    <s v="Under Treatment"/>
    <s v="High Risk"/>
    <x v="0"/>
  </r>
  <r>
    <x v="697"/>
    <n v="76"/>
    <x v="0"/>
    <s v="A-"/>
    <x v="2"/>
    <d v="2023-06-04T00:00:00"/>
    <x v="694"/>
    <s v="Patterson and Peterson, Velazquez"/>
    <x v="1"/>
    <n v="46287.049309881702"/>
    <n v="451"/>
    <x v="1"/>
    <d v="2023-06-27T00:00:00"/>
    <s v="Paracetamol"/>
    <x v="1"/>
    <s v="High"/>
    <s v="Under Treatment"/>
    <s v="High Risk"/>
    <x v="2"/>
  </r>
  <r>
    <x v="698"/>
    <n v="56"/>
    <x v="0"/>
    <s v="B-"/>
    <x v="2"/>
    <d v="2023-09-07T00:00:00"/>
    <x v="695"/>
    <s v="Jensen and Jackson, Greene"/>
    <x v="1"/>
    <n v="19204.9177799971"/>
    <n v="131"/>
    <x v="1"/>
    <d v="2023-10-06T00:00:00"/>
    <s v="Lipitor"/>
    <x v="1"/>
    <s v="High"/>
    <s v="Under Treatment"/>
    <s v="High Risk"/>
    <x v="1"/>
  </r>
  <r>
    <x v="699"/>
    <n v="65"/>
    <x v="1"/>
    <s v="O-"/>
    <x v="4"/>
    <d v="2022-09-29T00:00:00"/>
    <x v="696"/>
    <s v="Mathews-Lawrence"/>
    <x v="3"/>
    <n v="45019.026313259601"/>
    <n v="237"/>
    <x v="1"/>
    <d v="2022-10-09T00:00:00"/>
    <s v="Paracetamol"/>
    <x v="2"/>
    <s v="High"/>
    <s v="Under Treatment"/>
    <s v="High Risk"/>
    <x v="1"/>
  </r>
  <r>
    <x v="700"/>
    <n v="83"/>
    <x v="1"/>
    <s v="A+"/>
    <x v="1"/>
    <d v="2022-02-03T00:00:00"/>
    <x v="697"/>
    <s v="Morales, Johnson and Carlson"/>
    <x v="0"/>
    <n v="44581.153495409599"/>
    <n v="374"/>
    <x v="0"/>
    <d v="2022-02-08T00:00:00"/>
    <s v="Penicillin"/>
    <x v="2"/>
    <s v="High"/>
    <s v="Under Treatment"/>
    <s v="High Risk"/>
    <x v="2"/>
  </r>
  <r>
    <x v="701"/>
    <n v="43"/>
    <x v="1"/>
    <s v="B+"/>
    <x v="4"/>
    <d v="2024-02-14T00:00:00"/>
    <x v="698"/>
    <s v="Wilson, Ward Taylor and"/>
    <x v="1"/>
    <n v="8726.6990064883194"/>
    <n v="164"/>
    <x v="2"/>
    <d v="2024-03-02T00:00:00"/>
    <s v="Penicillin"/>
    <x v="1"/>
    <s v="Medium"/>
    <s v="Under Treatment"/>
    <s v="High Risk"/>
    <x v="3"/>
  </r>
  <r>
    <x v="702"/>
    <n v="84"/>
    <x v="0"/>
    <s v="A+"/>
    <x v="4"/>
    <d v="2020-09-10T00:00:00"/>
    <x v="699"/>
    <s v="Torres-Johnson"/>
    <x v="4"/>
    <n v="41966.568909977803"/>
    <n v="293"/>
    <x v="0"/>
    <d v="2020-09-21T00:00:00"/>
    <s v="Ibuprofen"/>
    <x v="1"/>
    <s v="High"/>
    <s v="Under Treatment"/>
    <s v="High Risk"/>
    <x v="2"/>
  </r>
  <r>
    <x v="703"/>
    <n v="77"/>
    <x v="0"/>
    <s v="O-"/>
    <x v="1"/>
    <d v="2021-10-01T00:00:00"/>
    <x v="700"/>
    <s v="and Dunlap, Wright Mays"/>
    <x v="3"/>
    <n v="43644.337080581303"/>
    <n v="298"/>
    <x v="1"/>
    <d v="2021-10-23T00:00:00"/>
    <s v="Paracetamol"/>
    <x v="2"/>
    <s v="High"/>
    <s v="Under Treatment"/>
    <s v="High Risk"/>
    <x v="2"/>
  </r>
  <r>
    <x v="704"/>
    <n v="60"/>
    <x v="0"/>
    <s v="O+"/>
    <x v="5"/>
    <d v="2021-06-05T00:00:00"/>
    <x v="701"/>
    <s v="Sullivan-Crosby"/>
    <x v="0"/>
    <n v="45304.389497577598"/>
    <n v="424"/>
    <x v="2"/>
    <d v="2021-06-11T00:00:00"/>
    <s v="Penicillin"/>
    <x v="1"/>
    <s v="High"/>
    <s v="Under Treatment"/>
    <s v="High Risk"/>
    <x v="1"/>
  </r>
  <r>
    <x v="705"/>
    <n v="48"/>
    <x v="0"/>
    <s v="O+"/>
    <x v="5"/>
    <d v="2023-08-09T00:00:00"/>
    <x v="702"/>
    <s v="and Shaw, Davis Pollard"/>
    <x v="3"/>
    <n v="18891.920993150201"/>
    <n v="274"/>
    <x v="0"/>
    <d v="2023-08-26T00:00:00"/>
    <s v="Paracetamol"/>
    <x v="1"/>
    <s v="High"/>
    <s v="Under Treatment"/>
    <s v="High Risk"/>
    <x v="3"/>
  </r>
  <r>
    <x v="706"/>
    <n v="38"/>
    <x v="0"/>
    <s v="B-"/>
    <x v="5"/>
    <d v="2021-05-05T00:00:00"/>
    <x v="703"/>
    <s v="Galloway-Barnett"/>
    <x v="1"/>
    <n v="15072.5709264739"/>
    <n v="321"/>
    <x v="2"/>
    <d v="2021-05-15T00:00:00"/>
    <s v="Penicillin"/>
    <x v="2"/>
    <s v="High"/>
    <s v="Under Treatment"/>
    <s v="High Risk"/>
    <x v="3"/>
  </r>
  <r>
    <x v="707"/>
    <n v="72"/>
    <x v="1"/>
    <s v="A-"/>
    <x v="3"/>
    <d v="2024-04-20T00:00:00"/>
    <x v="704"/>
    <s v="Miller Olson, and Collins"/>
    <x v="4"/>
    <n v="7380.7312983579995"/>
    <n v="124"/>
    <x v="2"/>
    <d v="2024-05-10T00:00:00"/>
    <s v="Aspirin"/>
    <x v="0"/>
    <s v="Medium"/>
    <s v="Under Treatment"/>
    <s v="High Risk"/>
    <x v="2"/>
  </r>
  <r>
    <x v="708"/>
    <n v="70"/>
    <x v="1"/>
    <s v="A+"/>
    <x v="3"/>
    <d v="2022-06-13T00:00:00"/>
    <x v="705"/>
    <s v="Wheeler and Miller Burch,"/>
    <x v="3"/>
    <n v="5936.3634114612096"/>
    <n v="117"/>
    <x v="2"/>
    <d v="2022-07-05T00:00:00"/>
    <s v="Lipitor"/>
    <x v="2"/>
    <s v="Medium"/>
    <s v="Under Treatment"/>
    <s v="High Risk"/>
    <x v="2"/>
  </r>
  <r>
    <x v="709"/>
    <n v="46"/>
    <x v="1"/>
    <s v="O+"/>
    <x v="4"/>
    <d v="2023-09-01T00:00:00"/>
    <x v="706"/>
    <s v="Mercer-Booker"/>
    <x v="4"/>
    <n v="7704.3009909149996"/>
    <n v="331"/>
    <x v="1"/>
    <d v="2023-09-18T00:00:00"/>
    <s v="Penicillin"/>
    <x v="2"/>
    <s v="Medium"/>
    <s v="Under Treatment"/>
    <s v="High Risk"/>
    <x v="3"/>
  </r>
  <r>
    <x v="710"/>
    <n v="34"/>
    <x v="1"/>
    <s v="O+"/>
    <x v="3"/>
    <d v="2019-12-19T00:00:00"/>
    <x v="707"/>
    <s v="Fernandez Harris, and Wilson"/>
    <x v="3"/>
    <n v="25275.9442276636"/>
    <n v="475"/>
    <x v="0"/>
    <d v="2020-01-16T00:00:00"/>
    <s v="Ibuprofen"/>
    <x v="1"/>
    <s v="High"/>
    <s v="Under Treatment"/>
    <s v="High Risk"/>
    <x v="0"/>
  </r>
  <r>
    <x v="711"/>
    <n v="49"/>
    <x v="0"/>
    <s v="A-"/>
    <x v="4"/>
    <d v="2020-12-06T00:00:00"/>
    <x v="708"/>
    <s v="Young-Myers"/>
    <x v="2"/>
    <n v="17002.303270714299"/>
    <n v="194"/>
    <x v="1"/>
    <d v="2020-12-09T00:00:00"/>
    <s v="Ibuprofen"/>
    <x v="0"/>
    <s v="High"/>
    <s v="Under Treatment"/>
    <s v="High Risk"/>
    <x v="3"/>
  </r>
  <r>
    <x v="712"/>
    <n v="44"/>
    <x v="1"/>
    <s v="B+"/>
    <x v="0"/>
    <d v="2019-05-13T00:00:00"/>
    <x v="709"/>
    <s v="Johnson PLC"/>
    <x v="1"/>
    <n v="4794.7513545462498"/>
    <n v="382"/>
    <x v="1"/>
    <d v="2019-06-10T00:00:00"/>
    <s v="Paracetamol"/>
    <x v="1"/>
    <s v="Low"/>
    <s v="Under Treatment"/>
    <s v="High Risk"/>
    <x v="3"/>
  </r>
  <r>
    <x v="713"/>
    <n v="37"/>
    <x v="0"/>
    <s v="AB-"/>
    <x v="5"/>
    <d v="2022-07-28T00:00:00"/>
    <x v="710"/>
    <s v="Jarvis-Craig"/>
    <x v="2"/>
    <n v="45218.741051155899"/>
    <n v="346"/>
    <x v="2"/>
    <d v="2022-08-16T00:00:00"/>
    <s v="Aspirin"/>
    <x v="2"/>
    <s v="High"/>
    <s v="Under Treatment"/>
    <s v="High Risk"/>
    <x v="3"/>
  </r>
  <r>
    <x v="714"/>
    <n v="58"/>
    <x v="1"/>
    <s v="O+"/>
    <x v="2"/>
    <d v="2022-10-15T00:00:00"/>
    <x v="711"/>
    <s v="Schneider-Patton"/>
    <x v="4"/>
    <n v="32052.0564587382"/>
    <n v="109"/>
    <x v="0"/>
    <d v="2022-11-05T00:00:00"/>
    <s v="Ibuprofen"/>
    <x v="2"/>
    <s v="High"/>
    <s v="Under Treatment"/>
    <s v="High Risk"/>
    <x v="1"/>
  </r>
  <r>
    <x v="715"/>
    <n v="43"/>
    <x v="0"/>
    <s v="A-"/>
    <x v="1"/>
    <d v="2021-02-13T00:00:00"/>
    <x v="712"/>
    <s v="Archer Inc"/>
    <x v="3"/>
    <n v="51441.729053453899"/>
    <n v="449"/>
    <x v="0"/>
    <d v="2021-03-03T00:00:00"/>
    <s v="Aspirin"/>
    <x v="2"/>
    <s v="High"/>
    <s v="Under Treatment"/>
    <s v="High Risk"/>
    <x v="3"/>
  </r>
  <r>
    <x v="716"/>
    <n v="57"/>
    <x v="1"/>
    <s v="AB-"/>
    <x v="0"/>
    <d v="2023-05-31T00:00:00"/>
    <x v="713"/>
    <s v="Castaneda-Powell"/>
    <x v="0"/>
    <n v="1821.34794642876"/>
    <n v="379"/>
    <x v="1"/>
    <d v="2023-06-25T00:00:00"/>
    <s v="Penicillin"/>
    <x v="1"/>
    <s v="Low"/>
    <s v="Under Treatment"/>
    <s v="High Risk"/>
    <x v="1"/>
  </r>
  <r>
    <x v="717"/>
    <n v="76"/>
    <x v="0"/>
    <s v="AB+"/>
    <x v="5"/>
    <d v="2020-01-18T00:00:00"/>
    <x v="309"/>
    <s v="King, Williams and Terry"/>
    <x v="2"/>
    <n v="23857.499484281601"/>
    <n v="214"/>
    <x v="0"/>
    <d v="2020-01-26T00:00:00"/>
    <s v="Paracetamol"/>
    <x v="1"/>
    <s v="High"/>
    <s v="Under Treatment"/>
    <s v="High Risk"/>
    <x v="2"/>
  </r>
  <r>
    <x v="718"/>
    <n v="53"/>
    <x v="1"/>
    <s v="B-"/>
    <x v="0"/>
    <d v="2020-08-19T00:00:00"/>
    <x v="714"/>
    <s v="Henry PLC"/>
    <x v="4"/>
    <n v="4795.5134389097402"/>
    <n v="152"/>
    <x v="0"/>
    <d v="2020-08-28T00:00:00"/>
    <s v="Penicillin"/>
    <x v="2"/>
    <s v="Low"/>
    <s v="Under Treatment"/>
    <s v="High Risk"/>
    <x v="1"/>
  </r>
  <r>
    <x v="719"/>
    <n v="21"/>
    <x v="1"/>
    <s v="O+"/>
    <x v="3"/>
    <d v="2020-09-05T00:00:00"/>
    <x v="715"/>
    <s v="Santiago-Bush"/>
    <x v="2"/>
    <n v="10837.614583472799"/>
    <n v="261"/>
    <x v="1"/>
    <d v="2020-09-25T00:00:00"/>
    <s v="Aspirin"/>
    <x v="0"/>
    <s v="Medium"/>
    <s v="Under Treatment"/>
    <s v="High Risk"/>
    <x v="0"/>
  </r>
  <r>
    <x v="720"/>
    <n v="71"/>
    <x v="0"/>
    <s v="AB-"/>
    <x v="2"/>
    <d v="2021-04-26T00:00:00"/>
    <x v="716"/>
    <s v="Ltd Carroll"/>
    <x v="3"/>
    <n v="11426.0121308383"/>
    <n v="169"/>
    <x v="1"/>
    <d v="2021-05-04T00:00:00"/>
    <s v="Aspirin"/>
    <x v="2"/>
    <s v="Medium"/>
    <s v="Under Treatment"/>
    <s v="High Risk"/>
    <x v="2"/>
  </r>
  <r>
    <x v="721"/>
    <n v="28"/>
    <x v="1"/>
    <s v="O-"/>
    <x v="2"/>
    <d v="2024-01-20T00:00:00"/>
    <x v="717"/>
    <s v="Stevenson, Harding and Woods"/>
    <x v="4"/>
    <n v="20590.515395957002"/>
    <n v="105"/>
    <x v="0"/>
    <d v="2024-01-28T00:00:00"/>
    <s v="Penicillin"/>
    <x v="0"/>
    <s v="High"/>
    <s v="Under Treatment"/>
    <s v="High Risk"/>
    <x v="0"/>
  </r>
  <r>
    <x v="722"/>
    <n v="40"/>
    <x v="0"/>
    <s v="O+"/>
    <x v="5"/>
    <d v="2020-12-27T00:00:00"/>
    <x v="718"/>
    <s v="LLC Hernandez"/>
    <x v="4"/>
    <n v="33188.926549503703"/>
    <n v="107"/>
    <x v="0"/>
    <d v="2021-01-23T00:00:00"/>
    <s v="Penicillin"/>
    <x v="2"/>
    <s v="High"/>
    <s v="Under Treatment"/>
    <s v="High Risk"/>
    <x v="3"/>
  </r>
  <r>
    <x v="723"/>
    <n v="50"/>
    <x v="1"/>
    <s v="AB+"/>
    <x v="3"/>
    <d v="2021-09-22T00:00:00"/>
    <x v="719"/>
    <s v="Kidd Romero, and Douglas"/>
    <x v="3"/>
    <n v="47130.025596781401"/>
    <n v="311"/>
    <x v="0"/>
    <d v="2021-10-15T00:00:00"/>
    <s v="Lipitor"/>
    <x v="2"/>
    <s v="High"/>
    <s v="Under Treatment"/>
    <s v="High Risk"/>
    <x v="3"/>
  </r>
  <r>
    <x v="724"/>
    <n v="64"/>
    <x v="1"/>
    <s v="B-"/>
    <x v="0"/>
    <d v="2023-05-01T00:00:00"/>
    <x v="720"/>
    <s v="and Cordova Sons"/>
    <x v="4"/>
    <n v="20361.865517906601"/>
    <n v="366"/>
    <x v="0"/>
    <d v="2023-05-31T00:00:00"/>
    <s v="Lipitor"/>
    <x v="2"/>
    <s v="High"/>
    <s v="Under Treatment"/>
    <s v="High Risk"/>
    <x v="1"/>
  </r>
  <r>
    <x v="725"/>
    <n v="52"/>
    <x v="1"/>
    <s v="O+"/>
    <x v="4"/>
    <d v="2021-02-22T00:00:00"/>
    <x v="721"/>
    <s v="Robinson Group"/>
    <x v="1"/>
    <n v="6969.09152159104"/>
    <n v="379"/>
    <x v="1"/>
    <d v="2021-03-15T00:00:00"/>
    <s v="Penicillin"/>
    <x v="0"/>
    <s v="Medium"/>
    <s v="Under Treatment"/>
    <s v="High Risk"/>
    <x v="1"/>
  </r>
  <r>
    <x v="726"/>
    <n v="76"/>
    <x v="0"/>
    <s v="B+"/>
    <x v="1"/>
    <d v="2022-03-10T00:00:00"/>
    <x v="722"/>
    <s v="Hayes Ryan, and Martinez"/>
    <x v="0"/>
    <n v="31405.5806284379"/>
    <n v="103"/>
    <x v="0"/>
    <d v="2022-03-18T00:00:00"/>
    <s v="Aspirin"/>
    <x v="1"/>
    <s v="High"/>
    <s v="Under Treatment"/>
    <s v="High Risk"/>
    <x v="2"/>
  </r>
  <r>
    <x v="727"/>
    <n v="52"/>
    <x v="0"/>
    <s v="B+"/>
    <x v="1"/>
    <d v="2022-10-23T00:00:00"/>
    <x v="723"/>
    <s v="Glover and Oneill Miller,"/>
    <x v="4"/>
    <n v="22976.907581906999"/>
    <n v="309"/>
    <x v="1"/>
    <d v="2022-11-03T00:00:00"/>
    <s v="Aspirin"/>
    <x v="2"/>
    <s v="High"/>
    <s v="Under Treatment"/>
    <s v="High Risk"/>
    <x v="1"/>
  </r>
  <r>
    <x v="728"/>
    <n v="77"/>
    <x v="1"/>
    <s v="O-"/>
    <x v="0"/>
    <d v="2024-03-13T00:00:00"/>
    <x v="724"/>
    <s v="Diaz Inc"/>
    <x v="2"/>
    <n v="32136.5104076893"/>
    <n v="384"/>
    <x v="1"/>
    <d v="2024-03-29T00:00:00"/>
    <s v="Penicillin"/>
    <x v="1"/>
    <s v="High"/>
    <s v="Under Treatment"/>
    <s v="High Risk"/>
    <x v="2"/>
  </r>
  <r>
    <x v="729"/>
    <n v="36"/>
    <x v="0"/>
    <s v="B-"/>
    <x v="1"/>
    <d v="2020-09-15T00:00:00"/>
    <x v="725"/>
    <s v="Roberts Inc"/>
    <x v="4"/>
    <n v="5624.2886687559803"/>
    <n v="380"/>
    <x v="1"/>
    <d v="2020-09-26T00:00:00"/>
    <s v="Paracetamol"/>
    <x v="1"/>
    <s v="Medium"/>
    <s v="Under Treatment"/>
    <s v="High Risk"/>
    <x v="3"/>
  </r>
  <r>
    <x v="730"/>
    <n v="72"/>
    <x v="1"/>
    <s v="AB+"/>
    <x v="0"/>
    <d v="2019-10-31T00:00:00"/>
    <x v="726"/>
    <s v="Riley, Grimes Ruiz and"/>
    <x v="0"/>
    <n v="5823.0480613071104"/>
    <n v="219"/>
    <x v="2"/>
    <d v="2019-11-03T00:00:00"/>
    <s v="Lipitor"/>
    <x v="1"/>
    <s v="Medium"/>
    <s v="Under Treatment"/>
    <s v="High Risk"/>
    <x v="2"/>
  </r>
  <r>
    <x v="731"/>
    <n v="44"/>
    <x v="1"/>
    <s v="O-"/>
    <x v="5"/>
    <d v="2021-08-27T00:00:00"/>
    <x v="727"/>
    <s v="Gomez Inc"/>
    <x v="1"/>
    <n v="8104.6679772965999"/>
    <n v="174"/>
    <x v="2"/>
    <d v="2021-09-24T00:00:00"/>
    <s v="Lipitor"/>
    <x v="1"/>
    <s v="Medium"/>
    <s v="Under Treatment"/>
    <s v="High Risk"/>
    <x v="3"/>
  </r>
  <r>
    <x v="732"/>
    <n v="32"/>
    <x v="1"/>
    <s v="A+"/>
    <x v="5"/>
    <d v="2022-05-21T00:00:00"/>
    <x v="728"/>
    <s v="Chan, Goodman and Gould"/>
    <x v="4"/>
    <n v="22545.9292309013"/>
    <n v="294"/>
    <x v="1"/>
    <d v="2022-05-25T00:00:00"/>
    <s v="Penicillin"/>
    <x v="1"/>
    <s v="High"/>
    <s v="Under Treatment"/>
    <s v="High Risk"/>
    <x v="0"/>
  </r>
  <r>
    <x v="733"/>
    <n v="58"/>
    <x v="1"/>
    <s v="B-"/>
    <x v="1"/>
    <d v="2019-12-29T00:00:00"/>
    <x v="729"/>
    <s v="Russell and Randolph, Lawrence"/>
    <x v="1"/>
    <n v="2641.0161794481401"/>
    <n v="234"/>
    <x v="2"/>
    <d v="2020-01-04T00:00:00"/>
    <s v="Aspirin"/>
    <x v="0"/>
    <s v="Low"/>
    <s v="Under Treatment"/>
    <s v="High Risk"/>
    <x v="1"/>
  </r>
  <r>
    <x v="734"/>
    <n v="67"/>
    <x v="0"/>
    <s v="O-"/>
    <x v="1"/>
    <d v="2020-08-07T00:00:00"/>
    <x v="730"/>
    <s v="Watts-Schneider"/>
    <x v="2"/>
    <n v="39570.068961535202"/>
    <n v="161"/>
    <x v="0"/>
    <d v="2020-08-09T00:00:00"/>
    <s v="Aspirin"/>
    <x v="1"/>
    <s v="High"/>
    <s v="Under Treatment"/>
    <s v="High Risk"/>
    <x v="2"/>
  </r>
  <r>
    <x v="735"/>
    <n v="39"/>
    <x v="0"/>
    <s v="A-"/>
    <x v="2"/>
    <d v="2022-03-19T00:00:00"/>
    <x v="731"/>
    <s v="Harrell Inc"/>
    <x v="2"/>
    <n v="13256.4145644399"/>
    <n v="146"/>
    <x v="0"/>
    <d v="2022-03-20T00:00:00"/>
    <s v="Paracetamol"/>
    <x v="0"/>
    <s v="Medium"/>
    <s v="Under Treatment"/>
    <s v="High Risk"/>
    <x v="3"/>
  </r>
  <r>
    <x v="736"/>
    <n v="49"/>
    <x v="0"/>
    <s v="AB-"/>
    <x v="5"/>
    <d v="2019-11-29T00:00:00"/>
    <x v="732"/>
    <s v="Ali Group"/>
    <x v="0"/>
    <n v="19720.035902795898"/>
    <n v="114"/>
    <x v="1"/>
    <d v="2019-11-30T00:00:00"/>
    <s v="Lipitor"/>
    <x v="0"/>
    <s v="High"/>
    <s v="Under Treatment"/>
    <s v="High Risk"/>
    <x v="3"/>
  </r>
  <r>
    <x v="737"/>
    <n v="41"/>
    <x v="0"/>
    <s v="B-"/>
    <x v="4"/>
    <d v="2019-07-17T00:00:00"/>
    <x v="733"/>
    <s v="Conner-Nelson"/>
    <x v="0"/>
    <n v="46421.261252841003"/>
    <n v="124"/>
    <x v="1"/>
    <d v="2019-08-12T00:00:00"/>
    <s v="Paracetamol"/>
    <x v="2"/>
    <s v="High"/>
    <s v="Under Treatment"/>
    <s v="High Risk"/>
    <x v="3"/>
  </r>
  <r>
    <x v="738"/>
    <n v="81"/>
    <x v="1"/>
    <s v="O-"/>
    <x v="4"/>
    <d v="2020-05-27T00:00:00"/>
    <x v="734"/>
    <s v="and Miller Prince Rodriguez,"/>
    <x v="0"/>
    <n v="10767.3766698325"/>
    <n v="126"/>
    <x v="2"/>
    <d v="2020-06-12T00:00:00"/>
    <s v="Aspirin"/>
    <x v="0"/>
    <s v="Medium"/>
    <s v="Under Treatment"/>
    <s v="High Risk"/>
    <x v="2"/>
  </r>
  <r>
    <x v="739"/>
    <n v="83"/>
    <x v="0"/>
    <s v="AB+"/>
    <x v="4"/>
    <d v="2021-04-06T00:00:00"/>
    <x v="735"/>
    <s v="Mills-Petersen"/>
    <x v="4"/>
    <n v="46186.1632482473"/>
    <n v="114"/>
    <x v="2"/>
    <d v="2021-05-06T00:00:00"/>
    <s v="Ibuprofen"/>
    <x v="2"/>
    <s v="High"/>
    <s v="Under Treatment"/>
    <s v="High Risk"/>
    <x v="2"/>
  </r>
  <r>
    <x v="740"/>
    <n v="36"/>
    <x v="1"/>
    <s v="O+"/>
    <x v="0"/>
    <d v="2019-05-19T00:00:00"/>
    <x v="736"/>
    <s v="Smith Anderson and Hunt,"/>
    <x v="3"/>
    <n v="44148.542882519301"/>
    <n v="336"/>
    <x v="1"/>
    <d v="2019-05-29T00:00:00"/>
    <s v="Paracetamol"/>
    <x v="2"/>
    <s v="High"/>
    <s v="Under Treatment"/>
    <s v="High Risk"/>
    <x v="3"/>
  </r>
  <r>
    <x v="741"/>
    <n v="73"/>
    <x v="1"/>
    <s v="A+"/>
    <x v="3"/>
    <d v="2022-07-23T00:00:00"/>
    <x v="737"/>
    <s v="Williams Reynolds and Rangel,"/>
    <x v="4"/>
    <n v="33379.545467379103"/>
    <n v="142"/>
    <x v="1"/>
    <d v="2022-08-16T00:00:00"/>
    <s v="Ibuprofen"/>
    <x v="2"/>
    <s v="High"/>
    <s v="Under Treatment"/>
    <s v="High Risk"/>
    <x v="2"/>
  </r>
  <r>
    <x v="742"/>
    <n v="24"/>
    <x v="0"/>
    <s v="B-"/>
    <x v="0"/>
    <d v="2023-01-28T00:00:00"/>
    <x v="738"/>
    <s v="Roberts Ltd"/>
    <x v="4"/>
    <n v="10243.9720615149"/>
    <n v="383"/>
    <x v="1"/>
    <d v="2023-02-26T00:00:00"/>
    <s v="Penicillin"/>
    <x v="1"/>
    <s v="Medium"/>
    <s v="Under Treatment"/>
    <s v="High Risk"/>
    <x v="0"/>
  </r>
  <r>
    <x v="743"/>
    <n v="32"/>
    <x v="1"/>
    <s v="O-"/>
    <x v="1"/>
    <d v="2023-09-11T00:00:00"/>
    <x v="739"/>
    <s v="Sellers-Shepard"/>
    <x v="0"/>
    <n v="8762.5030716924193"/>
    <n v="454"/>
    <x v="1"/>
    <d v="2023-10-11T00:00:00"/>
    <s v="Penicillin"/>
    <x v="2"/>
    <s v="Medium"/>
    <s v="Under Treatment"/>
    <s v="High Risk"/>
    <x v="0"/>
  </r>
  <r>
    <x v="744"/>
    <n v="57"/>
    <x v="1"/>
    <s v="AB+"/>
    <x v="3"/>
    <d v="2020-03-11T00:00:00"/>
    <x v="740"/>
    <s v="Lloyd Scott, and Reese"/>
    <x v="1"/>
    <n v="10363.668930673"/>
    <n v="384"/>
    <x v="1"/>
    <d v="2020-03-18T00:00:00"/>
    <s v="Ibuprofen"/>
    <x v="0"/>
    <s v="Medium"/>
    <s v="Under Treatment"/>
    <s v="High Risk"/>
    <x v="1"/>
  </r>
  <r>
    <x v="745"/>
    <n v="56"/>
    <x v="0"/>
    <s v="B-"/>
    <x v="3"/>
    <d v="2021-03-07T00:00:00"/>
    <x v="741"/>
    <s v="Gibson-Osborne"/>
    <x v="1"/>
    <n v="22827.810903232399"/>
    <n v="124"/>
    <x v="0"/>
    <d v="2021-03-21T00:00:00"/>
    <s v="Paracetamol"/>
    <x v="2"/>
    <s v="High"/>
    <s v="Under Treatment"/>
    <s v="High Risk"/>
    <x v="1"/>
  </r>
  <r>
    <x v="746"/>
    <n v="84"/>
    <x v="1"/>
    <s v="O+"/>
    <x v="3"/>
    <d v="2024-04-03T00:00:00"/>
    <x v="742"/>
    <s v="Matthews-Morgan"/>
    <x v="3"/>
    <n v="22913.348727039"/>
    <n v="238"/>
    <x v="0"/>
    <d v="2024-04-10T00:00:00"/>
    <s v="Ibuprofen"/>
    <x v="1"/>
    <s v="High"/>
    <s v="Under Treatment"/>
    <s v="High Risk"/>
    <x v="2"/>
  </r>
  <r>
    <x v="747"/>
    <n v="46"/>
    <x v="0"/>
    <s v="B-"/>
    <x v="0"/>
    <d v="2022-12-25T00:00:00"/>
    <x v="743"/>
    <s v="Scott and Sons"/>
    <x v="2"/>
    <n v="33800.9084900491"/>
    <n v="437"/>
    <x v="0"/>
    <d v="2023-01-10T00:00:00"/>
    <s v="Penicillin"/>
    <x v="2"/>
    <s v="High"/>
    <s v="Under Treatment"/>
    <s v="High Risk"/>
    <x v="3"/>
  </r>
  <r>
    <x v="748"/>
    <n v="55"/>
    <x v="0"/>
    <s v="AB+"/>
    <x v="1"/>
    <d v="2020-04-01T00:00:00"/>
    <x v="744"/>
    <s v="Diaz-Richards"/>
    <x v="2"/>
    <n v="23713.923814164998"/>
    <n v="187"/>
    <x v="0"/>
    <d v="2020-04-26T00:00:00"/>
    <s v="Ibuprofen"/>
    <x v="1"/>
    <s v="High"/>
    <s v="Under Treatment"/>
    <s v="High Risk"/>
    <x v="1"/>
  </r>
  <r>
    <x v="749"/>
    <n v="69"/>
    <x v="1"/>
    <s v="B-"/>
    <x v="0"/>
    <d v="2023-10-20T00:00:00"/>
    <x v="745"/>
    <s v="Barajas and Byrd, Wolf"/>
    <x v="1"/>
    <n v="43825.0566704835"/>
    <n v="329"/>
    <x v="2"/>
    <d v="2023-10-28T00:00:00"/>
    <s v="Paracetamol"/>
    <x v="0"/>
    <s v="High"/>
    <s v="Under Treatment"/>
    <s v="High Risk"/>
    <x v="2"/>
  </r>
  <r>
    <x v="750"/>
    <n v="56"/>
    <x v="0"/>
    <s v="A-"/>
    <x v="4"/>
    <d v="2020-07-15T00:00:00"/>
    <x v="746"/>
    <s v="Salazar Newman White, and"/>
    <x v="1"/>
    <n v="16509.8932281747"/>
    <n v="472"/>
    <x v="1"/>
    <d v="2020-08-11T00:00:00"/>
    <s v="Lipitor"/>
    <x v="1"/>
    <s v="High"/>
    <s v="Under Treatment"/>
    <s v="High Risk"/>
    <x v="1"/>
  </r>
  <r>
    <x v="751"/>
    <n v="36"/>
    <x v="1"/>
    <s v="A-"/>
    <x v="5"/>
    <d v="2023-01-14T00:00:00"/>
    <x v="747"/>
    <s v="Hancock-Lewis"/>
    <x v="1"/>
    <n v="46268.729036760597"/>
    <n v="425"/>
    <x v="2"/>
    <d v="2023-02-08T00:00:00"/>
    <s v="Aspirin"/>
    <x v="0"/>
    <s v="High"/>
    <s v="Under Treatment"/>
    <s v="High Risk"/>
    <x v="3"/>
  </r>
  <r>
    <x v="752"/>
    <n v="61"/>
    <x v="1"/>
    <s v="B-"/>
    <x v="5"/>
    <d v="2020-05-16T00:00:00"/>
    <x v="748"/>
    <s v="Hahn-Wilson"/>
    <x v="3"/>
    <n v="21429.673912096801"/>
    <n v="493"/>
    <x v="2"/>
    <d v="2020-06-15T00:00:00"/>
    <s v="Ibuprofen"/>
    <x v="2"/>
    <s v="High"/>
    <s v="Under Treatment"/>
    <s v="High Risk"/>
    <x v="1"/>
  </r>
  <r>
    <x v="753"/>
    <n v="61"/>
    <x v="0"/>
    <s v="AB+"/>
    <x v="0"/>
    <d v="2021-03-11T00:00:00"/>
    <x v="749"/>
    <s v="Ramirez and Nelson, Collins"/>
    <x v="4"/>
    <n v="24057.470930987602"/>
    <n v="304"/>
    <x v="1"/>
    <d v="2021-04-02T00:00:00"/>
    <s v="Paracetamol"/>
    <x v="0"/>
    <s v="High"/>
    <s v="Under Treatment"/>
    <s v="High Risk"/>
    <x v="1"/>
  </r>
  <r>
    <x v="754"/>
    <n v="47"/>
    <x v="0"/>
    <s v="B-"/>
    <x v="5"/>
    <d v="2023-02-05T00:00:00"/>
    <x v="750"/>
    <s v="Sosa-Jackson"/>
    <x v="0"/>
    <n v="22775.470938545299"/>
    <n v="462"/>
    <x v="2"/>
    <d v="2023-02-12T00:00:00"/>
    <s v="Penicillin"/>
    <x v="2"/>
    <s v="High"/>
    <s v="Under Treatment"/>
    <s v="High Risk"/>
    <x v="3"/>
  </r>
  <r>
    <x v="755"/>
    <n v="49"/>
    <x v="1"/>
    <s v="A+"/>
    <x v="1"/>
    <d v="2021-10-19T00:00:00"/>
    <x v="751"/>
    <s v="Dillon-Richard"/>
    <x v="4"/>
    <n v="30953.782256784802"/>
    <n v="186"/>
    <x v="0"/>
    <d v="2021-11-12T00:00:00"/>
    <s v="Penicillin"/>
    <x v="0"/>
    <s v="High"/>
    <s v="Under Treatment"/>
    <s v="High Risk"/>
    <x v="3"/>
  </r>
  <r>
    <x v="756"/>
    <n v="69"/>
    <x v="0"/>
    <s v="AB-"/>
    <x v="3"/>
    <d v="2020-03-05T00:00:00"/>
    <x v="752"/>
    <s v="and Montes Marshall Valdez,"/>
    <x v="1"/>
    <n v="6035.4580685431702"/>
    <n v="282"/>
    <x v="0"/>
    <d v="2020-03-06T00:00:00"/>
    <s v="Lipitor"/>
    <x v="0"/>
    <s v="Medium"/>
    <s v="Under Treatment"/>
    <s v="High Risk"/>
    <x v="2"/>
  </r>
  <r>
    <x v="757"/>
    <n v="26"/>
    <x v="0"/>
    <s v="AB-"/>
    <x v="3"/>
    <d v="2022-09-16T00:00:00"/>
    <x v="753"/>
    <s v="PLC Kelly"/>
    <x v="0"/>
    <n v="5778.2458194924402"/>
    <n v="408"/>
    <x v="2"/>
    <d v="2022-10-16T00:00:00"/>
    <s v="Aspirin"/>
    <x v="0"/>
    <s v="Medium"/>
    <s v="Under Treatment"/>
    <s v="High Risk"/>
    <x v="0"/>
  </r>
  <r>
    <x v="758"/>
    <n v="27"/>
    <x v="0"/>
    <s v="AB-"/>
    <x v="2"/>
    <d v="2020-12-30T00:00:00"/>
    <x v="754"/>
    <s v="Peterson Group"/>
    <x v="1"/>
    <n v="47789.825967887002"/>
    <n v="493"/>
    <x v="1"/>
    <d v="2021-01-26T00:00:00"/>
    <s v="Paracetamol"/>
    <x v="2"/>
    <s v="High"/>
    <s v="Under Treatment"/>
    <s v="High Risk"/>
    <x v="0"/>
  </r>
  <r>
    <x v="759"/>
    <n v="60"/>
    <x v="1"/>
    <s v="B-"/>
    <x v="1"/>
    <d v="2020-08-09T00:00:00"/>
    <x v="755"/>
    <s v="Hall-Taylor"/>
    <x v="2"/>
    <n v="46608.392888681803"/>
    <n v="142"/>
    <x v="1"/>
    <d v="2020-08-15T00:00:00"/>
    <s v="Penicillin"/>
    <x v="2"/>
    <s v="High"/>
    <s v="Under Treatment"/>
    <s v="High Risk"/>
    <x v="1"/>
  </r>
  <r>
    <x v="760"/>
    <n v="41"/>
    <x v="1"/>
    <s v="O+"/>
    <x v="0"/>
    <d v="2021-03-15T00:00:00"/>
    <x v="756"/>
    <s v="Lutz, Lester and Kelly"/>
    <x v="3"/>
    <n v="18270.995269376301"/>
    <n v="178"/>
    <x v="0"/>
    <d v="2021-03-26T00:00:00"/>
    <s v="Ibuprofen"/>
    <x v="2"/>
    <s v="High"/>
    <s v="Under Treatment"/>
    <s v="High Risk"/>
    <x v="3"/>
  </r>
  <r>
    <x v="761"/>
    <n v="45"/>
    <x v="0"/>
    <s v="B-"/>
    <x v="4"/>
    <d v="2021-08-23T00:00:00"/>
    <x v="757"/>
    <s v="Scott, Moore and Brewer"/>
    <x v="1"/>
    <n v="17679.026678159498"/>
    <n v="132"/>
    <x v="0"/>
    <d v="2021-08-24T00:00:00"/>
    <s v="Penicillin"/>
    <x v="0"/>
    <s v="High"/>
    <s v="Under Treatment"/>
    <s v="High Risk"/>
    <x v="3"/>
  </r>
  <r>
    <x v="762"/>
    <n v="37"/>
    <x v="0"/>
    <s v="A+"/>
    <x v="2"/>
    <d v="2023-11-11T00:00:00"/>
    <x v="758"/>
    <s v="Sullivan Henderson Lloyd, and"/>
    <x v="4"/>
    <n v="21965.147404814001"/>
    <n v="406"/>
    <x v="1"/>
    <d v="2023-11-28T00:00:00"/>
    <s v="Penicillin"/>
    <x v="1"/>
    <s v="High"/>
    <s v="Under Treatment"/>
    <s v="High Risk"/>
    <x v="3"/>
  </r>
  <r>
    <x v="763"/>
    <n v="46"/>
    <x v="0"/>
    <s v="A+"/>
    <x v="0"/>
    <d v="2023-12-31T00:00:00"/>
    <x v="759"/>
    <s v="and Rhodes Trujillo, Booth"/>
    <x v="4"/>
    <n v="27309.707878439302"/>
    <n v="326"/>
    <x v="1"/>
    <d v="2024-01-27T00:00:00"/>
    <s v="Penicillin"/>
    <x v="1"/>
    <s v="High"/>
    <s v="Under Treatment"/>
    <s v="High Risk"/>
    <x v="3"/>
  </r>
  <r>
    <x v="764"/>
    <n v="71"/>
    <x v="1"/>
    <s v="A+"/>
    <x v="5"/>
    <d v="2019-09-21T00:00:00"/>
    <x v="760"/>
    <s v="Bailey-White"/>
    <x v="4"/>
    <n v="4437.95634965318"/>
    <n v="406"/>
    <x v="1"/>
    <d v="2019-10-20T00:00:00"/>
    <s v="Penicillin"/>
    <x v="0"/>
    <s v="Low"/>
    <s v="Under Treatment"/>
    <s v="High Risk"/>
    <x v="2"/>
  </r>
  <r>
    <x v="765"/>
    <n v="69"/>
    <x v="1"/>
    <s v="B+"/>
    <x v="4"/>
    <d v="2022-11-04T00:00:00"/>
    <x v="761"/>
    <s v="Bridges Inc"/>
    <x v="3"/>
    <n v="15704.089218213299"/>
    <n v="334"/>
    <x v="1"/>
    <d v="2022-11-13T00:00:00"/>
    <s v="Ibuprofen"/>
    <x v="1"/>
    <s v="High"/>
    <s v="Under Treatment"/>
    <s v="High Risk"/>
    <x v="2"/>
  </r>
  <r>
    <x v="766"/>
    <n v="75"/>
    <x v="1"/>
    <s v="O+"/>
    <x v="5"/>
    <d v="2023-10-05T00:00:00"/>
    <x v="762"/>
    <s v="Richardson-Griffin"/>
    <x v="4"/>
    <n v="3621.1616906828999"/>
    <n v="346"/>
    <x v="2"/>
    <d v="2023-10-08T00:00:00"/>
    <s v="Penicillin"/>
    <x v="1"/>
    <s v="Low"/>
    <s v="Under Treatment"/>
    <s v="High Risk"/>
    <x v="2"/>
  </r>
  <r>
    <x v="767"/>
    <n v="77"/>
    <x v="0"/>
    <s v="O+"/>
    <x v="2"/>
    <d v="2020-08-28T00:00:00"/>
    <x v="763"/>
    <s v="Allen-Campbell"/>
    <x v="3"/>
    <n v="47863.0239195924"/>
    <n v="159"/>
    <x v="0"/>
    <d v="2020-09-04T00:00:00"/>
    <s v="Ibuprofen"/>
    <x v="0"/>
    <s v="High"/>
    <s v="Under Treatment"/>
    <s v="High Risk"/>
    <x v="2"/>
  </r>
  <r>
    <x v="768"/>
    <n v="58"/>
    <x v="1"/>
    <s v="O+"/>
    <x v="1"/>
    <d v="2023-10-06T00:00:00"/>
    <x v="764"/>
    <s v="Lee Ltd"/>
    <x v="1"/>
    <n v="18479.743277603699"/>
    <n v="438"/>
    <x v="0"/>
    <d v="2023-10-09T00:00:00"/>
    <s v="Ibuprofen"/>
    <x v="1"/>
    <s v="High"/>
    <s v="Under Treatment"/>
    <s v="High Risk"/>
    <x v="1"/>
  </r>
  <r>
    <x v="769"/>
    <n v="25"/>
    <x v="1"/>
    <s v="A-"/>
    <x v="0"/>
    <d v="2023-07-01T00:00:00"/>
    <x v="765"/>
    <s v="Baldwin-Marshall"/>
    <x v="0"/>
    <n v="7285.4895915056704"/>
    <n v="103"/>
    <x v="0"/>
    <d v="2023-07-05T00:00:00"/>
    <s v="Lipitor"/>
    <x v="0"/>
    <s v="Medium"/>
    <s v="Under Treatment"/>
    <s v="High Risk"/>
    <x v="0"/>
  </r>
  <r>
    <x v="770"/>
    <n v="83"/>
    <x v="1"/>
    <s v="B-"/>
    <x v="2"/>
    <d v="2021-08-07T00:00:00"/>
    <x v="766"/>
    <s v="Norman PLC"/>
    <x v="0"/>
    <n v="6818.7244800116696"/>
    <n v="101"/>
    <x v="2"/>
    <d v="2021-08-20T00:00:00"/>
    <s v="Lipitor"/>
    <x v="0"/>
    <s v="Medium"/>
    <s v="Under Treatment"/>
    <s v="High Risk"/>
    <x v="2"/>
  </r>
  <r>
    <x v="771"/>
    <n v="27"/>
    <x v="0"/>
    <s v="A-"/>
    <x v="4"/>
    <d v="2020-05-13T00:00:00"/>
    <x v="767"/>
    <s v="Boyd-Fisher"/>
    <x v="0"/>
    <n v="14374.3129973427"/>
    <n v="291"/>
    <x v="0"/>
    <d v="2020-05-26T00:00:00"/>
    <s v="Lipitor"/>
    <x v="2"/>
    <s v="Medium"/>
    <s v="Under Treatment"/>
    <s v="High Risk"/>
    <x v="0"/>
  </r>
  <r>
    <x v="772"/>
    <n v="32"/>
    <x v="0"/>
    <s v="B-"/>
    <x v="5"/>
    <d v="2023-09-26T00:00:00"/>
    <x v="768"/>
    <s v="Inc Davis"/>
    <x v="3"/>
    <n v="5936.1771452758303"/>
    <n v="313"/>
    <x v="0"/>
    <d v="2023-09-29T00:00:00"/>
    <s v="Aspirin"/>
    <x v="0"/>
    <s v="Medium"/>
    <s v="Under Treatment"/>
    <s v="High Risk"/>
    <x v="0"/>
  </r>
  <r>
    <x v="773"/>
    <n v="40"/>
    <x v="0"/>
    <s v="A+"/>
    <x v="2"/>
    <d v="2023-06-14T00:00:00"/>
    <x v="769"/>
    <s v="Perry Inc"/>
    <x v="4"/>
    <n v="32897.267314564298"/>
    <n v="228"/>
    <x v="0"/>
    <d v="2023-06-15T00:00:00"/>
    <s v="Ibuprofen"/>
    <x v="1"/>
    <s v="High"/>
    <s v="Under Treatment"/>
    <s v="High Risk"/>
    <x v="3"/>
  </r>
  <r>
    <x v="774"/>
    <n v="25"/>
    <x v="0"/>
    <s v="AB-"/>
    <x v="3"/>
    <d v="2024-05-05T00:00:00"/>
    <x v="770"/>
    <s v="and Brown Larson Moyer,"/>
    <x v="4"/>
    <n v="3963.1211283151902"/>
    <n v="415"/>
    <x v="0"/>
    <d v="2024-05-07T00:00:00"/>
    <s v="Aspirin"/>
    <x v="2"/>
    <s v="Low"/>
    <s v="Under Treatment"/>
    <s v="High Risk"/>
    <x v="0"/>
  </r>
  <r>
    <x v="775"/>
    <n v="69"/>
    <x v="0"/>
    <s v="A-"/>
    <x v="3"/>
    <d v="2023-04-03T00:00:00"/>
    <x v="771"/>
    <s v="Soto-Boyle"/>
    <x v="0"/>
    <n v="16057.8201619831"/>
    <n v="431"/>
    <x v="2"/>
    <d v="2023-04-11T00:00:00"/>
    <s v="Ibuprofen"/>
    <x v="0"/>
    <s v="High"/>
    <s v="Under Treatment"/>
    <s v="High Risk"/>
    <x v="2"/>
  </r>
  <r>
    <x v="776"/>
    <n v="25"/>
    <x v="1"/>
    <s v="B-"/>
    <x v="2"/>
    <d v="2021-10-24T00:00:00"/>
    <x v="772"/>
    <s v="Jones-Ellis"/>
    <x v="1"/>
    <n v="44041.573738192201"/>
    <n v="454"/>
    <x v="1"/>
    <d v="2021-11-13T00:00:00"/>
    <s v="Ibuprofen"/>
    <x v="0"/>
    <s v="High"/>
    <s v="Under Treatment"/>
    <s v="High Risk"/>
    <x v="0"/>
  </r>
  <r>
    <x v="777"/>
    <n v="55"/>
    <x v="0"/>
    <s v="B+"/>
    <x v="4"/>
    <d v="2019-11-14T00:00:00"/>
    <x v="773"/>
    <s v="Ortiz-Martin"/>
    <x v="4"/>
    <n v="43108.888058161101"/>
    <n v="161"/>
    <x v="1"/>
    <d v="2019-11-16T00:00:00"/>
    <s v="Ibuprofen"/>
    <x v="1"/>
    <s v="High"/>
    <s v="Under Treatment"/>
    <s v="High Risk"/>
    <x v="1"/>
  </r>
  <r>
    <x v="778"/>
    <n v="78"/>
    <x v="1"/>
    <s v="O-"/>
    <x v="4"/>
    <d v="2022-04-17T00:00:00"/>
    <x v="774"/>
    <s v="Anthony-Torres"/>
    <x v="1"/>
    <n v="21585.243422653999"/>
    <n v="402"/>
    <x v="1"/>
    <d v="2022-04-25T00:00:00"/>
    <s v="Penicillin"/>
    <x v="2"/>
    <s v="High"/>
    <s v="Under Treatment"/>
    <s v="High Risk"/>
    <x v="2"/>
  </r>
  <r>
    <x v="779"/>
    <n v="69"/>
    <x v="1"/>
    <s v="A-"/>
    <x v="5"/>
    <d v="2022-04-15T00:00:00"/>
    <x v="775"/>
    <s v="PLC Drake"/>
    <x v="1"/>
    <n v="28922.860518875201"/>
    <n v="307"/>
    <x v="0"/>
    <d v="2022-05-12T00:00:00"/>
    <s v="Penicillin"/>
    <x v="1"/>
    <s v="High"/>
    <s v="Under Treatment"/>
    <s v="High Risk"/>
    <x v="2"/>
  </r>
  <r>
    <x v="780"/>
    <n v="77"/>
    <x v="0"/>
    <s v="O+"/>
    <x v="0"/>
    <d v="2021-03-13T00:00:00"/>
    <x v="776"/>
    <s v="Schmidt Ltd"/>
    <x v="3"/>
    <n v="14808.747589877999"/>
    <n v="157"/>
    <x v="1"/>
    <d v="2021-03-14T00:00:00"/>
    <s v="Aspirin"/>
    <x v="0"/>
    <s v="Medium"/>
    <s v="Under Treatment"/>
    <s v="High Risk"/>
    <x v="2"/>
  </r>
  <r>
    <x v="781"/>
    <n v="56"/>
    <x v="1"/>
    <s v="A+"/>
    <x v="4"/>
    <d v="2021-12-18T00:00:00"/>
    <x v="777"/>
    <s v="Ortiz-Gardner"/>
    <x v="3"/>
    <n v="26824.002636421999"/>
    <n v="180"/>
    <x v="1"/>
    <d v="2022-01-06T00:00:00"/>
    <s v="Ibuprofen"/>
    <x v="1"/>
    <s v="High"/>
    <s v="Under Treatment"/>
    <s v="High Risk"/>
    <x v="1"/>
  </r>
  <r>
    <x v="782"/>
    <n v="78"/>
    <x v="1"/>
    <s v="O-"/>
    <x v="3"/>
    <d v="2024-01-06T00:00:00"/>
    <x v="778"/>
    <s v="Ltd Stewart"/>
    <x v="2"/>
    <n v="14687.4999503746"/>
    <n v="155"/>
    <x v="2"/>
    <d v="2024-01-31T00:00:00"/>
    <s v="Aspirin"/>
    <x v="0"/>
    <s v="Medium"/>
    <s v="Under Treatment"/>
    <s v="High Risk"/>
    <x v="2"/>
  </r>
  <r>
    <x v="783"/>
    <n v="48"/>
    <x v="1"/>
    <s v="A+"/>
    <x v="0"/>
    <d v="2022-01-31T00:00:00"/>
    <x v="779"/>
    <s v="Johnson-Collins"/>
    <x v="3"/>
    <n v="49492.136319597201"/>
    <n v="126"/>
    <x v="2"/>
    <d v="2022-02-09T00:00:00"/>
    <s v="Lipitor"/>
    <x v="0"/>
    <s v="High"/>
    <s v="Under Treatment"/>
    <s v="High Risk"/>
    <x v="3"/>
  </r>
  <r>
    <x v="784"/>
    <n v="19"/>
    <x v="0"/>
    <s v="O-"/>
    <x v="2"/>
    <d v="2021-10-04T00:00:00"/>
    <x v="780"/>
    <s v="Rodriguez-Morgan"/>
    <x v="4"/>
    <n v="23743.098285665099"/>
    <n v="171"/>
    <x v="1"/>
    <d v="2021-10-13T00:00:00"/>
    <s v="Aspirin"/>
    <x v="1"/>
    <s v="High"/>
    <s v="Under Treatment"/>
    <s v="High Risk"/>
    <x v="0"/>
  </r>
  <r>
    <x v="785"/>
    <n v="50"/>
    <x v="1"/>
    <s v="A-"/>
    <x v="4"/>
    <d v="2023-05-10T00:00:00"/>
    <x v="781"/>
    <s v="Castillo LLC"/>
    <x v="0"/>
    <n v="22823.924378214899"/>
    <n v="262"/>
    <x v="1"/>
    <d v="2023-06-04T00:00:00"/>
    <s v="Ibuprofen"/>
    <x v="1"/>
    <s v="High"/>
    <s v="Under Treatment"/>
    <s v="High Risk"/>
    <x v="3"/>
  </r>
  <r>
    <x v="786"/>
    <n v="50"/>
    <x v="1"/>
    <s v="AB-"/>
    <x v="4"/>
    <d v="2020-03-22T00:00:00"/>
    <x v="782"/>
    <s v="Brennan-Walters"/>
    <x v="0"/>
    <n v="20831.1359507017"/>
    <n v="353"/>
    <x v="1"/>
    <d v="2020-04-01T00:00:00"/>
    <s v="Paracetamol"/>
    <x v="1"/>
    <s v="High"/>
    <s v="Under Treatment"/>
    <s v="High Risk"/>
    <x v="3"/>
  </r>
  <r>
    <x v="787"/>
    <n v="32"/>
    <x v="1"/>
    <s v="O+"/>
    <x v="3"/>
    <d v="2021-01-19T00:00:00"/>
    <x v="783"/>
    <s v="Martin LLC"/>
    <x v="0"/>
    <n v="29831.5157390934"/>
    <n v="281"/>
    <x v="2"/>
    <d v="2021-02-05T00:00:00"/>
    <s v="Lipitor"/>
    <x v="0"/>
    <s v="High"/>
    <s v="Under Treatment"/>
    <s v="High Risk"/>
    <x v="0"/>
  </r>
  <r>
    <x v="788"/>
    <n v="58"/>
    <x v="0"/>
    <s v="A-"/>
    <x v="2"/>
    <d v="2023-03-26T00:00:00"/>
    <x v="784"/>
    <s v="Huang-Blanchard"/>
    <x v="2"/>
    <n v="30143.301177121299"/>
    <n v="459"/>
    <x v="0"/>
    <d v="2023-04-05T00:00:00"/>
    <s v="Ibuprofen"/>
    <x v="0"/>
    <s v="High"/>
    <s v="Under Treatment"/>
    <s v="High Risk"/>
    <x v="1"/>
  </r>
  <r>
    <x v="789"/>
    <n v="67"/>
    <x v="1"/>
    <s v="A-"/>
    <x v="2"/>
    <d v="2022-09-28T00:00:00"/>
    <x v="785"/>
    <s v="Gonzalez and Marks, Lopez"/>
    <x v="2"/>
    <n v="34555.1716647223"/>
    <n v="317"/>
    <x v="1"/>
    <d v="2022-10-16T00:00:00"/>
    <s v="Aspirin"/>
    <x v="0"/>
    <s v="High"/>
    <s v="Under Treatment"/>
    <s v="High Risk"/>
    <x v="2"/>
  </r>
  <r>
    <x v="790"/>
    <n v="59"/>
    <x v="0"/>
    <s v="AB-"/>
    <x v="0"/>
    <d v="2019-10-20T00:00:00"/>
    <x v="786"/>
    <s v="Molina, Rogers and Horton"/>
    <x v="4"/>
    <n v="3915.2296180693202"/>
    <n v="346"/>
    <x v="2"/>
    <d v="2019-11-07T00:00:00"/>
    <s v="Penicillin"/>
    <x v="2"/>
    <s v="Low"/>
    <s v="Under Treatment"/>
    <s v="High Risk"/>
    <x v="1"/>
  </r>
  <r>
    <x v="791"/>
    <n v="37"/>
    <x v="0"/>
    <s v="B+"/>
    <x v="1"/>
    <d v="2020-03-19T00:00:00"/>
    <x v="787"/>
    <s v="Garcia Woodward and Morgan,"/>
    <x v="4"/>
    <n v="6709.7553748036598"/>
    <n v="362"/>
    <x v="2"/>
    <d v="2020-03-22T00:00:00"/>
    <s v="Aspirin"/>
    <x v="2"/>
    <s v="Medium"/>
    <s v="Under Treatment"/>
    <s v="High Risk"/>
    <x v="3"/>
  </r>
  <r>
    <x v="792"/>
    <n v="68"/>
    <x v="0"/>
    <s v="B-"/>
    <x v="5"/>
    <d v="2021-06-28T00:00:00"/>
    <x v="788"/>
    <s v="Inc Anderson"/>
    <x v="4"/>
    <n v="36247.043915221599"/>
    <n v="313"/>
    <x v="1"/>
    <d v="2021-07-27T00:00:00"/>
    <s v="Ibuprofen"/>
    <x v="1"/>
    <s v="High"/>
    <s v="Under Treatment"/>
    <s v="High Risk"/>
    <x v="2"/>
  </r>
  <r>
    <x v="793"/>
    <n v="51"/>
    <x v="1"/>
    <s v="A-"/>
    <x v="4"/>
    <d v="2022-10-08T00:00:00"/>
    <x v="789"/>
    <s v="Armstrong Everett, Adams and"/>
    <x v="3"/>
    <n v="24786.218020917899"/>
    <n v="154"/>
    <x v="2"/>
    <d v="2022-11-05T00:00:00"/>
    <s v="Aspirin"/>
    <x v="2"/>
    <s v="High"/>
    <s v="Under Treatment"/>
    <s v="High Risk"/>
    <x v="1"/>
  </r>
  <r>
    <x v="794"/>
    <n v="74"/>
    <x v="0"/>
    <s v="B-"/>
    <x v="4"/>
    <d v="2021-10-05T00:00:00"/>
    <x v="790"/>
    <s v="Mclaughlin-Jenkins"/>
    <x v="0"/>
    <n v="28652.039026864601"/>
    <n v="377"/>
    <x v="0"/>
    <d v="2021-10-26T00:00:00"/>
    <s v="Aspirin"/>
    <x v="2"/>
    <s v="High"/>
    <s v="Under Treatment"/>
    <s v="High Risk"/>
    <x v="2"/>
  </r>
  <r>
    <x v="795"/>
    <n v="81"/>
    <x v="1"/>
    <s v="AB+"/>
    <x v="4"/>
    <d v="2023-02-15T00:00:00"/>
    <x v="791"/>
    <s v="Parks PLC"/>
    <x v="3"/>
    <n v="9824.8407657075804"/>
    <n v="188"/>
    <x v="1"/>
    <d v="2023-02-22T00:00:00"/>
    <s v="Ibuprofen"/>
    <x v="2"/>
    <s v="Medium"/>
    <s v="Under Treatment"/>
    <s v="High Risk"/>
    <x v="2"/>
  </r>
  <r>
    <x v="796"/>
    <n v="60"/>
    <x v="0"/>
    <s v="O-"/>
    <x v="2"/>
    <d v="2021-01-24T00:00:00"/>
    <x v="792"/>
    <s v="Hendrix, Roberts and Pitts"/>
    <x v="3"/>
    <n v="3763.7724274942598"/>
    <n v="180"/>
    <x v="0"/>
    <d v="2021-02-11T00:00:00"/>
    <s v="Paracetamol"/>
    <x v="2"/>
    <s v="Low"/>
    <s v="Under Treatment"/>
    <s v="High Risk"/>
    <x v="1"/>
  </r>
  <r>
    <x v="797"/>
    <n v="44"/>
    <x v="0"/>
    <s v="A+"/>
    <x v="4"/>
    <d v="2022-01-22T00:00:00"/>
    <x v="793"/>
    <s v="and Berger Perry, Calhoun"/>
    <x v="3"/>
    <n v="31043.206335007199"/>
    <n v="458"/>
    <x v="0"/>
    <d v="2022-02-09T00:00:00"/>
    <s v="Ibuprofen"/>
    <x v="1"/>
    <s v="High"/>
    <s v="Under Treatment"/>
    <s v="High Risk"/>
    <x v="3"/>
  </r>
  <r>
    <x v="798"/>
    <n v="33"/>
    <x v="1"/>
    <s v="AB-"/>
    <x v="1"/>
    <d v="2023-03-02T00:00:00"/>
    <x v="794"/>
    <s v="Evans-Molina"/>
    <x v="2"/>
    <n v="14033.5452110932"/>
    <n v="471"/>
    <x v="1"/>
    <d v="2023-03-03T00:00:00"/>
    <s v="Ibuprofen"/>
    <x v="2"/>
    <s v="Medium"/>
    <s v="Under Treatment"/>
    <s v="High Risk"/>
    <x v="0"/>
  </r>
  <r>
    <x v="799"/>
    <n v="46"/>
    <x v="0"/>
    <s v="B-"/>
    <x v="3"/>
    <d v="2022-02-09T00:00:00"/>
    <x v="795"/>
    <s v="Group Holder"/>
    <x v="0"/>
    <n v="46467.770805891902"/>
    <n v="433"/>
    <x v="0"/>
    <d v="2022-02-16T00:00:00"/>
    <s v="Paracetamol"/>
    <x v="1"/>
    <s v="High"/>
    <s v="Under Treatment"/>
    <s v="High Risk"/>
    <x v="3"/>
  </r>
  <r>
    <x v="800"/>
    <n v="51"/>
    <x v="1"/>
    <s v="B+"/>
    <x v="4"/>
    <d v="2023-10-26T00:00:00"/>
    <x v="796"/>
    <s v="Lawrence PLC"/>
    <x v="3"/>
    <n v="19095.524506596201"/>
    <n v="360"/>
    <x v="1"/>
    <d v="2023-11-21T00:00:00"/>
    <s v="Penicillin"/>
    <x v="1"/>
    <s v="High"/>
    <s v="Under Treatment"/>
    <s v="High Risk"/>
    <x v="1"/>
  </r>
  <r>
    <x v="801"/>
    <n v="75"/>
    <x v="0"/>
    <s v="O+"/>
    <x v="4"/>
    <d v="2022-05-25T00:00:00"/>
    <x v="797"/>
    <s v="Howe-Smith"/>
    <x v="2"/>
    <n v="47701.5277026525"/>
    <n v="184"/>
    <x v="1"/>
    <d v="2022-06-19T00:00:00"/>
    <s v="Paracetamol"/>
    <x v="0"/>
    <s v="High"/>
    <s v="Under Treatment"/>
    <s v="High Risk"/>
    <x v="2"/>
  </r>
  <r>
    <x v="802"/>
    <n v="33"/>
    <x v="1"/>
    <s v="B-"/>
    <x v="0"/>
    <d v="2019-07-31T00:00:00"/>
    <x v="798"/>
    <s v="PLC Vargas"/>
    <x v="4"/>
    <n v="3311.8741954242801"/>
    <n v="448"/>
    <x v="2"/>
    <d v="2019-08-08T00:00:00"/>
    <s v="Aspirin"/>
    <x v="2"/>
    <s v="Low"/>
    <s v="Under Treatment"/>
    <s v="High Risk"/>
    <x v="0"/>
  </r>
  <r>
    <x v="803"/>
    <n v="45"/>
    <x v="1"/>
    <s v="O+"/>
    <x v="2"/>
    <d v="2022-02-27T00:00:00"/>
    <x v="799"/>
    <s v="and Ray Wood Barrett,"/>
    <x v="4"/>
    <n v="3553.8964713686401"/>
    <n v="375"/>
    <x v="1"/>
    <d v="2022-03-03T00:00:00"/>
    <s v="Aspirin"/>
    <x v="2"/>
    <s v="Low"/>
    <s v="Under Treatment"/>
    <s v="High Risk"/>
    <x v="3"/>
  </r>
  <r>
    <x v="804"/>
    <n v="81"/>
    <x v="1"/>
    <s v="AB+"/>
    <x v="2"/>
    <d v="2021-05-15T00:00:00"/>
    <x v="800"/>
    <s v="Davis Moore Bartlett, and"/>
    <x v="3"/>
    <n v="41320.708580069098"/>
    <n v="136"/>
    <x v="2"/>
    <d v="2021-05-31T00:00:00"/>
    <s v="Paracetamol"/>
    <x v="2"/>
    <s v="High"/>
    <s v="Under Treatment"/>
    <s v="High Risk"/>
    <x v="2"/>
  </r>
  <r>
    <x v="805"/>
    <n v="56"/>
    <x v="1"/>
    <s v="B-"/>
    <x v="5"/>
    <d v="2023-07-27T00:00:00"/>
    <x v="801"/>
    <s v="Barton-Johnson"/>
    <x v="0"/>
    <n v="14150.5115538521"/>
    <n v="406"/>
    <x v="2"/>
    <d v="2023-08-19T00:00:00"/>
    <s v="Penicillin"/>
    <x v="2"/>
    <s v="Medium"/>
    <s v="Under Treatment"/>
    <s v="High Risk"/>
    <x v="1"/>
  </r>
  <r>
    <x v="806"/>
    <n v="75"/>
    <x v="0"/>
    <s v="A+"/>
    <x v="5"/>
    <d v="2021-05-17T00:00:00"/>
    <x v="802"/>
    <s v="Neal and Roberson Hicks,"/>
    <x v="4"/>
    <n v="47641.699248327197"/>
    <n v="187"/>
    <x v="0"/>
    <d v="2021-05-30T00:00:00"/>
    <s v="Paracetamol"/>
    <x v="2"/>
    <s v="High"/>
    <s v="Under Treatment"/>
    <s v="High Risk"/>
    <x v="2"/>
  </r>
  <r>
    <x v="807"/>
    <n v="22"/>
    <x v="0"/>
    <s v="A+"/>
    <x v="0"/>
    <d v="2022-03-22T00:00:00"/>
    <x v="803"/>
    <s v="Robinson Inc"/>
    <x v="2"/>
    <n v="4440.4233734396003"/>
    <n v="245"/>
    <x v="2"/>
    <d v="2022-04-01T00:00:00"/>
    <s v="Ibuprofen"/>
    <x v="0"/>
    <s v="Low"/>
    <s v="Under Treatment"/>
    <s v="High Risk"/>
    <x v="0"/>
  </r>
  <r>
    <x v="808"/>
    <n v="22"/>
    <x v="0"/>
    <s v="AB+"/>
    <x v="5"/>
    <d v="2021-03-17T00:00:00"/>
    <x v="804"/>
    <s v="and Morris Mullins, Hernandez"/>
    <x v="3"/>
    <n v="44863.650888040698"/>
    <n v="244"/>
    <x v="1"/>
    <d v="2021-03-20T00:00:00"/>
    <s v="Aspirin"/>
    <x v="0"/>
    <s v="High"/>
    <s v="Under Treatment"/>
    <s v="High Risk"/>
    <x v="0"/>
  </r>
  <r>
    <x v="809"/>
    <n v="47"/>
    <x v="0"/>
    <s v="A+"/>
    <x v="0"/>
    <d v="2019-06-13T00:00:00"/>
    <x v="805"/>
    <s v="Rodriguez-Howard"/>
    <x v="1"/>
    <n v="6877.4774014395898"/>
    <n v="200"/>
    <x v="1"/>
    <d v="2019-06-17T00:00:00"/>
    <s v="Penicillin"/>
    <x v="0"/>
    <s v="Medium"/>
    <s v="Under Treatment"/>
    <s v="High Risk"/>
    <x v="3"/>
  </r>
  <r>
    <x v="810"/>
    <n v="45"/>
    <x v="0"/>
    <s v="AB+"/>
    <x v="3"/>
    <d v="2020-05-03T00:00:00"/>
    <x v="806"/>
    <s v="Fox-Singleton"/>
    <x v="4"/>
    <n v="47624.2484624075"/>
    <n v="261"/>
    <x v="0"/>
    <d v="2020-05-27T00:00:00"/>
    <s v="Lipitor"/>
    <x v="2"/>
    <s v="High"/>
    <s v="Under Treatment"/>
    <s v="High Risk"/>
    <x v="3"/>
  </r>
  <r>
    <x v="811"/>
    <n v="23"/>
    <x v="1"/>
    <s v="A+"/>
    <x v="5"/>
    <d v="2022-11-29T00:00:00"/>
    <x v="807"/>
    <s v="Holland, Daniels Brennan and"/>
    <x v="4"/>
    <n v="22014.560506305999"/>
    <n v="132"/>
    <x v="2"/>
    <d v="2022-12-17T00:00:00"/>
    <s v="Ibuprofen"/>
    <x v="2"/>
    <s v="High"/>
    <s v="Under Treatment"/>
    <s v="High Risk"/>
    <x v="0"/>
  </r>
  <r>
    <x v="812"/>
    <n v="21"/>
    <x v="1"/>
    <s v="AB+"/>
    <x v="0"/>
    <d v="2021-09-08T00:00:00"/>
    <x v="808"/>
    <s v="Pacheco-Morris"/>
    <x v="4"/>
    <n v="40960.957470365101"/>
    <n v="171"/>
    <x v="2"/>
    <d v="2021-10-03T00:00:00"/>
    <s v="Penicillin"/>
    <x v="0"/>
    <s v="High"/>
    <s v="Under Treatment"/>
    <s v="High Risk"/>
    <x v="0"/>
  </r>
  <r>
    <x v="813"/>
    <n v="64"/>
    <x v="0"/>
    <s v="B+"/>
    <x v="1"/>
    <d v="2020-05-24T00:00:00"/>
    <x v="809"/>
    <s v="Zimmerman-Schneider"/>
    <x v="3"/>
    <n v="29685.109822373201"/>
    <n v="307"/>
    <x v="1"/>
    <d v="2020-06-01T00:00:00"/>
    <s v="Ibuprofen"/>
    <x v="2"/>
    <s v="High"/>
    <s v="Under Treatment"/>
    <s v="High Risk"/>
    <x v="1"/>
  </r>
  <r>
    <x v="814"/>
    <n v="23"/>
    <x v="0"/>
    <s v="B-"/>
    <x v="1"/>
    <d v="2020-01-05T00:00:00"/>
    <x v="810"/>
    <s v="Hoover Rodriguez, and Vang"/>
    <x v="3"/>
    <n v="11418.622172395"/>
    <n v="360"/>
    <x v="0"/>
    <d v="2020-01-31T00:00:00"/>
    <s v="Lipitor"/>
    <x v="2"/>
    <s v="Medium"/>
    <s v="Under Treatment"/>
    <s v="High Risk"/>
    <x v="0"/>
  </r>
  <r>
    <x v="815"/>
    <n v="29"/>
    <x v="1"/>
    <s v="B-"/>
    <x v="0"/>
    <d v="2023-05-20T00:00:00"/>
    <x v="811"/>
    <s v="Fuller Sons and"/>
    <x v="4"/>
    <n v="20578.2957125184"/>
    <n v="408"/>
    <x v="1"/>
    <d v="2023-05-25T00:00:00"/>
    <s v="Penicillin"/>
    <x v="0"/>
    <s v="High"/>
    <s v="Under Treatment"/>
    <s v="High Risk"/>
    <x v="0"/>
  </r>
  <r>
    <x v="816"/>
    <n v="79"/>
    <x v="1"/>
    <s v="O-"/>
    <x v="5"/>
    <d v="2023-10-16T00:00:00"/>
    <x v="812"/>
    <s v="and Sons Bonilla"/>
    <x v="4"/>
    <n v="7068.9139844759202"/>
    <n v="237"/>
    <x v="2"/>
    <d v="2023-10-27T00:00:00"/>
    <s v="Penicillin"/>
    <x v="1"/>
    <s v="Medium"/>
    <s v="Under Treatment"/>
    <s v="High Risk"/>
    <x v="2"/>
  </r>
  <r>
    <x v="817"/>
    <n v="59"/>
    <x v="1"/>
    <s v="AB+"/>
    <x v="1"/>
    <d v="2022-08-28T00:00:00"/>
    <x v="813"/>
    <s v="Moore-Sanders"/>
    <x v="4"/>
    <n v="28954.261391611999"/>
    <n v="379"/>
    <x v="1"/>
    <d v="2022-09-14T00:00:00"/>
    <s v="Aspirin"/>
    <x v="1"/>
    <s v="High"/>
    <s v="Under Treatment"/>
    <s v="High Risk"/>
    <x v="1"/>
  </r>
  <r>
    <x v="818"/>
    <n v="26"/>
    <x v="1"/>
    <s v="A+"/>
    <x v="2"/>
    <d v="2023-11-15T00:00:00"/>
    <x v="814"/>
    <s v="Ortiz, and Massey Norton"/>
    <x v="4"/>
    <n v="2329.10809281296"/>
    <n v="496"/>
    <x v="0"/>
    <d v="2023-11-27T00:00:00"/>
    <s v="Lipitor"/>
    <x v="2"/>
    <s v="Low"/>
    <s v="Under Treatment"/>
    <s v="High Risk"/>
    <x v="0"/>
  </r>
  <r>
    <x v="819"/>
    <n v="56"/>
    <x v="0"/>
    <s v="AB+"/>
    <x v="1"/>
    <d v="2023-03-25T00:00:00"/>
    <x v="815"/>
    <s v="PLC Anderson"/>
    <x v="3"/>
    <n v="17327.984497481601"/>
    <n v="480"/>
    <x v="0"/>
    <d v="2023-03-26T00:00:00"/>
    <s v="Penicillin"/>
    <x v="2"/>
    <s v="High"/>
    <s v="Under Treatment"/>
    <s v="High Risk"/>
    <x v="1"/>
  </r>
  <r>
    <x v="820"/>
    <n v="19"/>
    <x v="0"/>
    <s v="A+"/>
    <x v="4"/>
    <d v="2020-06-27T00:00:00"/>
    <x v="816"/>
    <s v="Lee Pugh, and Orozco"/>
    <x v="1"/>
    <n v="26660.4482046587"/>
    <n v="109"/>
    <x v="0"/>
    <d v="2020-07-23T00:00:00"/>
    <s v="Aspirin"/>
    <x v="0"/>
    <s v="High"/>
    <s v="Under Treatment"/>
    <s v="High Risk"/>
    <x v="0"/>
  </r>
  <r>
    <x v="821"/>
    <n v="79"/>
    <x v="1"/>
    <s v="A+"/>
    <x v="1"/>
    <d v="2022-01-08T00:00:00"/>
    <x v="817"/>
    <s v="Payne Parker, Murphy and"/>
    <x v="1"/>
    <n v="33071.266573138302"/>
    <n v="328"/>
    <x v="1"/>
    <d v="2022-01-31T00:00:00"/>
    <s v="Penicillin"/>
    <x v="2"/>
    <s v="High"/>
    <s v="Under Treatment"/>
    <s v="High Risk"/>
    <x v="2"/>
  </r>
  <r>
    <x v="822"/>
    <n v="56"/>
    <x v="1"/>
    <s v="A+"/>
    <x v="5"/>
    <d v="2019-09-01T00:00:00"/>
    <x v="818"/>
    <s v="and Hernandez Mckinney Li,"/>
    <x v="1"/>
    <n v="36923.5400841382"/>
    <n v="387"/>
    <x v="1"/>
    <d v="2019-10-01T00:00:00"/>
    <s v="Lipitor"/>
    <x v="2"/>
    <s v="High"/>
    <s v="Under Treatment"/>
    <s v="High Risk"/>
    <x v="1"/>
  </r>
  <r>
    <x v="823"/>
    <n v="54"/>
    <x v="1"/>
    <s v="O-"/>
    <x v="5"/>
    <d v="2020-02-17T00:00:00"/>
    <x v="819"/>
    <s v="Hancock Ltd"/>
    <x v="3"/>
    <n v="34455.475482420203"/>
    <n v="102"/>
    <x v="0"/>
    <d v="2020-02-21T00:00:00"/>
    <s v="Penicillin"/>
    <x v="0"/>
    <s v="High"/>
    <s v="Under Treatment"/>
    <s v="High Risk"/>
    <x v="1"/>
  </r>
  <r>
    <x v="824"/>
    <n v="37"/>
    <x v="1"/>
    <s v="O-"/>
    <x v="5"/>
    <d v="2021-04-05T00:00:00"/>
    <x v="820"/>
    <s v="Mitchell Brown and Rice,"/>
    <x v="3"/>
    <n v="29993.379009175998"/>
    <n v="205"/>
    <x v="2"/>
    <d v="2021-04-09T00:00:00"/>
    <s v="Paracetamol"/>
    <x v="1"/>
    <s v="High"/>
    <s v="Under Treatment"/>
    <s v="High Risk"/>
    <x v="3"/>
  </r>
  <r>
    <x v="825"/>
    <n v="23"/>
    <x v="0"/>
    <s v="B+"/>
    <x v="2"/>
    <d v="2023-07-14T00:00:00"/>
    <x v="821"/>
    <s v="Garcia-Martinez"/>
    <x v="0"/>
    <n v="9736.4647381899395"/>
    <n v="391"/>
    <x v="0"/>
    <d v="2023-07-18T00:00:00"/>
    <s v="Lipitor"/>
    <x v="2"/>
    <s v="Medium"/>
    <s v="Under Treatment"/>
    <s v="High Risk"/>
    <x v="0"/>
  </r>
  <r>
    <x v="826"/>
    <n v="35"/>
    <x v="0"/>
    <s v="A+"/>
    <x v="0"/>
    <d v="2021-01-06T00:00:00"/>
    <x v="822"/>
    <s v="Douglas-Diaz"/>
    <x v="0"/>
    <n v="43625.562173780003"/>
    <n v="167"/>
    <x v="1"/>
    <d v="2021-01-25T00:00:00"/>
    <s v="Penicillin"/>
    <x v="2"/>
    <s v="High"/>
    <s v="Under Treatment"/>
    <s v="High Risk"/>
    <x v="0"/>
  </r>
  <r>
    <x v="827"/>
    <n v="52"/>
    <x v="0"/>
    <s v="A-"/>
    <x v="0"/>
    <d v="2023-05-05T00:00:00"/>
    <x v="823"/>
    <s v="Ltd Tran"/>
    <x v="4"/>
    <n v="33864.953129245303"/>
    <n v="429"/>
    <x v="2"/>
    <d v="2023-05-14T00:00:00"/>
    <s v="Ibuprofen"/>
    <x v="2"/>
    <s v="High"/>
    <s v="Under Treatment"/>
    <s v="High Risk"/>
    <x v="1"/>
  </r>
  <r>
    <x v="828"/>
    <n v="47"/>
    <x v="1"/>
    <s v="A-"/>
    <x v="2"/>
    <d v="2019-10-09T00:00:00"/>
    <x v="824"/>
    <s v="Sons Flores and"/>
    <x v="0"/>
    <n v="9594.8862744858998"/>
    <n v="312"/>
    <x v="1"/>
    <d v="2019-11-07T00:00:00"/>
    <s v="Paracetamol"/>
    <x v="0"/>
    <s v="Medium"/>
    <s v="Under Treatment"/>
    <s v="High Risk"/>
    <x v="3"/>
  </r>
  <r>
    <x v="829"/>
    <n v="68"/>
    <x v="1"/>
    <s v="B+"/>
    <x v="5"/>
    <d v="2022-05-06T00:00:00"/>
    <x v="825"/>
    <s v="Green Group"/>
    <x v="1"/>
    <n v="3770.6373806159199"/>
    <n v="356"/>
    <x v="1"/>
    <d v="2022-05-14T00:00:00"/>
    <s v="Paracetamol"/>
    <x v="1"/>
    <s v="Low"/>
    <s v="Under Treatment"/>
    <s v="High Risk"/>
    <x v="2"/>
  </r>
  <r>
    <x v="830"/>
    <n v="25"/>
    <x v="1"/>
    <s v="B+"/>
    <x v="0"/>
    <d v="2019-07-08T00:00:00"/>
    <x v="826"/>
    <s v="Lewis, Gibbs and Powell"/>
    <x v="2"/>
    <n v="12950.759575448599"/>
    <n v="333"/>
    <x v="1"/>
    <d v="2019-07-14T00:00:00"/>
    <s v="Paracetamol"/>
    <x v="1"/>
    <s v="Medium"/>
    <s v="Under Treatment"/>
    <s v="High Risk"/>
    <x v="0"/>
  </r>
  <r>
    <x v="831"/>
    <n v="34"/>
    <x v="0"/>
    <s v="A+"/>
    <x v="2"/>
    <d v="2022-09-08T00:00:00"/>
    <x v="827"/>
    <s v="Sons and Moore"/>
    <x v="1"/>
    <n v="12586.422175762"/>
    <n v="234"/>
    <x v="0"/>
    <d v="2022-09-21T00:00:00"/>
    <s v="Penicillin"/>
    <x v="0"/>
    <s v="Medium"/>
    <s v="Under Treatment"/>
    <s v="High Risk"/>
    <x v="0"/>
  </r>
  <r>
    <x v="832"/>
    <n v="57"/>
    <x v="0"/>
    <s v="B-"/>
    <x v="1"/>
    <d v="2022-08-14T00:00:00"/>
    <x v="828"/>
    <s v="Ltd Guerra"/>
    <x v="2"/>
    <n v="26378.979266611499"/>
    <n v="357"/>
    <x v="0"/>
    <d v="2022-09-13T00:00:00"/>
    <s v="Ibuprofen"/>
    <x v="1"/>
    <s v="High"/>
    <s v="Under Treatment"/>
    <s v="High Risk"/>
    <x v="1"/>
  </r>
  <r>
    <x v="833"/>
    <n v="73"/>
    <x v="1"/>
    <s v="AB-"/>
    <x v="3"/>
    <d v="2023-05-09T00:00:00"/>
    <x v="829"/>
    <s v="Group Hudson"/>
    <x v="1"/>
    <n v="34587.807228902398"/>
    <n v="252"/>
    <x v="0"/>
    <d v="2023-05-30T00:00:00"/>
    <s v="Lipitor"/>
    <x v="1"/>
    <s v="High"/>
    <s v="Under Treatment"/>
    <s v="High Risk"/>
    <x v="2"/>
  </r>
  <r>
    <x v="834"/>
    <n v="64"/>
    <x v="1"/>
    <s v="B+"/>
    <x v="0"/>
    <d v="2021-09-30T00:00:00"/>
    <x v="830"/>
    <s v="Moreno Inc"/>
    <x v="1"/>
    <n v="33631.417667171401"/>
    <n v="176"/>
    <x v="0"/>
    <d v="2021-10-03T00:00:00"/>
    <s v="Lipitor"/>
    <x v="0"/>
    <s v="High"/>
    <s v="Under Treatment"/>
    <s v="High Risk"/>
    <x v="1"/>
  </r>
  <r>
    <x v="835"/>
    <n v="26"/>
    <x v="1"/>
    <s v="AB+"/>
    <x v="5"/>
    <d v="2021-04-18T00:00:00"/>
    <x v="831"/>
    <s v="Inc Singh"/>
    <x v="0"/>
    <n v="30502.461414768801"/>
    <n v="443"/>
    <x v="2"/>
    <d v="2021-04-30T00:00:00"/>
    <s v="Ibuprofen"/>
    <x v="2"/>
    <s v="High"/>
    <s v="Under Treatment"/>
    <s v="High Risk"/>
    <x v="0"/>
  </r>
  <r>
    <x v="836"/>
    <n v="56"/>
    <x v="0"/>
    <s v="AB+"/>
    <x v="4"/>
    <d v="2024-02-13T00:00:00"/>
    <x v="832"/>
    <s v="Sanchez-Mccullough"/>
    <x v="3"/>
    <n v="6576.0851251517697"/>
    <n v="396"/>
    <x v="2"/>
    <d v="2024-02-24T00:00:00"/>
    <s v="Lipitor"/>
    <x v="1"/>
    <s v="Medium"/>
    <s v="Under Treatment"/>
    <s v="High Risk"/>
    <x v="1"/>
  </r>
  <r>
    <x v="837"/>
    <n v="46"/>
    <x v="1"/>
    <s v="A+"/>
    <x v="2"/>
    <d v="2020-10-05T00:00:00"/>
    <x v="833"/>
    <s v="Smith Rodriguez and Buchanan,"/>
    <x v="2"/>
    <n v="41392.7801248701"/>
    <n v="331"/>
    <x v="2"/>
    <d v="2020-10-07T00:00:00"/>
    <s v="Aspirin"/>
    <x v="2"/>
    <s v="High"/>
    <s v="Under Treatment"/>
    <s v="High Risk"/>
    <x v="3"/>
  </r>
  <r>
    <x v="838"/>
    <n v="58"/>
    <x v="0"/>
    <s v="A-"/>
    <x v="0"/>
    <d v="2022-10-16T00:00:00"/>
    <x v="834"/>
    <s v="May-Smith"/>
    <x v="2"/>
    <n v="30627.208616756099"/>
    <n v="291"/>
    <x v="1"/>
    <d v="2022-10-26T00:00:00"/>
    <s v="Lipitor"/>
    <x v="2"/>
    <s v="High"/>
    <s v="Under Treatment"/>
    <s v="High Risk"/>
    <x v="1"/>
  </r>
  <r>
    <x v="839"/>
    <n v="40"/>
    <x v="0"/>
    <s v="B-"/>
    <x v="0"/>
    <d v="2023-12-13T00:00:00"/>
    <x v="835"/>
    <s v="Franco and Trevino Clayton,"/>
    <x v="1"/>
    <n v="32482.1557628681"/>
    <n v="196"/>
    <x v="1"/>
    <d v="2023-12-19T00:00:00"/>
    <s v="Aspirin"/>
    <x v="1"/>
    <s v="High"/>
    <s v="Under Treatment"/>
    <s v="High Risk"/>
    <x v="3"/>
  </r>
  <r>
    <x v="840"/>
    <n v="84"/>
    <x v="1"/>
    <s v="O-"/>
    <x v="1"/>
    <d v="2023-11-19T00:00:00"/>
    <x v="836"/>
    <s v="Herman-Griffin"/>
    <x v="0"/>
    <n v="7238.96331235666"/>
    <n v="328"/>
    <x v="0"/>
    <d v="2023-11-22T00:00:00"/>
    <s v="Lipitor"/>
    <x v="0"/>
    <s v="Medium"/>
    <s v="Under Treatment"/>
    <s v="High Risk"/>
    <x v="2"/>
  </r>
  <r>
    <x v="841"/>
    <n v="41"/>
    <x v="0"/>
    <s v="AB+"/>
    <x v="1"/>
    <d v="2022-10-01T00:00:00"/>
    <x v="837"/>
    <s v="Watson-Hill"/>
    <x v="4"/>
    <n v="1114.41155922194"/>
    <n v="150"/>
    <x v="1"/>
    <d v="2022-10-20T00:00:00"/>
    <s v="Paracetamol"/>
    <x v="1"/>
    <s v="Low"/>
    <s v="Under Treatment"/>
    <s v="High Risk"/>
    <x v="3"/>
  </r>
  <r>
    <x v="842"/>
    <n v="74"/>
    <x v="0"/>
    <s v="B+"/>
    <x v="0"/>
    <d v="2019-05-24T00:00:00"/>
    <x v="838"/>
    <s v="Martin Rodriguez, Richardson and"/>
    <x v="3"/>
    <n v="11162.425018145899"/>
    <n v="455"/>
    <x v="1"/>
    <d v="2019-06-17T00:00:00"/>
    <s v="Aspirin"/>
    <x v="0"/>
    <s v="Medium"/>
    <s v="Under Treatment"/>
    <s v="High Risk"/>
    <x v="2"/>
  </r>
  <r>
    <x v="843"/>
    <n v="84"/>
    <x v="1"/>
    <s v="O-"/>
    <x v="1"/>
    <d v="2021-05-31T00:00:00"/>
    <x v="839"/>
    <s v="and Gray Smith, Jennings"/>
    <x v="3"/>
    <n v="1990.26905333071"/>
    <n v="488"/>
    <x v="0"/>
    <d v="2021-06-03T00:00:00"/>
    <s v="Lipitor"/>
    <x v="0"/>
    <s v="Low"/>
    <s v="Under Treatment"/>
    <s v="High Risk"/>
    <x v="2"/>
  </r>
  <r>
    <x v="844"/>
    <n v="67"/>
    <x v="1"/>
    <s v="B+"/>
    <x v="1"/>
    <d v="2019-07-02T00:00:00"/>
    <x v="840"/>
    <s v="and Reynolds Moore Martin,"/>
    <x v="1"/>
    <n v="32363.644181923701"/>
    <n v="161"/>
    <x v="2"/>
    <d v="2019-07-13T00:00:00"/>
    <s v="Penicillin"/>
    <x v="1"/>
    <s v="High"/>
    <s v="Under Treatment"/>
    <s v="High Risk"/>
    <x v="2"/>
  </r>
  <r>
    <x v="845"/>
    <n v="84"/>
    <x v="1"/>
    <s v="B+"/>
    <x v="1"/>
    <d v="2019-06-26T00:00:00"/>
    <x v="841"/>
    <s v="Potts, Salas Fletcher and"/>
    <x v="0"/>
    <n v="36760.483287079398"/>
    <n v="442"/>
    <x v="2"/>
    <d v="2019-06-30T00:00:00"/>
    <s v="Lipitor"/>
    <x v="2"/>
    <s v="High"/>
    <s v="Under Treatment"/>
    <s v="High Risk"/>
    <x v="2"/>
  </r>
  <r>
    <x v="846"/>
    <n v="28"/>
    <x v="0"/>
    <s v="A+"/>
    <x v="1"/>
    <d v="2023-02-19T00:00:00"/>
    <x v="842"/>
    <s v="Carr Group"/>
    <x v="4"/>
    <n v="24416.376023705601"/>
    <n v="110"/>
    <x v="1"/>
    <d v="2023-03-13T00:00:00"/>
    <s v="Paracetamol"/>
    <x v="0"/>
    <s v="High"/>
    <s v="Under Treatment"/>
    <s v="High Risk"/>
    <x v="0"/>
  </r>
  <r>
    <x v="847"/>
    <n v="51"/>
    <x v="1"/>
    <s v="B+"/>
    <x v="3"/>
    <d v="2023-02-06T00:00:00"/>
    <x v="843"/>
    <s v="PLC Johnson"/>
    <x v="1"/>
    <n v="48723.708478119603"/>
    <n v="297"/>
    <x v="1"/>
    <d v="2023-03-02T00:00:00"/>
    <s v="Penicillin"/>
    <x v="2"/>
    <s v="High"/>
    <s v="Under Treatment"/>
    <s v="High Risk"/>
    <x v="1"/>
  </r>
  <r>
    <x v="848"/>
    <n v="41"/>
    <x v="0"/>
    <s v="AB+"/>
    <x v="4"/>
    <d v="2020-12-17T00:00:00"/>
    <x v="844"/>
    <s v="Moore-Arias"/>
    <x v="0"/>
    <n v="1538.39431655048"/>
    <n v="258"/>
    <x v="1"/>
    <d v="2020-12-20T00:00:00"/>
    <s v="Lipitor"/>
    <x v="0"/>
    <s v="Low"/>
    <s v="Under Treatment"/>
    <s v="High Risk"/>
    <x v="3"/>
  </r>
  <r>
    <x v="849"/>
    <n v="63"/>
    <x v="0"/>
    <s v="A+"/>
    <x v="1"/>
    <d v="2022-01-10T00:00:00"/>
    <x v="845"/>
    <s v="Cunningham Group"/>
    <x v="4"/>
    <n v="33449.559001325601"/>
    <n v="301"/>
    <x v="2"/>
    <d v="2022-01-12T00:00:00"/>
    <s v="Aspirin"/>
    <x v="0"/>
    <s v="High"/>
    <s v="Under Treatment"/>
    <s v="High Risk"/>
    <x v="1"/>
  </r>
  <r>
    <x v="850"/>
    <n v="49"/>
    <x v="0"/>
    <s v="AB-"/>
    <x v="1"/>
    <d v="2019-08-05T00:00:00"/>
    <x v="846"/>
    <s v="Gonzalez-Keith"/>
    <x v="4"/>
    <n v="45777.4365015812"/>
    <n v="178"/>
    <x v="2"/>
    <d v="2019-08-08T00:00:00"/>
    <s v="Penicillin"/>
    <x v="0"/>
    <s v="High"/>
    <s v="Under Treatment"/>
    <s v="High Risk"/>
    <x v="3"/>
  </r>
  <r>
    <x v="851"/>
    <n v="55"/>
    <x v="0"/>
    <s v="AB-"/>
    <x v="5"/>
    <d v="2023-03-15T00:00:00"/>
    <x v="847"/>
    <s v="Williams, and Diaz Campbell"/>
    <x v="3"/>
    <n v="30299.1967949715"/>
    <n v="281"/>
    <x v="1"/>
    <d v="2023-03-21T00:00:00"/>
    <s v="Paracetamol"/>
    <x v="0"/>
    <s v="High"/>
    <s v="Under Treatment"/>
    <s v="High Risk"/>
    <x v="1"/>
  </r>
  <r>
    <x v="852"/>
    <n v="71"/>
    <x v="1"/>
    <s v="O+"/>
    <x v="4"/>
    <d v="2024-01-24T00:00:00"/>
    <x v="848"/>
    <s v="Baker and Barber Baxter,"/>
    <x v="0"/>
    <n v="15645.720782789"/>
    <n v="335"/>
    <x v="2"/>
    <d v="2024-02-11T00:00:00"/>
    <s v="Paracetamol"/>
    <x v="2"/>
    <s v="High"/>
    <s v="Under Treatment"/>
    <s v="High Risk"/>
    <x v="2"/>
  </r>
  <r>
    <x v="853"/>
    <n v="18"/>
    <x v="1"/>
    <s v="A-"/>
    <x v="0"/>
    <d v="2021-01-02T00:00:00"/>
    <x v="849"/>
    <s v="Ltd Marquez"/>
    <x v="4"/>
    <n v="47559.879763042802"/>
    <n v="369"/>
    <x v="2"/>
    <d v="2021-01-10T00:00:00"/>
    <s v="Lipitor"/>
    <x v="1"/>
    <s v="High"/>
    <s v="Under Treatment"/>
    <s v="High Risk"/>
    <x v="4"/>
  </r>
  <r>
    <x v="854"/>
    <n v="23"/>
    <x v="0"/>
    <s v="AB-"/>
    <x v="1"/>
    <d v="2019-07-12T00:00:00"/>
    <x v="850"/>
    <s v="Stuart Inc"/>
    <x v="3"/>
    <n v="33991.2017554048"/>
    <n v="138"/>
    <x v="0"/>
    <d v="2019-07-25T00:00:00"/>
    <s v="Paracetamol"/>
    <x v="0"/>
    <s v="High"/>
    <s v="Under Treatment"/>
    <s v="High Risk"/>
    <x v="0"/>
  </r>
  <r>
    <x v="855"/>
    <n v="38"/>
    <x v="0"/>
    <s v="O+"/>
    <x v="4"/>
    <d v="2019-09-27T00:00:00"/>
    <x v="851"/>
    <s v="Ltd Dixon"/>
    <x v="1"/>
    <n v="48437.879591428398"/>
    <n v="136"/>
    <x v="0"/>
    <d v="2019-09-30T00:00:00"/>
    <s v="Ibuprofen"/>
    <x v="1"/>
    <s v="High"/>
    <s v="Under Treatment"/>
    <s v="High Risk"/>
    <x v="3"/>
  </r>
  <r>
    <x v="856"/>
    <n v="39"/>
    <x v="0"/>
    <s v="A-"/>
    <x v="2"/>
    <d v="2022-04-22T00:00:00"/>
    <x v="852"/>
    <s v="Carpenter-Chen"/>
    <x v="0"/>
    <n v="39180.299094829803"/>
    <n v="118"/>
    <x v="2"/>
    <d v="2022-05-08T00:00:00"/>
    <s v="Ibuprofen"/>
    <x v="1"/>
    <s v="High"/>
    <s v="Under Treatment"/>
    <s v="High Risk"/>
    <x v="3"/>
  </r>
  <r>
    <x v="857"/>
    <n v="38"/>
    <x v="0"/>
    <s v="O-"/>
    <x v="3"/>
    <d v="2021-12-15T00:00:00"/>
    <x v="853"/>
    <s v="Miles-Sanchez"/>
    <x v="3"/>
    <n v="18510.3301477485"/>
    <n v="217"/>
    <x v="2"/>
    <d v="2022-01-13T00:00:00"/>
    <s v="Lipitor"/>
    <x v="0"/>
    <s v="High"/>
    <s v="Under Treatment"/>
    <s v="High Risk"/>
    <x v="3"/>
  </r>
  <r>
    <x v="858"/>
    <n v="60"/>
    <x v="1"/>
    <s v="A+"/>
    <x v="1"/>
    <d v="2021-12-23T00:00:00"/>
    <x v="854"/>
    <s v="Group Robbins"/>
    <x v="4"/>
    <n v="10649.3284078219"/>
    <n v="236"/>
    <x v="0"/>
    <d v="2021-12-30T00:00:00"/>
    <s v="Penicillin"/>
    <x v="1"/>
    <s v="Medium"/>
    <s v="Under Treatment"/>
    <s v="High Risk"/>
    <x v="1"/>
  </r>
  <r>
    <x v="859"/>
    <n v="55"/>
    <x v="0"/>
    <s v="AB+"/>
    <x v="5"/>
    <d v="2022-03-05T00:00:00"/>
    <x v="855"/>
    <s v="Brown-Thompson"/>
    <x v="4"/>
    <n v="34602.101944388502"/>
    <n v="339"/>
    <x v="2"/>
    <d v="2022-03-14T00:00:00"/>
    <s v="Paracetamol"/>
    <x v="0"/>
    <s v="High"/>
    <s v="Under Treatment"/>
    <s v="High Risk"/>
    <x v="1"/>
  </r>
  <r>
    <x v="860"/>
    <n v="59"/>
    <x v="0"/>
    <s v="AB+"/>
    <x v="2"/>
    <d v="2023-11-22T00:00:00"/>
    <x v="856"/>
    <s v="Sons and Morton"/>
    <x v="2"/>
    <n v="6216.4062284851398"/>
    <n v="276"/>
    <x v="1"/>
    <d v="2023-11-23T00:00:00"/>
    <s v="Paracetamol"/>
    <x v="1"/>
    <s v="Medium"/>
    <s v="Under Treatment"/>
    <s v="High Risk"/>
    <x v="1"/>
  </r>
  <r>
    <x v="861"/>
    <n v="83"/>
    <x v="0"/>
    <s v="O-"/>
    <x v="1"/>
    <d v="2021-01-08T00:00:00"/>
    <x v="857"/>
    <s v="and Johnson Sons"/>
    <x v="1"/>
    <n v="34770.747961031098"/>
    <n v="328"/>
    <x v="0"/>
    <d v="2021-02-06T00:00:00"/>
    <s v="Aspirin"/>
    <x v="0"/>
    <s v="High"/>
    <s v="Under Treatment"/>
    <s v="High Risk"/>
    <x v="2"/>
  </r>
  <r>
    <x v="862"/>
    <n v="51"/>
    <x v="0"/>
    <s v="A-"/>
    <x v="5"/>
    <d v="2019-08-10T00:00:00"/>
    <x v="858"/>
    <s v="Brooks LLC"/>
    <x v="3"/>
    <n v="12297.0256972428"/>
    <n v="103"/>
    <x v="1"/>
    <d v="2019-08-14T00:00:00"/>
    <s v="Paracetamol"/>
    <x v="2"/>
    <s v="Medium"/>
    <s v="Under Treatment"/>
    <s v="High Risk"/>
    <x v="1"/>
  </r>
  <r>
    <x v="863"/>
    <n v="64"/>
    <x v="1"/>
    <s v="AB+"/>
    <x v="5"/>
    <d v="2021-06-25T00:00:00"/>
    <x v="859"/>
    <s v="Buck and Delgado, Rich"/>
    <x v="0"/>
    <n v="21690.797971472799"/>
    <n v="140"/>
    <x v="1"/>
    <d v="2021-07-16T00:00:00"/>
    <s v="Lipitor"/>
    <x v="2"/>
    <s v="High"/>
    <s v="Under Treatment"/>
    <s v="High Risk"/>
    <x v="1"/>
  </r>
  <r>
    <x v="864"/>
    <n v="25"/>
    <x v="1"/>
    <s v="B+"/>
    <x v="1"/>
    <d v="2020-01-26T00:00:00"/>
    <x v="860"/>
    <s v="Patton and Mclaughlin, Barr"/>
    <x v="3"/>
    <n v="4980.3874753985301"/>
    <n v="192"/>
    <x v="1"/>
    <d v="2020-02-19T00:00:00"/>
    <s v="Paracetamol"/>
    <x v="0"/>
    <s v="Low"/>
    <s v="Under Treatment"/>
    <s v="High Risk"/>
    <x v="0"/>
  </r>
  <r>
    <x v="865"/>
    <n v="34"/>
    <x v="1"/>
    <s v="A+"/>
    <x v="0"/>
    <d v="2022-11-01T00:00:00"/>
    <x v="861"/>
    <s v="Melton Ltd"/>
    <x v="0"/>
    <n v="22549.379635232901"/>
    <n v="207"/>
    <x v="1"/>
    <d v="2022-11-18T00:00:00"/>
    <s v="Penicillin"/>
    <x v="0"/>
    <s v="High"/>
    <s v="Under Treatment"/>
    <s v="High Risk"/>
    <x v="0"/>
  </r>
  <r>
    <x v="866"/>
    <n v="32"/>
    <x v="1"/>
    <s v="B+"/>
    <x v="1"/>
    <d v="2022-10-11T00:00:00"/>
    <x v="862"/>
    <s v="Baker PLC"/>
    <x v="4"/>
    <n v="45870.560193349498"/>
    <n v="314"/>
    <x v="0"/>
    <d v="2022-11-06T00:00:00"/>
    <s v="Penicillin"/>
    <x v="2"/>
    <s v="High"/>
    <s v="Under Treatment"/>
    <s v="High Risk"/>
    <x v="0"/>
  </r>
  <r>
    <x v="867"/>
    <n v="37"/>
    <x v="1"/>
    <s v="O-"/>
    <x v="5"/>
    <d v="2020-09-13T00:00:00"/>
    <x v="863"/>
    <s v="Schmitt and Montgomery, Barber"/>
    <x v="0"/>
    <n v="16828.051973821599"/>
    <n v="147"/>
    <x v="0"/>
    <d v="2020-10-13T00:00:00"/>
    <s v="Paracetamol"/>
    <x v="1"/>
    <s v="High"/>
    <s v="Under Treatment"/>
    <s v="High Risk"/>
    <x v="3"/>
  </r>
  <r>
    <x v="868"/>
    <n v="21"/>
    <x v="1"/>
    <s v="B+"/>
    <x v="2"/>
    <d v="2023-12-21T00:00:00"/>
    <x v="864"/>
    <s v="Thomas Ltd"/>
    <x v="3"/>
    <n v="22757.5871819934"/>
    <n v="407"/>
    <x v="1"/>
    <d v="2024-01-11T00:00:00"/>
    <s v="Ibuprofen"/>
    <x v="2"/>
    <s v="High"/>
    <s v="Under Treatment"/>
    <s v="High Risk"/>
    <x v="0"/>
  </r>
  <r>
    <x v="869"/>
    <n v="47"/>
    <x v="1"/>
    <s v="B+"/>
    <x v="5"/>
    <d v="2023-04-26T00:00:00"/>
    <x v="865"/>
    <s v="PLC Haney"/>
    <x v="1"/>
    <n v="17353.787810702001"/>
    <n v="192"/>
    <x v="2"/>
    <d v="2023-05-16T00:00:00"/>
    <s v="Penicillin"/>
    <x v="2"/>
    <s v="High"/>
    <s v="Under Treatment"/>
    <s v="High Risk"/>
    <x v="3"/>
  </r>
  <r>
    <x v="870"/>
    <n v="47"/>
    <x v="1"/>
    <s v="B-"/>
    <x v="0"/>
    <d v="2020-02-06T00:00:00"/>
    <x v="866"/>
    <s v="Moss-Jones"/>
    <x v="1"/>
    <n v="16670.0125626587"/>
    <n v="107"/>
    <x v="0"/>
    <d v="2020-02-14T00:00:00"/>
    <s v="Aspirin"/>
    <x v="0"/>
    <s v="High"/>
    <s v="Under Treatment"/>
    <s v="High Risk"/>
    <x v="3"/>
  </r>
  <r>
    <x v="871"/>
    <n v="44"/>
    <x v="0"/>
    <s v="B+"/>
    <x v="0"/>
    <d v="2022-04-30T00:00:00"/>
    <x v="867"/>
    <s v="Davis-Bell"/>
    <x v="1"/>
    <n v="45625.238108733298"/>
    <n v="440"/>
    <x v="0"/>
    <d v="2022-05-12T00:00:00"/>
    <s v="Ibuprofen"/>
    <x v="1"/>
    <s v="High"/>
    <s v="Under Treatment"/>
    <s v="High Risk"/>
    <x v="3"/>
  </r>
  <r>
    <x v="872"/>
    <n v="42"/>
    <x v="0"/>
    <s v="AB-"/>
    <x v="5"/>
    <d v="2020-04-09T00:00:00"/>
    <x v="868"/>
    <s v="Hill, Murphy and Stewart"/>
    <x v="0"/>
    <n v="11641.628850155499"/>
    <n v="396"/>
    <x v="1"/>
    <d v="2020-04-11T00:00:00"/>
    <s v="Penicillin"/>
    <x v="1"/>
    <s v="Medium"/>
    <s v="Under Treatment"/>
    <s v="High Risk"/>
    <x v="3"/>
  </r>
  <r>
    <x v="873"/>
    <n v="39"/>
    <x v="1"/>
    <s v="O+"/>
    <x v="3"/>
    <d v="2019-12-28T00:00:00"/>
    <x v="869"/>
    <s v="Sons and Dawson"/>
    <x v="2"/>
    <n v="48038.2169675771"/>
    <n v="107"/>
    <x v="2"/>
    <d v="2020-01-05T00:00:00"/>
    <s v="Aspirin"/>
    <x v="0"/>
    <s v="High"/>
    <s v="Under Treatment"/>
    <s v="High Risk"/>
    <x v="3"/>
  </r>
  <r>
    <x v="874"/>
    <n v="67"/>
    <x v="1"/>
    <s v="AB-"/>
    <x v="3"/>
    <d v="2023-09-05T00:00:00"/>
    <x v="870"/>
    <s v="Paul Watts and Perkins,"/>
    <x v="0"/>
    <n v="33118.529019625901"/>
    <n v="236"/>
    <x v="1"/>
    <d v="2023-09-14T00:00:00"/>
    <s v="Paracetamol"/>
    <x v="1"/>
    <s v="High"/>
    <s v="Under Treatment"/>
    <s v="High Risk"/>
    <x v="2"/>
  </r>
  <r>
    <x v="875"/>
    <n v="69"/>
    <x v="1"/>
    <s v="B+"/>
    <x v="3"/>
    <d v="2019-05-21T00:00:00"/>
    <x v="871"/>
    <s v="Thomas, Green and Barron"/>
    <x v="4"/>
    <n v="47980.917174034999"/>
    <n v="181"/>
    <x v="0"/>
    <d v="2019-06-18T00:00:00"/>
    <s v="Ibuprofen"/>
    <x v="1"/>
    <s v="High"/>
    <s v="Under Treatment"/>
    <s v="High Risk"/>
    <x v="2"/>
  </r>
  <r>
    <x v="876"/>
    <n v="84"/>
    <x v="0"/>
    <s v="B-"/>
    <x v="3"/>
    <d v="2023-06-17T00:00:00"/>
    <x v="872"/>
    <s v="Mclaughlin, and Tucker Francis"/>
    <x v="2"/>
    <n v="7566.8593067618303"/>
    <n v="435"/>
    <x v="0"/>
    <d v="2023-07-17T00:00:00"/>
    <s v="Penicillin"/>
    <x v="0"/>
    <s v="Medium"/>
    <s v="Under Treatment"/>
    <s v="High Risk"/>
    <x v="2"/>
  </r>
  <r>
    <x v="877"/>
    <n v="79"/>
    <x v="1"/>
    <s v="AB-"/>
    <x v="5"/>
    <d v="2022-01-28T00:00:00"/>
    <x v="873"/>
    <s v="Ltd Smith"/>
    <x v="1"/>
    <n v="18609.8981700976"/>
    <n v="127"/>
    <x v="2"/>
    <d v="2022-02-18T00:00:00"/>
    <s v="Lipitor"/>
    <x v="1"/>
    <s v="High"/>
    <s v="Under Treatment"/>
    <s v="High Risk"/>
    <x v="2"/>
  </r>
  <r>
    <x v="878"/>
    <n v="22"/>
    <x v="1"/>
    <s v="B+"/>
    <x v="5"/>
    <d v="2022-07-31T00:00:00"/>
    <x v="874"/>
    <s v="Brown LLC"/>
    <x v="3"/>
    <n v="25233.892403363599"/>
    <n v="194"/>
    <x v="2"/>
    <d v="2022-08-28T00:00:00"/>
    <s v="Lipitor"/>
    <x v="1"/>
    <s v="High"/>
    <s v="Under Treatment"/>
    <s v="High Risk"/>
    <x v="0"/>
  </r>
  <r>
    <x v="879"/>
    <n v="54"/>
    <x v="0"/>
    <s v="AB+"/>
    <x v="0"/>
    <d v="2019-12-04T00:00:00"/>
    <x v="875"/>
    <s v="PLC Garcia"/>
    <x v="2"/>
    <n v="24755.026431309201"/>
    <n v="155"/>
    <x v="1"/>
    <d v="2019-12-30T00:00:00"/>
    <s v="Paracetamol"/>
    <x v="1"/>
    <s v="High"/>
    <s v="Under Treatment"/>
    <s v="High Risk"/>
    <x v="1"/>
  </r>
  <r>
    <x v="880"/>
    <n v="27"/>
    <x v="0"/>
    <s v="A-"/>
    <x v="3"/>
    <d v="2023-07-22T00:00:00"/>
    <x v="876"/>
    <s v="Petty-Lloyd"/>
    <x v="1"/>
    <n v="32806.4877356875"/>
    <n v="195"/>
    <x v="2"/>
    <d v="2023-08-11T00:00:00"/>
    <s v="Paracetamol"/>
    <x v="0"/>
    <s v="High"/>
    <s v="Under Treatment"/>
    <s v="High Risk"/>
    <x v="0"/>
  </r>
  <r>
    <x v="881"/>
    <n v="55"/>
    <x v="1"/>
    <s v="B+"/>
    <x v="5"/>
    <d v="2021-12-05T00:00:00"/>
    <x v="877"/>
    <s v="Conley-Wood"/>
    <x v="3"/>
    <n v="50378.3005621669"/>
    <n v="155"/>
    <x v="1"/>
    <d v="2021-12-11T00:00:00"/>
    <s v="Ibuprofen"/>
    <x v="0"/>
    <s v="High"/>
    <s v="Under Treatment"/>
    <s v="High Risk"/>
    <x v="1"/>
  </r>
  <r>
    <x v="882"/>
    <n v="40"/>
    <x v="1"/>
    <s v="A+"/>
    <x v="4"/>
    <d v="2021-12-03T00:00:00"/>
    <x v="878"/>
    <s v="Yu-Bryant"/>
    <x v="2"/>
    <n v="14273.011155137299"/>
    <n v="212"/>
    <x v="0"/>
    <d v="2021-12-14T00:00:00"/>
    <s v="Lipitor"/>
    <x v="1"/>
    <s v="Medium"/>
    <s v="Under Treatment"/>
    <s v="High Risk"/>
    <x v="3"/>
  </r>
  <r>
    <x v="883"/>
    <n v="81"/>
    <x v="0"/>
    <s v="O-"/>
    <x v="4"/>
    <d v="2023-07-30T00:00:00"/>
    <x v="879"/>
    <s v="Mills and Young, Perry"/>
    <x v="4"/>
    <n v="48799.385334340201"/>
    <n v="102"/>
    <x v="1"/>
    <d v="2023-08-11T00:00:00"/>
    <s v="Paracetamol"/>
    <x v="1"/>
    <s v="High"/>
    <s v="Under Treatment"/>
    <s v="High Risk"/>
    <x v="2"/>
  </r>
  <r>
    <x v="884"/>
    <n v="60"/>
    <x v="0"/>
    <s v="O-"/>
    <x v="5"/>
    <d v="2021-02-25T00:00:00"/>
    <x v="880"/>
    <s v="Gonzalez LLC"/>
    <x v="1"/>
    <n v="4224.2184499433997"/>
    <n v="353"/>
    <x v="0"/>
    <d v="2021-03-15T00:00:00"/>
    <s v="Paracetamol"/>
    <x v="0"/>
    <s v="Low"/>
    <s v="Under Treatment"/>
    <s v="High Risk"/>
    <x v="1"/>
  </r>
  <r>
    <x v="885"/>
    <n v="60"/>
    <x v="0"/>
    <s v="A+"/>
    <x v="2"/>
    <d v="2023-01-21T00:00:00"/>
    <x v="881"/>
    <s v="Watkins Group"/>
    <x v="2"/>
    <n v="7613.4509395390396"/>
    <n v="448"/>
    <x v="0"/>
    <d v="2023-02-07T00:00:00"/>
    <s v="Penicillin"/>
    <x v="0"/>
    <s v="Medium"/>
    <s v="Under Treatment"/>
    <s v="High Risk"/>
    <x v="1"/>
  </r>
  <r>
    <x v="886"/>
    <n v="38"/>
    <x v="0"/>
    <s v="B+"/>
    <x v="2"/>
    <d v="2020-03-29T00:00:00"/>
    <x v="882"/>
    <s v="Sons and Davis"/>
    <x v="2"/>
    <n v="15415.388076327001"/>
    <n v="153"/>
    <x v="1"/>
    <d v="2020-04-19T00:00:00"/>
    <s v="Aspirin"/>
    <x v="2"/>
    <s v="High"/>
    <s v="Under Treatment"/>
    <s v="High Risk"/>
    <x v="3"/>
  </r>
  <r>
    <x v="887"/>
    <n v="18"/>
    <x v="1"/>
    <s v="AB-"/>
    <x v="5"/>
    <d v="2019-05-20T00:00:00"/>
    <x v="883"/>
    <s v="Acosta Group"/>
    <x v="4"/>
    <n v="37941.378251979098"/>
    <n v="145"/>
    <x v="0"/>
    <d v="2019-06-15T00:00:00"/>
    <s v="Aspirin"/>
    <x v="2"/>
    <s v="High"/>
    <s v="Under Treatment"/>
    <s v="High Risk"/>
    <x v="4"/>
  </r>
  <r>
    <x v="888"/>
    <n v="76"/>
    <x v="0"/>
    <s v="B+"/>
    <x v="5"/>
    <d v="2020-05-17T00:00:00"/>
    <x v="884"/>
    <s v="Group Blake"/>
    <x v="2"/>
    <n v="14572.199836457299"/>
    <n v="134"/>
    <x v="1"/>
    <d v="2020-05-23T00:00:00"/>
    <s v="Penicillin"/>
    <x v="0"/>
    <s v="Medium"/>
    <s v="Under Treatment"/>
    <s v="High Risk"/>
    <x v="2"/>
  </r>
  <r>
    <x v="889"/>
    <n v="84"/>
    <x v="1"/>
    <s v="B-"/>
    <x v="2"/>
    <d v="2019-10-12T00:00:00"/>
    <x v="885"/>
    <s v="Sellers and Nelson, Anderson"/>
    <x v="0"/>
    <n v="37571.375700582299"/>
    <n v="275"/>
    <x v="0"/>
    <d v="2019-10-31T00:00:00"/>
    <s v="Penicillin"/>
    <x v="0"/>
    <s v="High"/>
    <s v="Under Treatment"/>
    <s v="High Risk"/>
    <x v="2"/>
  </r>
  <r>
    <x v="890"/>
    <n v="62"/>
    <x v="0"/>
    <s v="A+"/>
    <x v="1"/>
    <d v="2022-03-11T00:00:00"/>
    <x v="886"/>
    <s v="Gordon-Foster"/>
    <x v="0"/>
    <n v="17370.825947033201"/>
    <n v="281"/>
    <x v="0"/>
    <d v="2022-03-28T00:00:00"/>
    <s v="Penicillin"/>
    <x v="0"/>
    <s v="High"/>
    <s v="Under Treatment"/>
    <s v="High Risk"/>
    <x v="1"/>
  </r>
  <r>
    <x v="891"/>
    <n v="38"/>
    <x v="0"/>
    <s v="AB-"/>
    <x v="1"/>
    <d v="2021-11-03T00:00:00"/>
    <x v="887"/>
    <s v="Boyd Ltd"/>
    <x v="4"/>
    <n v="35489.458603760402"/>
    <n v="353"/>
    <x v="2"/>
    <d v="2021-12-03T00:00:00"/>
    <s v="Penicillin"/>
    <x v="0"/>
    <s v="High"/>
    <s v="Under Treatment"/>
    <s v="High Risk"/>
    <x v="3"/>
  </r>
  <r>
    <x v="892"/>
    <n v="29"/>
    <x v="1"/>
    <s v="O+"/>
    <x v="4"/>
    <d v="2020-08-30T00:00:00"/>
    <x v="888"/>
    <s v="Graham-Smith"/>
    <x v="1"/>
    <n v="20455.458288578098"/>
    <n v="283"/>
    <x v="2"/>
    <d v="2020-09-01T00:00:00"/>
    <s v="Lipitor"/>
    <x v="2"/>
    <s v="High"/>
    <s v="Under Treatment"/>
    <s v="High Risk"/>
    <x v="0"/>
  </r>
  <r>
    <x v="893"/>
    <n v="65"/>
    <x v="1"/>
    <s v="A+"/>
    <x v="1"/>
    <d v="2020-05-06T00:00:00"/>
    <x v="889"/>
    <s v="Reynolds and Sons"/>
    <x v="2"/>
    <n v="11492.788392210399"/>
    <n v="116"/>
    <x v="1"/>
    <d v="2020-05-15T00:00:00"/>
    <s v="Lipitor"/>
    <x v="1"/>
    <s v="Medium"/>
    <s v="Under Treatment"/>
    <s v="High Risk"/>
    <x v="1"/>
  </r>
  <r>
    <x v="894"/>
    <n v="53"/>
    <x v="0"/>
    <s v="B-"/>
    <x v="0"/>
    <d v="2020-11-08T00:00:00"/>
    <x v="890"/>
    <s v="Sons and Good"/>
    <x v="0"/>
    <n v="17616.100835637801"/>
    <n v="219"/>
    <x v="2"/>
    <d v="2020-11-16T00:00:00"/>
    <s v="Paracetamol"/>
    <x v="0"/>
    <s v="High"/>
    <s v="Under Treatment"/>
    <s v="High Risk"/>
    <x v="1"/>
  </r>
  <r>
    <x v="895"/>
    <n v="46"/>
    <x v="1"/>
    <s v="A-"/>
    <x v="0"/>
    <d v="2019-09-09T00:00:00"/>
    <x v="891"/>
    <s v="Howell, Young Potts and"/>
    <x v="1"/>
    <n v="46961.575439563901"/>
    <n v="185"/>
    <x v="0"/>
    <d v="2019-09-23T00:00:00"/>
    <s v="Paracetamol"/>
    <x v="0"/>
    <s v="High"/>
    <s v="Under Treatment"/>
    <s v="High Risk"/>
    <x v="3"/>
  </r>
  <r>
    <x v="896"/>
    <n v="67"/>
    <x v="1"/>
    <s v="B-"/>
    <x v="1"/>
    <d v="2021-05-01T00:00:00"/>
    <x v="892"/>
    <s v="Lewis-Fletcher"/>
    <x v="3"/>
    <n v="18561.270578109601"/>
    <n v="411"/>
    <x v="1"/>
    <d v="2021-05-26T00:00:00"/>
    <s v="Ibuprofen"/>
    <x v="1"/>
    <s v="High"/>
    <s v="Under Treatment"/>
    <s v="High Risk"/>
    <x v="2"/>
  </r>
  <r>
    <x v="897"/>
    <n v="24"/>
    <x v="0"/>
    <s v="AB+"/>
    <x v="1"/>
    <d v="2023-06-27T00:00:00"/>
    <x v="893"/>
    <s v="Wagner LLC"/>
    <x v="4"/>
    <n v="39018.767473342799"/>
    <n v="176"/>
    <x v="1"/>
    <d v="2023-07-09T00:00:00"/>
    <s v="Ibuprofen"/>
    <x v="2"/>
    <s v="High"/>
    <s v="Under Treatment"/>
    <s v="High Risk"/>
    <x v="0"/>
  </r>
  <r>
    <x v="898"/>
    <n v="18"/>
    <x v="1"/>
    <s v="B-"/>
    <x v="0"/>
    <d v="2023-10-22T00:00:00"/>
    <x v="894"/>
    <s v="Steele-Robinson"/>
    <x v="4"/>
    <n v="47337.955348384399"/>
    <n v="252"/>
    <x v="2"/>
    <d v="2023-11-16T00:00:00"/>
    <s v="Paracetamol"/>
    <x v="2"/>
    <s v="High"/>
    <s v="Under Treatment"/>
    <s v="High Risk"/>
    <x v="4"/>
  </r>
  <r>
    <x v="899"/>
    <n v="51"/>
    <x v="1"/>
    <s v="AB+"/>
    <x v="2"/>
    <d v="2022-05-19T00:00:00"/>
    <x v="895"/>
    <s v="Ortega Ltd"/>
    <x v="1"/>
    <n v="43474.518770914699"/>
    <n v="262"/>
    <x v="0"/>
    <d v="2022-05-28T00:00:00"/>
    <s v="Lipitor"/>
    <x v="0"/>
    <s v="High"/>
    <s v="Under Treatment"/>
    <s v="High Risk"/>
    <x v="1"/>
  </r>
  <r>
    <x v="900"/>
    <n v="49"/>
    <x v="0"/>
    <s v="AB-"/>
    <x v="2"/>
    <d v="2022-10-30T00:00:00"/>
    <x v="896"/>
    <s v="Warren-Bowman"/>
    <x v="1"/>
    <n v="32574.837230159701"/>
    <n v="441"/>
    <x v="1"/>
    <d v="2022-11-15T00:00:00"/>
    <s v="Penicillin"/>
    <x v="0"/>
    <s v="High"/>
    <s v="Under Treatment"/>
    <s v="High Risk"/>
    <x v="3"/>
  </r>
  <r>
    <x v="901"/>
    <n v="46"/>
    <x v="0"/>
    <s v="B+"/>
    <x v="4"/>
    <d v="2019-11-12T00:00:00"/>
    <x v="897"/>
    <s v="Brown Reed Robinson, and"/>
    <x v="4"/>
    <n v="19479.447014730398"/>
    <n v="280"/>
    <x v="0"/>
    <d v="2019-12-05T00:00:00"/>
    <s v="Paracetamol"/>
    <x v="2"/>
    <s v="High"/>
    <s v="Under Treatment"/>
    <s v="High Risk"/>
    <x v="3"/>
  </r>
  <r>
    <x v="902"/>
    <n v="59"/>
    <x v="1"/>
    <s v="A-"/>
    <x v="0"/>
    <d v="2019-10-17T00:00:00"/>
    <x v="898"/>
    <s v="Stewart-Dominguez"/>
    <x v="4"/>
    <n v="40055.594153053004"/>
    <n v="465"/>
    <x v="0"/>
    <d v="2019-11-08T00:00:00"/>
    <s v="Lipitor"/>
    <x v="2"/>
    <s v="High"/>
    <s v="Under Treatment"/>
    <s v="High Risk"/>
    <x v="1"/>
  </r>
  <r>
    <x v="903"/>
    <n v="18"/>
    <x v="0"/>
    <s v="A-"/>
    <x v="1"/>
    <d v="2019-05-09T00:00:00"/>
    <x v="899"/>
    <s v="Lamb-Herrera"/>
    <x v="4"/>
    <n v="8906.6696794003801"/>
    <n v="471"/>
    <x v="0"/>
    <d v="2019-06-02T00:00:00"/>
    <s v="Ibuprofen"/>
    <x v="0"/>
    <s v="Medium"/>
    <s v="Under Treatment"/>
    <s v="High Risk"/>
    <x v="4"/>
  </r>
  <r>
    <x v="904"/>
    <n v="79"/>
    <x v="1"/>
    <s v="AB-"/>
    <x v="3"/>
    <d v="2019-05-22T00:00:00"/>
    <x v="900"/>
    <s v="and Glover Christensen, Jackson"/>
    <x v="4"/>
    <n v="41102.280232253397"/>
    <n v="105"/>
    <x v="1"/>
    <d v="2019-06-07T00:00:00"/>
    <s v="Penicillin"/>
    <x v="0"/>
    <s v="High"/>
    <s v="Under Treatment"/>
    <s v="High Risk"/>
    <x v="2"/>
  </r>
  <r>
    <x v="905"/>
    <n v="74"/>
    <x v="0"/>
    <s v="B+"/>
    <x v="4"/>
    <d v="2019-09-15T00:00:00"/>
    <x v="901"/>
    <s v="Alvarez Austin Snyder, and"/>
    <x v="4"/>
    <n v="21513.5265843421"/>
    <n v="438"/>
    <x v="1"/>
    <d v="2019-10-11T00:00:00"/>
    <s v="Lipitor"/>
    <x v="0"/>
    <s v="High"/>
    <s v="Under Treatment"/>
    <s v="High Risk"/>
    <x v="2"/>
  </r>
  <r>
    <x v="906"/>
    <n v="63"/>
    <x v="0"/>
    <s v="A+"/>
    <x v="0"/>
    <d v="2022-06-01T00:00:00"/>
    <x v="902"/>
    <s v="Ltd Brown"/>
    <x v="1"/>
    <n v="21380.1972288617"/>
    <n v="406"/>
    <x v="2"/>
    <d v="2022-06-21T00:00:00"/>
    <s v="Lipitor"/>
    <x v="1"/>
    <s v="High"/>
    <s v="Under Treatment"/>
    <s v="High Risk"/>
    <x v="1"/>
  </r>
  <r>
    <x v="907"/>
    <n v="34"/>
    <x v="0"/>
    <s v="A-"/>
    <x v="0"/>
    <d v="2023-03-03T00:00:00"/>
    <x v="903"/>
    <s v="Dennis, and Hood Guerra"/>
    <x v="1"/>
    <n v="11175.230874041201"/>
    <n v="248"/>
    <x v="0"/>
    <d v="2023-03-22T00:00:00"/>
    <s v="Paracetamol"/>
    <x v="0"/>
    <s v="Medium"/>
    <s v="Under Treatment"/>
    <s v="High Risk"/>
    <x v="0"/>
  </r>
  <r>
    <x v="908"/>
    <n v="83"/>
    <x v="1"/>
    <s v="A-"/>
    <x v="1"/>
    <d v="2020-01-16T00:00:00"/>
    <x v="904"/>
    <s v="Inc Mercer"/>
    <x v="1"/>
    <n v="42510.687790141899"/>
    <n v="286"/>
    <x v="1"/>
    <d v="2020-02-03T00:00:00"/>
    <s v="Aspirin"/>
    <x v="1"/>
    <s v="High"/>
    <s v="Under Treatment"/>
    <s v="High Risk"/>
    <x v="2"/>
  </r>
  <r>
    <x v="909"/>
    <n v="33"/>
    <x v="1"/>
    <s v="B-"/>
    <x v="5"/>
    <d v="2024-03-15T00:00:00"/>
    <x v="905"/>
    <s v="Garrett PLC"/>
    <x v="3"/>
    <n v="7475.7407329018597"/>
    <n v="373"/>
    <x v="2"/>
    <d v="2024-03-20T00:00:00"/>
    <s v="Penicillin"/>
    <x v="2"/>
    <s v="Medium"/>
    <s v="Under Treatment"/>
    <s v="High Risk"/>
    <x v="0"/>
  </r>
  <r>
    <x v="910"/>
    <n v="31"/>
    <x v="1"/>
    <s v="B+"/>
    <x v="4"/>
    <d v="2020-03-01T00:00:00"/>
    <x v="906"/>
    <s v="Medina, and Allen Wilkins"/>
    <x v="4"/>
    <n v="15092.075102151501"/>
    <n v="360"/>
    <x v="2"/>
    <d v="2020-03-06T00:00:00"/>
    <s v="Lipitor"/>
    <x v="2"/>
    <s v="High"/>
    <s v="Under Treatment"/>
    <s v="High Risk"/>
    <x v="0"/>
  </r>
  <r>
    <x v="911"/>
    <n v="43"/>
    <x v="1"/>
    <s v="O+"/>
    <x v="4"/>
    <d v="2023-06-20T00:00:00"/>
    <x v="907"/>
    <s v="Hayes and Miller, Sawyer"/>
    <x v="0"/>
    <n v="37095.593175701099"/>
    <n v="473"/>
    <x v="0"/>
    <d v="2023-06-24T00:00:00"/>
    <s v="Penicillin"/>
    <x v="0"/>
    <s v="High"/>
    <s v="Under Treatment"/>
    <s v="High Risk"/>
    <x v="3"/>
  </r>
  <r>
    <x v="912"/>
    <n v="84"/>
    <x v="1"/>
    <s v="B+"/>
    <x v="1"/>
    <d v="2020-01-09T00:00:00"/>
    <x v="908"/>
    <s v="and Phelps Burke Fields,"/>
    <x v="3"/>
    <n v="20737.636299710099"/>
    <n v="217"/>
    <x v="1"/>
    <d v="2020-02-06T00:00:00"/>
    <s v="Paracetamol"/>
    <x v="1"/>
    <s v="High"/>
    <s v="Under Treatment"/>
    <s v="High Risk"/>
    <x v="2"/>
  </r>
  <r>
    <x v="913"/>
    <n v="21"/>
    <x v="1"/>
    <s v="AB-"/>
    <x v="5"/>
    <d v="2024-01-29T00:00:00"/>
    <x v="909"/>
    <s v="Inc Smith"/>
    <x v="3"/>
    <n v="24809.717443047299"/>
    <n v="379"/>
    <x v="2"/>
    <d v="2024-02-20T00:00:00"/>
    <s v="Penicillin"/>
    <x v="2"/>
    <s v="High"/>
    <s v="Under Treatment"/>
    <s v="High Risk"/>
    <x v="0"/>
  </r>
  <r>
    <x v="914"/>
    <n v="49"/>
    <x v="0"/>
    <s v="A+"/>
    <x v="0"/>
    <d v="2021-10-14T00:00:00"/>
    <x v="910"/>
    <s v="and Smith Conway, Byrd"/>
    <x v="4"/>
    <n v="31511.119645728799"/>
    <n v="229"/>
    <x v="2"/>
    <d v="2021-11-01T00:00:00"/>
    <s v="Ibuprofen"/>
    <x v="1"/>
    <s v="High"/>
    <s v="Under Treatment"/>
    <s v="High Risk"/>
    <x v="3"/>
  </r>
  <r>
    <x v="915"/>
    <n v="31"/>
    <x v="0"/>
    <s v="B+"/>
    <x v="2"/>
    <d v="2021-08-24T00:00:00"/>
    <x v="911"/>
    <s v="Sons Gonzalez and"/>
    <x v="3"/>
    <n v="21915.778776238101"/>
    <n v="234"/>
    <x v="0"/>
    <d v="2021-08-25T00:00:00"/>
    <s v="Aspirin"/>
    <x v="2"/>
    <s v="High"/>
    <s v="Under Treatment"/>
    <s v="High Risk"/>
    <x v="0"/>
  </r>
  <r>
    <x v="916"/>
    <n v="55"/>
    <x v="0"/>
    <s v="A+"/>
    <x v="4"/>
    <d v="2022-10-04T00:00:00"/>
    <x v="912"/>
    <s v="Nelson-Hawkins"/>
    <x v="1"/>
    <n v="31632.7389811291"/>
    <n v="252"/>
    <x v="0"/>
    <d v="2022-10-11T00:00:00"/>
    <s v="Ibuprofen"/>
    <x v="0"/>
    <s v="High"/>
    <s v="Under Treatment"/>
    <s v="High Risk"/>
    <x v="1"/>
  </r>
  <r>
    <x v="917"/>
    <n v="30"/>
    <x v="1"/>
    <s v="A+"/>
    <x v="3"/>
    <d v="2019-06-24T00:00:00"/>
    <x v="913"/>
    <s v="LLC Martinez"/>
    <x v="2"/>
    <n v="29806.7182206957"/>
    <n v="224"/>
    <x v="2"/>
    <d v="2019-06-25T00:00:00"/>
    <s v="Paracetamol"/>
    <x v="0"/>
    <s v="High"/>
    <s v="Under Treatment"/>
    <s v="High Risk"/>
    <x v="0"/>
  </r>
  <r>
    <x v="918"/>
    <n v="75"/>
    <x v="1"/>
    <s v="B+"/>
    <x v="0"/>
    <d v="2023-04-30T00:00:00"/>
    <x v="914"/>
    <s v="Graves LLC"/>
    <x v="2"/>
    <n v="1493.0776791333899"/>
    <n v="319"/>
    <x v="1"/>
    <d v="2023-05-30T00:00:00"/>
    <s v="Ibuprofen"/>
    <x v="0"/>
    <s v="Low"/>
    <s v="Under Treatment"/>
    <s v="High Risk"/>
    <x v="2"/>
  </r>
  <r>
    <x v="919"/>
    <n v="82"/>
    <x v="0"/>
    <s v="A+"/>
    <x v="5"/>
    <d v="2024-04-09T00:00:00"/>
    <x v="915"/>
    <s v="PLC Mann"/>
    <x v="2"/>
    <n v="32968.233193676402"/>
    <n v="308"/>
    <x v="1"/>
    <d v="2024-05-01T00:00:00"/>
    <s v="Aspirin"/>
    <x v="0"/>
    <s v="High"/>
    <s v="Under Treatment"/>
    <s v="High Risk"/>
    <x v="2"/>
  </r>
  <r>
    <x v="920"/>
    <n v="69"/>
    <x v="1"/>
    <s v="B-"/>
    <x v="3"/>
    <d v="2023-01-06T00:00:00"/>
    <x v="916"/>
    <s v="Lee-White"/>
    <x v="2"/>
    <n v="14108.6623976064"/>
    <n v="279"/>
    <x v="2"/>
    <d v="2023-01-07T00:00:00"/>
    <s v="Aspirin"/>
    <x v="1"/>
    <s v="Medium"/>
    <s v="Under Treatment"/>
    <s v="High Risk"/>
    <x v="2"/>
  </r>
  <r>
    <x v="921"/>
    <n v="69"/>
    <x v="1"/>
    <s v="A-"/>
    <x v="5"/>
    <d v="2022-02-25T00:00:00"/>
    <x v="917"/>
    <s v="Rodriguez-Beck"/>
    <x v="0"/>
    <n v="44253.7198548823"/>
    <n v="498"/>
    <x v="0"/>
    <d v="2022-02-26T00:00:00"/>
    <s v="Paracetamol"/>
    <x v="0"/>
    <s v="High"/>
    <s v="Under Treatment"/>
    <s v="High Risk"/>
    <x v="2"/>
  </r>
  <r>
    <x v="922"/>
    <n v="44"/>
    <x v="0"/>
    <s v="O-"/>
    <x v="4"/>
    <d v="2019-06-14T00:00:00"/>
    <x v="918"/>
    <s v="Willis-Dixon"/>
    <x v="4"/>
    <n v="24947.587937616499"/>
    <n v="278"/>
    <x v="2"/>
    <d v="2019-07-07T00:00:00"/>
    <s v="Aspirin"/>
    <x v="2"/>
    <s v="High"/>
    <s v="Under Treatment"/>
    <s v="High Risk"/>
    <x v="3"/>
  </r>
  <r>
    <x v="923"/>
    <n v="23"/>
    <x v="1"/>
    <s v="O+"/>
    <x v="2"/>
    <d v="2023-11-07T00:00:00"/>
    <x v="919"/>
    <s v="Sharp-Greer"/>
    <x v="1"/>
    <n v="11209.4158534777"/>
    <n v="452"/>
    <x v="1"/>
    <d v="2023-12-05T00:00:00"/>
    <s v="Lipitor"/>
    <x v="2"/>
    <s v="Medium"/>
    <s v="Under Treatment"/>
    <s v="High Risk"/>
    <x v="0"/>
  </r>
  <r>
    <x v="924"/>
    <n v="61"/>
    <x v="1"/>
    <s v="AB-"/>
    <x v="1"/>
    <d v="2020-10-23T00:00:00"/>
    <x v="920"/>
    <s v="Smith, Singh and Gonzales"/>
    <x v="2"/>
    <n v="16155.8801292314"/>
    <n v="183"/>
    <x v="1"/>
    <d v="2020-11-15T00:00:00"/>
    <s v="Ibuprofen"/>
    <x v="1"/>
    <s v="High"/>
    <s v="Under Treatment"/>
    <s v="High Risk"/>
    <x v="1"/>
  </r>
  <r>
    <x v="925"/>
    <n v="40"/>
    <x v="0"/>
    <s v="AB-"/>
    <x v="1"/>
    <d v="2020-06-17T00:00:00"/>
    <x v="921"/>
    <s v="Frye Group"/>
    <x v="2"/>
    <n v="27009.2124092124"/>
    <n v="287"/>
    <x v="1"/>
    <d v="2020-07-05T00:00:00"/>
    <s v="Paracetamol"/>
    <x v="0"/>
    <s v="High"/>
    <s v="Under Treatment"/>
    <s v="High Risk"/>
    <x v="3"/>
  </r>
  <r>
    <x v="926"/>
    <n v="39"/>
    <x v="1"/>
    <s v="AB+"/>
    <x v="2"/>
    <d v="2023-02-26T00:00:00"/>
    <x v="922"/>
    <s v="Harding-Adams"/>
    <x v="1"/>
    <n v="24977.267277168801"/>
    <n v="461"/>
    <x v="0"/>
    <d v="2023-03-28T00:00:00"/>
    <s v="Lipitor"/>
    <x v="1"/>
    <s v="High"/>
    <s v="Under Treatment"/>
    <s v="High Risk"/>
    <x v="3"/>
  </r>
  <r>
    <x v="927"/>
    <n v="76"/>
    <x v="0"/>
    <s v="A+"/>
    <x v="5"/>
    <d v="2021-02-08T00:00:00"/>
    <x v="923"/>
    <s v="Lopez Group"/>
    <x v="4"/>
    <n v="12282.2794578104"/>
    <n v="215"/>
    <x v="0"/>
    <d v="2021-02-12T00:00:00"/>
    <s v="Aspirin"/>
    <x v="2"/>
    <s v="Medium"/>
    <s v="Under Treatment"/>
    <s v="High Risk"/>
    <x v="2"/>
  </r>
  <r>
    <x v="928"/>
    <n v="48"/>
    <x v="0"/>
    <s v="A+"/>
    <x v="3"/>
    <d v="2023-06-02T00:00:00"/>
    <x v="924"/>
    <s v="LLC Dickerson"/>
    <x v="1"/>
    <n v="50838.482955635904"/>
    <n v="101"/>
    <x v="2"/>
    <d v="2023-06-27T00:00:00"/>
    <s v="Lipitor"/>
    <x v="2"/>
    <s v="High"/>
    <s v="Under Treatment"/>
    <s v="High Risk"/>
    <x v="3"/>
  </r>
  <r>
    <x v="929"/>
    <n v="76"/>
    <x v="0"/>
    <s v="AB-"/>
    <x v="4"/>
    <d v="2023-02-01T00:00:00"/>
    <x v="925"/>
    <s v="Guerrero Group"/>
    <x v="2"/>
    <n v="34020.249593863802"/>
    <n v="309"/>
    <x v="0"/>
    <d v="2023-02-28T00:00:00"/>
    <s v="Ibuprofen"/>
    <x v="2"/>
    <s v="High"/>
    <s v="Under Treatment"/>
    <s v="High Risk"/>
    <x v="2"/>
  </r>
  <r>
    <x v="930"/>
    <n v="65"/>
    <x v="1"/>
    <s v="AB-"/>
    <x v="4"/>
    <d v="2022-10-06T00:00:00"/>
    <x v="926"/>
    <s v="and Gardner Torres, Rosario"/>
    <x v="3"/>
    <n v="43940.136073574198"/>
    <n v="275"/>
    <x v="1"/>
    <d v="2022-10-23T00:00:00"/>
    <s v="Penicillin"/>
    <x v="2"/>
    <s v="High"/>
    <s v="Under Treatment"/>
    <s v="High Risk"/>
    <x v="1"/>
  </r>
  <r>
    <x v="931"/>
    <n v="52"/>
    <x v="0"/>
    <s v="B+"/>
    <x v="2"/>
    <d v="2024-04-30T00:00:00"/>
    <x v="927"/>
    <s v="Wilson Sons and"/>
    <x v="0"/>
    <n v="6789.9179120566796"/>
    <n v="301"/>
    <x v="0"/>
    <d v="2024-05-19T00:00:00"/>
    <s v="Paracetamol"/>
    <x v="2"/>
    <s v="Medium"/>
    <s v="Under Treatment"/>
    <s v="High Risk"/>
    <x v="1"/>
  </r>
  <r>
    <x v="932"/>
    <n v="84"/>
    <x v="0"/>
    <s v="A+"/>
    <x v="4"/>
    <d v="2019-06-16T00:00:00"/>
    <x v="928"/>
    <s v="Anderson-Miller"/>
    <x v="0"/>
    <n v="25664.3525379819"/>
    <n v="482"/>
    <x v="1"/>
    <d v="2019-06-30T00:00:00"/>
    <s v="Lipitor"/>
    <x v="1"/>
    <s v="High"/>
    <s v="Under Treatment"/>
    <s v="High Risk"/>
    <x v="2"/>
  </r>
  <r>
    <x v="933"/>
    <n v="82"/>
    <x v="0"/>
    <s v="O-"/>
    <x v="2"/>
    <d v="2020-08-12T00:00:00"/>
    <x v="929"/>
    <s v="PLC Phillips"/>
    <x v="2"/>
    <n v="23437.2960753343"/>
    <n v="120"/>
    <x v="1"/>
    <d v="2020-09-07T00:00:00"/>
    <s v="Penicillin"/>
    <x v="1"/>
    <s v="High"/>
    <s v="Under Treatment"/>
    <s v="High Risk"/>
    <x v="2"/>
  </r>
  <r>
    <x v="934"/>
    <n v="26"/>
    <x v="0"/>
    <s v="A-"/>
    <x v="1"/>
    <d v="2023-10-23T00:00:00"/>
    <x v="930"/>
    <s v="Cowan Inc"/>
    <x v="3"/>
    <n v="38142.109678053399"/>
    <n v="313"/>
    <x v="0"/>
    <d v="2023-11-18T00:00:00"/>
    <s v="Penicillin"/>
    <x v="2"/>
    <s v="High"/>
    <s v="Under Treatment"/>
    <s v="High Risk"/>
    <x v="0"/>
  </r>
  <r>
    <x v="935"/>
    <n v="77"/>
    <x v="0"/>
    <s v="B+"/>
    <x v="3"/>
    <d v="2022-07-04T00:00:00"/>
    <x v="931"/>
    <s v="Burns-Callahan"/>
    <x v="1"/>
    <n v="3825.0925445786602"/>
    <n v="425"/>
    <x v="2"/>
    <d v="2022-07-30T00:00:00"/>
    <s v="Lipitor"/>
    <x v="0"/>
    <s v="Low"/>
    <s v="Under Treatment"/>
    <s v="High Risk"/>
    <x v="2"/>
  </r>
  <r>
    <x v="936"/>
    <n v="77"/>
    <x v="1"/>
    <s v="A-"/>
    <x v="1"/>
    <d v="2022-03-31T00:00:00"/>
    <x v="932"/>
    <s v="Moore-Smith"/>
    <x v="4"/>
    <n v="28157.617945996499"/>
    <n v="379"/>
    <x v="1"/>
    <d v="2022-04-21T00:00:00"/>
    <s v="Aspirin"/>
    <x v="1"/>
    <s v="High"/>
    <s v="Under Treatment"/>
    <s v="High Risk"/>
    <x v="2"/>
  </r>
  <r>
    <x v="937"/>
    <n v="43"/>
    <x v="0"/>
    <s v="AB+"/>
    <x v="4"/>
    <d v="2020-03-03T00:00:00"/>
    <x v="933"/>
    <s v="Taylor Johnson, Beasley and"/>
    <x v="1"/>
    <n v="44211.016696409497"/>
    <n v="324"/>
    <x v="0"/>
    <d v="2020-03-15T00:00:00"/>
    <s v="Ibuprofen"/>
    <x v="2"/>
    <s v="High"/>
    <s v="Under Treatment"/>
    <s v="High Risk"/>
    <x v="3"/>
  </r>
  <r>
    <x v="938"/>
    <n v="71"/>
    <x v="0"/>
    <s v="B+"/>
    <x v="2"/>
    <d v="2021-08-17T00:00:00"/>
    <x v="934"/>
    <s v="Wood and Murphy Jones,"/>
    <x v="2"/>
    <n v="25100.380281546499"/>
    <n v="110"/>
    <x v="1"/>
    <d v="2021-09-07T00:00:00"/>
    <s v="Ibuprofen"/>
    <x v="0"/>
    <s v="High"/>
    <s v="Under Treatment"/>
    <s v="High Risk"/>
    <x v="2"/>
  </r>
  <r>
    <x v="939"/>
    <n v="34"/>
    <x v="0"/>
    <s v="AB-"/>
    <x v="4"/>
    <d v="2021-07-08T00:00:00"/>
    <x v="935"/>
    <s v="Willis-Mcgee"/>
    <x v="4"/>
    <n v="15343.042766926001"/>
    <n v="450"/>
    <x v="1"/>
    <d v="2021-07-21T00:00:00"/>
    <s v="Paracetamol"/>
    <x v="0"/>
    <s v="High"/>
    <s v="Under Treatment"/>
    <s v="High Risk"/>
    <x v="0"/>
  </r>
  <r>
    <x v="940"/>
    <n v="70"/>
    <x v="0"/>
    <s v="A-"/>
    <x v="2"/>
    <d v="2019-10-10T00:00:00"/>
    <x v="936"/>
    <s v="Benson PLC"/>
    <x v="0"/>
    <n v="26499.4164252388"/>
    <n v="116"/>
    <x v="0"/>
    <d v="2019-10-27T00:00:00"/>
    <s v="Aspirin"/>
    <x v="0"/>
    <s v="High"/>
    <s v="Under Treatment"/>
    <s v="High Risk"/>
    <x v="2"/>
  </r>
  <r>
    <x v="941"/>
    <n v="36"/>
    <x v="0"/>
    <s v="O+"/>
    <x v="3"/>
    <d v="2020-03-09T00:00:00"/>
    <x v="937"/>
    <s v="Rubio LLC"/>
    <x v="3"/>
    <n v="45412.659813186903"/>
    <n v="352"/>
    <x v="1"/>
    <d v="2020-04-03T00:00:00"/>
    <s v="Paracetamol"/>
    <x v="2"/>
    <s v="High"/>
    <s v="Under Treatment"/>
    <s v="High Risk"/>
    <x v="3"/>
  </r>
  <r>
    <x v="942"/>
    <n v="51"/>
    <x v="0"/>
    <s v="O+"/>
    <x v="3"/>
    <d v="2023-10-10T00:00:00"/>
    <x v="938"/>
    <s v="Hurley Ltd"/>
    <x v="3"/>
    <n v="44926.673917424298"/>
    <n v="453"/>
    <x v="1"/>
    <d v="2023-10-15T00:00:00"/>
    <s v="Paracetamol"/>
    <x v="1"/>
    <s v="High"/>
    <s v="Under Treatment"/>
    <s v="High Risk"/>
    <x v="1"/>
  </r>
  <r>
    <x v="943"/>
    <n v="38"/>
    <x v="1"/>
    <s v="AB-"/>
    <x v="4"/>
    <d v="2023-07-04T00:00:00"/>
    <x v="939"/>
    <s v="Jacobs-Howell"/>
    <x v="4"/>
    <n v="44442.610958378202"/>
    <n v="456"/>
    <x v="1"/>
    <d v="2023-07-17T00:00:00"/>
    <s v="Ibuprofen"/>
    <x v="2"/>
    <s v="High"/>
    <s v="Under Treatment"/>
    <s v="High Risk"/>
    <x v="3"/>
  </r>
  <r>
    <x v="944"/>
    <n v="29"/>
    <x v="1"/>
    <s v="O-"/>
    <x v="3"/>
    <d v="2021-06-14T00:00:00"/>
    <x v="940"/>
    <s v="Ward-Crosby"/>
    <x v="1"/>
    <n v="29560.986174907601"/>
    <n v="363"/>
    <x v="0"/>
    <d v="2021-07-01T00:00:00"/>
    <s v="Penicillin"/>
    <x v="0"/>
    <s v="High"/>
    <s v="Under Treatment"/>
    <s v="High Risk"/>
    <x v="0"/>
  </r>
  <r>
    <x v="945"/>
    <n v="85"/>
    <x v="1"/>
    <s v="A-"/>
    <x v="0"/>
    <d v="2021-02-09T00:00:00"/>
    <x v="941"/>
    <s v="Wong-Booth"/>
    <x v="0"/>
    <n v="49121.411074509502"/>
    <n v="281"/>
    <x v="0"/>
    <d v="2021-03-09T00:00:00"/>
    <s v="Penicillin"/>
    <x v="1"/>
    <s v="High"/>
    <s v="Under Treatment"/>
    <s v="High Risk"/>
    <x v="2"/>
  </r>
  <r>
    <x v="946"/>
    <n v="37"/>
    <x v="1"/>
    <s v="A+"/>
    <x v="0"/>
    <d v="2023-11-16T00:00:00"/>
    <x v="942"/>
    <s v="and Valencia Flores, Byrd"/>
    <x v="0"/>
    <n v="35722.022345431702"/>
    <n v="257"/>
    <x v="1"/>
    <d v="2023-12-03T00:00:00"/>
    <s v="Paracetamol"/>
    <x v="1"/>
    <s v="High"/>
    <s v="Under Treatment"/>
    <s v="High Risk"/>
    <x v="3"/>
  </r>
  <r>
    <x v="947"/>
    <n v="69"/>
    <x v="1"/>
    <s v="A-"/>
    <x v="3"/>
    <d v="2021-03-21T00:00:00"/>
    <x v="943"/>
    <s v="Collins-Gutierrez"/>
    <x v="3"/>
    <n v="11202.346692134301"/>
    <n v="145"/>
    <x v="2"/>
    <d v="2021-03-25T00:00:00"/>
    <s v="Aspirin"/>
    <x v="2"/>
    <s v="Medium"/>
    <s v="Under Treatment"/>
    <s v="High Risk"/>
    <x v="2"/>
  </r>
  <r>
    <x v="948"/>
    <n v="55"/>
    <x v="1"/>
    <s v="B-"/>
    <x v="1"/>
    <d v="2024-02-01T00:00:00"/>
    <x v="944"/>
    <s v="PLC Davis"/>
    <x v="3"/>
    <n v="26408.469156782201"/>
    <n v="236"/>
    <x v="2"/>
    <d v="2024-02-21T00:00:00"/>
    <s v="Paracetamol"/>
    <x v="2"/>
    <s v="High"/>
    <s v="Under Treatment"/>
    <s v="High Risk"/>
    <x v="1"/>
  </r>
  <r>
    <x v="949"/>
    <n v="74"/>
    <x v="1"/>
    <s v="O-"/>
    <x v="3"/>
    <d v="2019-12-05T00:00:00"/>
    <x v="945"/>
    <s v="Anderson, Smith Smith and"/>
    <x v="2"/>
    <n v="3353.63541882441"/>
    <n v="406"/>
    <x v="1"/>
    <d v="2019-12-06T00:00:00"/>
    <s v="Lipitor"/>
    <x v="2"/>
    <s v="Low"/>
    <s v="Under Treatment"/>
    <s v="High Risk"/>
    <x v="2"/>
  </r>
  <r>
    <x v="950"/>
    <n v="38"/>
    <x v="0"/>
    <s v="B+"/>
    <x v="3"/>
    <d v="2021-11-22T00:00:00"/>
    <x v="946"/>
    <s v="and Walker Smith Cannon,"/>
    <x v="2"/>
    <n v="34469.852590685201"/>
    <n v="255"/>
    <x v="1"/>
    <d v="2021-12-02T00:00:00"/>
    <s v="Ibuprofen"/>
    <x v="2"/>
    <s v="High"/>
    <s v="Under Treatment"/>
    <s v="High Risk"/>
    <x v="3"/>
  </r>
  <r>
    <x v="951"/>
    <n v="61"/>
    <x v="0"/>
    <s v="AB-"/>
    <x v="3"/>
    <d v="2023-07-29T00:00:00"/>
    <x v="947"/>
    <s v="Williams LLC"/>
    <x v="1"/>
    <n v="30304.558382291201"/>
    <n v="273"/>
    <x v="1"/>
    <d v="2023-08-14T00:00:00"/>
    <s v="Ibuprofen"/>
    <x v="0"/>
    <s v="High"/>
    <s v="Under Treatment"/>
    <s v="High Risk"/>
    <x v="1"/>
  </r>
  <r>
    <x v="952"/>
    <n v="28"/>
    <x v="0"/>
    <s v="A+"/>
    <x v="0"/>
    <d v="2020-10-27T00:00:00"/>
    <x v="948"/>
    <s v="Walsh Alexander, and Dennis"/>
    <x v="2"/>
    <n v="19993.538493329801"/>
    <n v="168"/>
    <x v="1"/>
    <d v="2020-11-11T00:00:00"/>
    <s v="Penicillin"/>
    <x v="0"/>
    <s v="High"/>
    <s v="Under Treatment"/>
    <s v="High Risk"/>
    <x v="0"/>
  </r>
  <r>
    <x v="953"/>
    <n v="41"/>
    <x v="0"/>
    <s v="A-"/>
    <x v="5"/>
    <d v="2023-06-23T00:00:00"/>
    <x v="949"/>
    <s v="Inc Miller"/>
    <x v="0"/>
    <n v="44839.305941457897"/>
    <n v="138"/>
    <x v="1"/>
    <d v="2023-06-27T00:00:00"/>
    <s v="Penicillin"/>
    <x v="2"/>
    <s v="High"/>
    <s v="Under Treatment"/>
    <s v="High Risk"/>
    <x v="3"/>
  </r>
  <r>
    <x v="954"/>
    <n v="77"/>
    <x v="1"/>
    <s v="A+"/>
    <x v="4"/>
    <d v="2021-10-21T00:00:00"/>
    <x v="832"/>
    <s v="LLC Smith"/>
    <x v="1"/>
    <n v="15018.442149636299"/>
    <n v="473"/>
    <x v="2"/>
    <d v="2021-10-24T00:00:00"/>
    <s v="Aspirin"/>
    <x v="2"/>
    <s v="High"/>
    <s v="Under Treatment"/>
    <s v="High Risk"/>
    <x v="2"/>
  </r>
  <r>
    <x v="955"/>
    <n v="66"/>
    <x v="1"/>
    <s v="O+"/>
    <x v="4"/>
    <d v="2022-09-27T00:00:00"/>
    <x v="950"/>
    <s v="Schroeder-Walker"/>
    <x v="4"/>
    <n v="23094.177054975102"/>
    <n v="384"/>
    <x v="0"/>
    <d v="2022-10-05T00:00:00"/>
    <s v="Ibuprofen"/>
    <x v="2"/>
    <s v="High"/>
    <s v="Under Treatment"/>
    <s v="High Risk"/>
    <x v="2"/>
  </r>
  <r>
    <x v="956"/>
    <n v="72"/>
    <x v="1"/>
    <s v="A+"/>
    <x v="5"/>
    <d v="2020-11-12T00:00:00"/>
    <x v="951"/>
    <s v="Mcguire and Wheeler, Morris"/>
    <x v="2"/>
    <n v="49032.034271935903"/>
    <n v="128"/>
    <x v="0"/>
    <d v="2020-12-09T00:00:00"/>
    <s v="Ibuprofen"/>
    <x v="0"/>
    <s v="High"/>
    <s v="Under Treatment"/>
    <s v="High Risk"/>
    <x v="2"/>
  </r>
  <r>
    <x v="957"/>
    <n v="85"/>
    <x v="1"/>
    <s v="A+"/>
    <x v="3"/>
    <d v="2023-10-30T00:00:00"/>
    <x v="952"/>
    <s v="Washington-Sanchez"/>
    <x v="4"/>
    <n v="27783.867205345501"/>
    <n v="326"/>
    <x v="0"/>
    <d v="2023-11-25T00:00:00"/>
    <s v="Penicillin"/>
    <x v="1"/>
    <s v="High"/>
    <s v="Under Treatment"/>
    <s v="High Risk"/>
    <x v="2"/>
  </r>
  <r>
    <x v="958"/>
    <n v="55"/>
    <x v="1"/>
    <s v="A+"/>
    <x v="5"/>
    <d v="2022-04-13T00:00:00"/>
    <x v="953"/>
    <s v="Sons and Olson"/>
    <x v="2"/>
    <n v="27100.222471486701"/>
    <n v="397"/>
    <x v="2"/>
    <d v="2022-04-22T00:00:00"/>
    <s v="Ibuprofen"/>
    <x v="1"/>
    <s v="High"/>
    <s v="Under Treatment"/>
    <s v="High Risk"/>
    <x v="1"/>
  </r>
  <r>
    <x v="959"/>
    <n v="47"/>
    <x v="0"/>
    <s v="A-"/>
    <x v="0"/>
    <d v="2024-03-18T00:00:00"/>
    <x v="954"/>
    <s v="Thompson-Thomas"/>
    <x v="4"/>
    <n v="23995.147396240402"/>
    <n v="302"/>
    <x v="0"/>
    <d v="2024-03-21T00:00:00"/>
    <s v="Aspirin"/>
    <x v="1"/>
    <s v="High"/>
    <s v="Under Treatment"/>
    <s v="High Risk"/>
    <x v="3"/>
  </r>
  <r>
    <x v="960"/>
    <n v="36"/>
    <x v="1"/>
    <s v="O+"/>
    <x v="0"/>
    <d v="2019-09-03T00:00:00"/>
    <x v="955"/>
    <s v="Tanner Smith Miller, and"/>
    <x v="3"/>
    <n v="21561.7723866993"/>
    <n v="127"/>
    <x v="0"/>
    <d v="2019-09-05T00:00:00"/>
    <s v="Lipitor"/>
    <x v="2"/>
    <s v="High"/>
    <s v="Under Treatment"/>
    <s v="High Risk"/>
    <x v="3"/>
  </r>
  <r>
    <x v="961"/>
    <n v="77"/>
    <x v="1"/>
    <s v="O+"/>
    <x v="3"/>
    <d v="2023-02-09T00:00:00"/>
    <x v="956"/>
    <s v="Johnson and Doyle, Collins"/>
    <x v="0"/>
    <n v="44206.134904247301"/>
    <n v="169"/>
    <x v="1"/>
    <d v="2023-03-03T00:00:00"/>
    <s v="Paracetamol"/>
    <x v="0"/>
    <s v="High"/>
    <s v="Under Treatment"/>
    <s v="High Risk"/>
    <x v="2"/>
  </r>
  <r>
    <x v="962"/>
    <n v="58"/>
    <x v="0"/>
    <s v="AB+"/>
    <x v="2"/>
    <d v="2023-03-04T00:00:00"/>
    <x v="957"/>
    <s v="Cruz and Hahn, Gibbs"/>
    <x v="1"/>
    <n v="7138.2067610583499"/>
    <n v="448"/>
    <x v="0"/>
    <d v="2023-03-14T00:00:00"/>
    <s v="Lipitor"/>
    <x v="2"/>
    <s v="Medium"/>
    <s v="Under Treatment"/>
    <s v="High Risk"/>
    <x v="1"/>
  </r>
  <r>
    <x v="963"/>
    <n v="31"/>
    <x v="0"/>
    <s v="AB+"/>
    <x v="5"/>
    <d v="2023-11-28T00:00:00"/>
    <x v="958"/>
    <s v="Kelly-Tapia"/>
    <x v="3"/>
    <n v="30988.296317377499"/>
    <n v="135"/>
    <x v="1"/>
    <d v="2023-12-07T00:00:00"/>
    <s v="Ibuprofen"/>
    <x v="2"/>
    <s v="High"/>
    <s v="Under Treatment"/>
    <s v="High Risk"/>
    <x v="0"/>
  </r>
  <r>
    <x v="964"/>
    <n v="25"/>
    <x v="1"/>
    <s v="O+"/>
    <x v="4"/>
    <d v="2022-02-01T00:00:00"/>
    <x v="959"/>
    <s v="LLC Merritt"/>
    <x v="3"/>
    <n v="11167.1092587067"/>
    <n v="140"/>
    <x v="0"/>
    <d v="2022-02-20T00:00:00"/>
    <s v="Lipitor"/>
    <x v="0"/>
    <s v="Medium"/>
    <s v="Under Treatment"/>
    <s v="High Risk"/>
    <x v="0"/>
  </r>
  <r>
    <x v="965"/>
    <n v="70"/>
    <x v="1"/>
    <s v="AB+"/>
    <x v="3"/>
    <d v="2024-02-29T00:00:00"/>
    <x v="960"/>
    <s v="Russell, and Barnett Williams"/>
    <x v="3"/>
    <n v="12869.428491816099"/>
    <n v="182"/>
    <x v="1"/>
    <d v="2024-03-16T00:00:00"/>
    <s v="Aspirin"/>
    <x v="1"/>
    <s v="Medium"/>
    <s v="Under Treatment"/>
    <s v="High Risk"/>
    <x v="2"/>
  </r>
  <r>
    <x v="966"/>
    <n v="66"/>
    <x v="1"/>
    <s v="B+"/>
    <x v="4"/>
    <d v="2024-02-18T00:00:00"/>
    <x v="961"/>
    <s v="Lambert-Richardson"/>
    <x v="1"/>
    <n v="49125.375740889598"/>
    <n v="217"/>
    <x v="0"/>
    <d v="2024-03-11T00:00:00"/>
    <s v="Penicillin"/>
    <x v="1"/>
    <s v="High"/>
    <s v="Under Treatment"/>
    <s v="High Risk"/>
    <x v="2"/>
  </r>
  <r>
    <x v="967"/>
    <n v="72"/>
    <x v="1"/>
    <s v="A+"/>
    <x v="4"/>
    <d v="2023-07-02T00:00:00"/>
    <x v="962"/>
    <s v="Morgan, Stephenson and Frazier"/>
    <x v="4"/>
    <n v="19950.7554744966"/>
    <n v="332"/>
    <x v="1"/>
    <d v="2023-07-17T00:00:00"/>
    <s v="Lipitor"/>
    <x v="1"/>
    <s v="High"/>
    <s v="Under Treatment"/>
    <s v="High Risk"/>
    <x v="2"/>
  </r>
  <r>
    <x v="968"/>
    <n v="84"/>
    <x v="0"/>
    <s v="AB-"/>
    <x v="3"/>
    <d v="2021-04-16T00:00:00"/>
    <x v="963"/>
    <s v="PLC Gaines"/>
    <x v="2"/>
    <n v="44452.6681089552"/>
    <n v="380"/>
    <x v="1"/>
    <d v="2021-04-17T00:00:00"/>
    <s v="Paracetamol"/>
    <x v="1"/>
    <s v="High"/>
    <s v="Under Treatment"/>
    <s v="High Risk"/>
    <x v="2"/>
  </r>
  <r>
    <x v="969"/>
    <n v="70"/>
    <x v="1"/>
    <s v="A-"/>
    <x v="1"/>
    <d v="2021-03-24T00:00:00"/>
    <x v="964"/>
    <s v="and Sons Curry"/>
    <x v="1"/>
    <n v="47469.177326378398"/>
    <n v="212"/>
    <x v="2"/>
    <d v="2021-04-11T00:00:00"/>
    <s v="Ibuprofen"/>
    <x v="2"/>
    <s v="High"/>
    <s v="Under Treatment"/>
    <s v="High Risk"/>
    <x v="2"/>
  </r>
  <r>
    <x v="970"/>
    <n v="74"/>
    <x v="1"/>
    <s v="O+"/>
    <x v="3"/>
    <d v="2021-01-20T00:00:00"/>
    <x v="965"/>
    <s v="Group Peters"/>
    <x v="0"/>
    <n v="-109.09712199628299"/>
    <n v="381"/>
    <x v="1"/>
    <d v="2021-02-09T00:00:00"/>
    <s v="Ibuprofen"/>
    <x v="2"/>
    <s v="Low"/>
    <s v="Under Treatment"/>
    <s v="High Risk"/>
    <x v="2"/>
  </r>
  <r>
    <x v="971"/>
    <n v="36"/>
    <x v="1"/>
    <s v="AB-"/>
    <x v="3"/>
    <d v="2021-10-31T00:00:00"/>
    <x v="966"/>
    <s v="Baker-Gill"/>
    <x v="2"/>
    <n v="49675.0092637079"/>
    <n v="279"/>
    <x v="2"/>
    <d v="2021-11-26T00:00:00"/>
    <s v="Ibuprofen"/>
    <x v="0"/>
    <s v="High"/>
    <s v="Under Treatment"/>
    <s v="High Risk"/>
    <x v="3"/>
  </r>
  <r>
    <x v="972"/>
    <n v="79"/>
    <x v="0"/>
    <s v="AB+"/>
    <x v="2"/>
    <d v="2021-09-14T00:00:00"/>
    <x v="967"/>
    <s v="Nash Stevenson and Martinez,"/>
    <x v="3"/>
    <n v="26350.003437665899"/>
    <n v="369"/>
    <x v="1"/>
    <d v="2021-09-16T00:00:00"/>
    <s v="Aspirin"/>
    <x v="1"/>
    <s v="High"/>
    <s v="Under Treatment"/>
    <s v="High Risk"/>
    <x v="2"/>
  </r>
  <r>
    <x v="973"/>
    <n v="58"/>
    <x v="0"/>
    <s v="AB+"/>
    <x v="3"/>
    <d v="2023-08-07T00:00:00"/>
    <x v="968"/>
    <s v="Gray and Harris, Oneal"/>
    <x v="0"/>
    <n v="23771.6892161873"/>
    <n v="143"/>
    <x v="0"/>
    <d v="2023-08-28T00:00:00"/>
    <s v="Penicillin"/>
    <x v="2"/>
    <s v="High"/>
    <s v="Under Treatment"/>
    <s v="High Risk"/>
    <x v="1"/>
  </r>
  <r>
    <x v="974"/>
    <n v="61"/>
    <x v="1"/>
    <s v="B+"/>
    <x v="0"/>
    <d v="2020-07-13T00:00:00"/>
    <x v="969"/>
    <s v="Ltd Carter"/>
    <x v="3"/>
    <n v="28761.362695690201"/>
    <n v="133"/>
    <x v="0"/>
    <d v="2020-07-29T00:00:00"/>
    <s v="Aspirin"/>
    <x v="2"/>
    <s v="High"/>
    <s v="Under Treatment"/>
    <s v="High Risk"/>
    <x v="1"/>
  </r>
  <r>
    <x v="975"/>
    <n v="34"/>
    <x v="1"/>
    <s v="O+"/>
    <x v="4"/>
    <d v="2022-05-11T00:00:00"/>
    <x v="970"/>
    <s v="Henderson and Sons"/>
    <x v="1"/>
    <n v="2851.51544576488"/>
    <n v="237"/>
    <x v="2"/>
    <d v="2022-05-29T00:00:00"/>
    <s v="Paracetamol"/>
    <x v="0"/>
    <s v="Low"/>
    <s v="Under Treatment"/>
    <s v="High Risk"/>
    <x v="0"/>
  </r>
  <r>
    <x v="976"/>
    <n v="37"/>
    <x v="1"/>
    <s v="AB-"/>
    <x v="2"/>
    <d v="2023-11-23T00:00:00"/>
    <x v="971"/>
    <s v="Barnett LLC"/>
    <x v="2"/>
    <n v="22039.677635208202"/>
    <n v="253"/>
    <x v="2"/>
    <d v="2023-11-27T00:00:00"/>
    <s v="Ibuprofen"/>
    <x v="2"/>
    <s v="High"/>
    <s v="Under Treatment"/>
    <s v="High Risk"/>
    <x v="3"/>
  </r>
  <r>
    <x v="977"/>
    <n v="64"/>
    <x v="0"/>
    <s v="B+"/>
    <x v="0"/>
    <d v="2020-04-06T00:00:00"/>
    <x v="972"/>
    <s v="Medina, Wright and Shaffer"/>
    <x v="2"/>
    <n v="49899.9459535512"/>
    <n v="419"/>
    <x v="0"/>
    <d v="2020-04-11T00:00:00"/>
    <s v="Lipitor"/>
    <x v="0"/>
    <s v="High"/>
    <s v="Under Treatment"/>
    <s v="High Risk"/>
    <x v="1"/>
  </r>
  <r>
    <x v="978"/>
    <n v="31"/>
    <x v="1"/>
    <s v="A-"/>
    <x v="2"/>
    <d v="2022-04-05T00:00:00"/>
    <x v="973"/>
    <s v="and Grant Hamilton Edwards,"/>
    <x v="1"/>
    <n v="2924.4728235288399"/>
    <n v="396"/>
    <x v="0"/>
    <d v="2022-04-12T00:00:00"/>
    <s v="Ibuprofen"/>
    <x v="0"/>
    <s v="Low"/>
    <s v="Under Treatment"/>
    <s v="High Risk"/>
    <x v="0"/>
  </r>
  <r>
    <x v="979"/>
    <n v="83"/>
    <x v="0"/>
    <s v="AB-"/>
    <x v="4"/>
    <d v="2022-08-26T00:00:00"/>
    <x v="974"/>
    <s v="Collins Woodward Martinez, and"/>
    <x v="0"/>
    <n v="26023.361305215101"/>
    <n v="260"/>
    <x v="2"/>
    <d v="2022-09-05T00:00:00"/>
    <s v="Paracetamol"/>
    <x v="2"/>
    <s v="High"/>
    <s v="Under Treatment"/>
    <s v="High Risk"/>
    <x v="2"/>
  </r>
  <r>
    <x v="980"/>
    <n v="78"/>
    <x v="1"/>
    <s v="A-"/>
    <x v="2"/>
    <d v="2022-01-13T00:00:00"/>
    <x v="975"/>
    <s v="Moore-Myers"/>
    <x v="0"/>
    <n v="37669.689103143901"/>
    <n v="452"/>
    <x v="1"/>
    <d v="2022-02-03T00:00:00"/>
    <s v="Aspirin"/>
    <x v="0"/>
    <s v="High"/>
    <s v="Under Treatment"/>
    <s v="High Risk"/>
    <x v="2"/>
  </r>
  <r>
    <x v="981"/>
    <n v="37"/>
    <x v="1"/>
    <s v="AB-"/>
    <x v="2"/>
    <d v="2022-04-29T00:00:00"/>
    <x v="976"/>
    <s v="Nelson-Edwards"/>
    <x v="1"/>
    <n v="14265.811616217599"/>
    <n v="437"/>
    <x v="2"/>
    <d v="2022-05-13T00:00:00"/>
    <s v="Paracetamol"/>
    <x v="0"/>
    <s v="Medium"/>
    <s v="Under Treatment"/>
    <s v="High Risk"/>
    <x v="3"/>
  </r>
  <r>
    <x v="982"/>
    <n v="25"/>
    <x v="1"/>
    <s v="B+"/>
    <x v="5"/>
    <d v="2020-04-05T00:00:00"/>
    <x v="977"/>
    <s v="LLC English"/>
    <x v="4"/>
    <n v="16520.923071276"/>
    <n v="448"/>
    <x v="2"/>
    <d v="2020-04-20T00:00:00"/>
    <s v="Ibuprofen"/>
    <x v="1"/>
    <s v="High"/>
    <s v="Under Treatment"/>
    <s v="High Risk"/>
    <x v="0"/>
  </r>
  <r>
    <x v="983"/>
    <n v="38"/>
    <x v="0"/>
    <s v="A-"/>
    <x v="3"/>
    <d v="2021-03-19T00:00:00"/>
    <x v="978"/>
    <s v="Reed-Medina"/>
    <x v="3"/>
    <n v="4218.5494349396304"/>
    <n v="495"/>
    <x v="2"/>
    <d v="2021-04-08T00:00:00"/>
    <s v="Penicillin"/>
    <x v="2"/>
    <s v="Low"/>
    <s v="Under Treatment"/>
    <s v="High Risk"/>
    <x v="3"/>
  </r>
  <r>
    <x v="984"/>
    <n v="58"/>
    <x v="1"/>
    <s v="B-"/>
    <x v="3"/>
    <d v="2023-10-07T00:00:00"/>
    <x v="979"/>
    <s v="Inc Stevens"/>
    <x v="1"/>
    <n v="36771.412179295199"/>
    <n v="362"/>
    <x v="1"/>
    <d v="2023-10-08T00:00:00"/>
    <s v="Ibuprofen"/>
    <x v="1"/>
    <s v="High"/>
    <s v="Under Treatment"/>
    <s v="High Risk"/>
    <x v="1"/>
  </r>
  <r>
    <x v="985"/>
    <n v="46"/>
    <x v="1"/>
    <s v="AB+"/>
    <x v="2"/>
    <d v="2023-10-24T00:00:00"/>
    <x v="980"/>
    <s v="Davis-Nguyen"/>
    <x v="1"/>
    <n v="34599.409431400898"/>
    <n v="106"/>
    <x v="0"/>
    <d v="2023-10-29T00:00:00"/>
    <s v="Lipitor"/>
    <x v="1"/>
    <s v="High"/>
    <s v="Under Treatment"/>
    <s v="High Risk"/>
    <x v="3"/>
  </r>
  <r>
    <x v="986"/>
    <n v="29"/>
    <x v="0"/>
    <s v="B-"/>
    <x v="5"/>
    <d v="2022-12-28T00:00:00"/>
    <x v="981"/>
    <s v="Moore Cooper, Wilson and"/>
    <x v="2"/>
    <n v="2436.52058993534"/>
    <n v="261"/>
    <x v="0"/>
    <d v="2023-01-15T00:00:00"/>
    <s v="Paracetamol"/>
    <x v="2"/>
    <s v="Low"/>
    <s v="Under Treatment"/>
    <s v="High Risk"/>
    <x v="0"/>
  </r>
  <r>
    <x v="987"/>
    <n v="46"/>
    <x v="1"/>
    <s v="B+"/>
    <x v="3"/>
    <d v="2022-02-07T00:00:00"/>
    <x v="982"/>
    <s v="Hunt Inc"/>
    <x v="4"/>
    <n v="1790.31523489196"/>
    <n v="259"/>
    <x v="0"/>
    <d v="2022-02-23T00:00:00"/>
    <s v="Paracetamol"/>
    <x v="0"/>
    <s v="Low"/>
    <s v="Under Treatment"/>
    <s v="High Risk"/>
    <x v="3"/>
  </r>
  <r>
    <x v="988"/>
    <n v="85"/>
    <x v="0"/>
    <s v="A+"/>
    <x v="4"/>
    <d v="2020-06-12T00:00:00"/>
    <x v="983"/>
    <s v="PLC Cox"/>
    <x v="1"/>
    <n v="2284.4294745165498"/>
    <n v="445"/>
    <x v="0"/>
    <d v="2020-06-14T00:00:00"/>
    <s v="Ibuprofen"/>
    <x v="1"/>
    <s v="Low"/>
    <s v="Under Treatment"/>
    <s v="High Risk"/>
    <x v="2"/>
  </r>
  <r>
    <x v="989"/>
    <n v="62"/>
    <x v="1"/>
    <s v="AB-"/>
    <x v="0"/>
    <d v="2022-01-11T00:00:00"/>
    <x v="984"/>
    <s v="Group Stein"/>
    <x v="1"/>
    <n v="21169.114218735798"/>
    <n v="130"/>
    <x v="1"/>
    <d v="2022-01-15T00:00:00"/>
    <s v="Lipitor"/>
    <x v="0"/>
    <s v="High"/>
    <s v="Under Treatment"/>
    <s v="High Risk"/>
    <x v="1"/>
  </r>
  <r>
    <x v="990"/>
    <n v="45"/>
    <x v="1"/>
    <s v="B+"/>
    <x v="3"/>
    <d v="2022-11-13T00:00:00"/>
    <x v="985"/>
    <s v="Taylor Inc"/>
    <x v="0"/>
    <n v="31028.001187322501"/>
    <n v="247"/>
    <x v="2"/>
    <d v="2022-11-16T00:00:00"/>
    <s v="Ibuprofen"/>
    <x v="0"/>
    <s v="High"/>
    <s v="Under Treatment"/>
    <s v="High Risk"/>
    <x v="3"/>
  </r>
  <r>
    <x v="991"/>
    <n v="29"/>
    <x v="1"/>
    <s v="AB-"/>
    <x v="3"/>
    <d v="2020-06-19T00:00:00"/>
    <x v="986"/>
    <s v="Black-Stevens"/>
    <x v="2"/>
    <n v="4288.6082475405501"/>
    <n v="500"/>
    <x v="0"/>
    <d v="2020-07-08T00:00:00"/>
    <s v="Ibuprofen"/>
    <x v="0"/>
    <s v="Low"/>
    <s v="Under Treatment"/>
    <s v="High Risk"/>
    <x v="0"/>
  </r>
  <r>
    <x v="992"/>
    <n v="45"/>
    <x v="1"/>
    <s v="A+"/>
    <x v="4"/>
    <d v="2023-12-17T00:00:00"/>
    <x v="987"/>
    <s v="Wilson Whitney Henderson, and"/>
    <x v="3"/>
    <n v="30430.100131769501"/>
    <n v="361"/>
    <x v="0"/>
    <d v="2024-01-12T00:00:00"/>
    <s v="Paracetamol"/>
    <x v="0"/>
    <s v="High"/>
    <s v="Under Treatment"/>
    <s v="High Risk"/>
    <x v="3"/>
  </r>
  <r>
    <x v="993"/>
    <n v="49"/>
    <x v="1"/>
    <s v="B-"/>
    <x v="0"/>
    <d v="2022-08-05T00:00:00"/>
    <x v="988"/>
    <s v="Vaughan, Adams and Garcia"/>
    <x v="0"/>
    <n v="38716.054193641699"/>
    <n v="185"/>
    <x v="0"/>
    <d v="2022-08-11T00:00:00"/>
    <s v="Penicillin"/>
    <x v="2"/>
    <s v="High"/>
    <s v="Under Treatment"/>
    <s v="High Risk"/>
    <x v="3"/>
  </r>
  <r>
    <x v="994"/>
    <n v="39"/>
    <x v="0"/>
    <s v="O+"/>
    <x v="3"/>
    <d v="2020-09-28T00:00:00"/>
    <x v="989"/>
    <s v="Vazquez and Sons"/>
    <x v="3"/>
    <n v="15563.5660179887"/>
    <n v="232"/>
    <x v="0"/>
    <d v="2020-10-05T00:00:00"/>
    <s v="Paracetamol"/>
    <x v="1"/>
    <s v="High"/>
    <s v="Under Treatment"/>
    <s v="High Risk"/>
    <x v="3"/>
  </r>
  <r>
    <x v="995"/>
    <n v="54"/>
    <x v="1"/>
    <s v="O+"/>
    <x v="3"/>
    <d v="2022-06-02T00:00:00"/>
    <x v="990"/>
    <s v="Santiago PLC"/>
    <x v="3"/>
    <n v="16515.7559054095"/>
    <n v="373"/>
    <x v="0"/>
    <d v="2022-06-07T00:00:00"/>
    <s v="Aspirin"/>
    <x v="1"/>
    <s v="High"/>
    <s v="Under Treatment"/>
    <s v="High Risk"/>
    <x v="1"/>
  </r>
  <r>
    <x v="996"/>
    <n v="22"/>
    <x v="0"/>
    <s v="A+"/>
    <x v="2"/>
    <d v="2021-03-23T00:00:00"/>
    <x v="991"/>
    <s v="Holmes, Vasquez Sanchez and"/>
    <x v="1"/>
    <n v="18831.832412669599"/>
    <n v="426"/>
    <x v="0"/>
    <d v="2021-04-22T00:00:00"/>
    <s v="Penicillin"/>
    <x v="2"/>
    <s v="High"/>
    <s v="Under Treatment"/>
    <s v="High Risk"/>
    <x v="0"/>
  </r>
  <r>
    <x v="997"/>
    <n v="72"/>
    <x v="1"/>
    <s v="O+"/>
    <x v="2"/>
    <d v="2019-06-01T00:00:00"/>
    <x v="992"/>
    <s v="PLC Jacobs"/>
    <x v="4"/>
    <n v="6899.3949735717097"/>
    <n v="328"/>
    <x v="0"/>
    <d v="2019-06-18T00:00:00"/>
    <s v="Paracetamol"/>
    <x v="1"/>
    <s v="Medium"/>
    <s v="Under Treatment"/>
    <s v="High Risk"/>
    <x v="2"/>
  </r>
  <r>
    <x v="998"/>
    <n v="78"/>
    <x v="1"/>
    <s v="O+"/>
    <x v="2"/>
    <d v="2022-09-15T00:00:00"/>
    <x v="993"/>
    <s v="PLC Conway"/>
    <x v="1"/>
    <n v="28106.082097945698"/>
    <n v="287"/>
    <x v="1"/>
    <d v="2022-09-19T00:00:00"/>
    <s v="Aspirin"/>
    <x v="1"/>
    <s v="High"/>
    <s v="Under Treatment"/>
    <s v="High Risk"/>
    <x v="2"/>
  </r>
  <r>
    <x v="999"/>
    <n v="84"/>
    <x v="0"/>
    <s v="A-"/>
    <x v="3"/>
    <d v="2019-07-27T00:00:00"/>
    <x v="994"/>
    <s v="Copeland LLC"/>
    <x v="3"/>
    <n v="11685.0360835928"/>
    <n v="373"/>
    <x v="2"/>
    <d v="2019-08-09T00:00:00"/>
    <s v="Ibuprofen"/>
    <x v="2"/>
    <s v="Medium"/>
    <s v="Under Treatment"/>
    <s v="High Risk"/>
    <x v="2"/>
  </r>
  <r>
    <x v="1000"/>
    <n v="24"/>
    <x v="0"/>
    <s v="O-"/>
    <x v="1"/>
    <d v="2021-06-30T00:00:00"/>
    <x v="995"/>
    <s v="PLC Doyle"/>
    <x v="3"/>
    <n v="6684.8964079201396"/>
    <n v="243"/>
    <x v="1"/>
    <d v="2021-07-01T00:00:00"/>
    <s v="Lipitor"/>
    <x v="1"/>
    <s v="Medium"/>
    <s v="Under Treatment"/>
    <s v="High Risk"/>
    <x v="0"/>
  </r>
  <r>
    <x v="1001"/>
    <n v="48"/>
    <x v="0"/>
    <s v="AB-"/>
    <x v="3"/>
    <d v="2024-04-22T00:00:00"/>
    <x v="996"/>
    <s v="Gutierrez Inc"/>
    <x v="0"/>
    <n v="42291.403875342199"/>
    <n v="295"/>
    <x v="1"/>
    <d v="2024-05-10T00:00:00"/>
    <s v="Penicillin"/>
    <x v="2"/>
    <s v="High"/>
    <s v="Under Treatment"/>
    <s v="High Risk"/>
    <x v="3"/>
  </r>
  <r>
    <x v="1002"/>
    <n v="48"/>
    <x v="1"/>
    <s v="O+"/>
    <x v="5"/>
    <d v="2022-10-17T00:00:00"/>
    <x v="997"/>
    <s v="Johnson-Taylor"/>
    <x v="4"/>
    <n v="2268.45926101737"/>
    <n v="253"/>
    <x v="1"/>
    <d v="2022-11-06T00:00:00"/>
    <s v="Penicillin"/>
    <x v="0"/>
    <s v="Low"/>
    <s v="Under Treatment"/>
    <s v="High Risk"/>
    <x v="3"/>
  </r>
  <r>
    <x v="1003"/>
    <n v="81"/>
    <x v="1"/>
    <s v="AB+"/>
    <x v="5"/>
    <d v="2020-08-04T00:00:00"/>
    <x v="998"/>
    <s v="Group Sellers"/>
    <x v="4"/>
    <n v="13276.7017658722"/>
    <n v="457"/>
    <x v="2"/>
    <d v="2020-08-11T00:00:00"/>
    <s v="Lipitor"/>
    <x v="0"/>
    <s v="Medium"/>
    <s v="Under Treatment"/>
    <s v="High Risk"/>
    <x v="2"/>
  </r>
  <r>
    <x v="1004"/>
    <n v="83"/>
    <x v="0"/>
    <s v="O+"/>
    <x v="2"/>
    <d v="2022-12-26T00:00:00"/>
    <x v="999"/>
    <s v="Ltd Ortega"/>
    <x v="1"/>
    <n v="9690.5601049914294"/>
    <n v="388"/>
    <x v="2"/>
    <d v="2023-01-20T00:00:00"/>
    <s v="Lipitor"/>
    <x v="0"/>
    <s v="Medium"/>
    <s v="Under Treatment"/>
    <s v="High Risk"/>
    <x v="2"/>
  </r>
  <r>
    <x v="1005"/>
    <n v="31"/>
    <x v="0"/>
    <s v="B-"/>
    <x v="4"/>
    <d v="2021-11-29T00:00:00"/>
    <x v="1000"/>
    <s v="and Greer, Dalton Williams"/>
    <x v="3"/>
    <n v="1499.0470711502901"/>
    <n v="472"/>
    <x v="0"/>
    <d v="2021-12-27T00:00:00"/>
    <s v="Ibuprofen"/>
    <x v="1"/>
    <s v="Low"/>
    <s v="Under Treatment"/>
    <s v="High Risk"/>
    <x v="0"/>
  </r>
  <r>
    <x v="1006"/>
    <n v="47"/>
    <x v="1"/>
    <s v="B-"/>
    <x v="0"/>
    <d v="2021-03-16T00:00:00"/>
    <x v="1001"/>
    <s v="Curtis PLC"/>
    <x v="4"/>
    <n v="36569.665155923001"/>
    <n v="268"/>
    <x v="1"/>
    <d v="2021-04-09T00:00:00"/>
    <s v="Lipitor"/>
    <x v="2"/>
    <s v="High"/>
    <s v="Under Treatment"/>
    <s v="High Risk"/>
    <x v="3"/>
  </r>
  <r>
    <x v="1007"/>
    <n v="69"/>
    <x v="0"/>
    <s v="A+"/>
    <x v="4"/>
    <d v="2023-02-14T00:00:00"/>
    <x v="1002"/>
    <s v="Gomez, Tucker Collins and"/>
    <x v="1"/>
    <n v="34498.209390905096"/>
    <n v="354"/>
    <x v="2"/>
    <d v="2023-03-02T00:00:00"/>
    <s v="Ibuprofen"/>
    <x v="0"/>
    <s v="High"/>
    <s v="Under Treatment"/>
    <s v="High Risk"/>
    <x v="2"/>
  </r>
  <r>
    <x v="1008"/>
    <n v="28"/>
    <x v="0"/>
    <s v="B-"/>
    <x v="1"/>
    <d v="2022-05-31T00:00:00"/>
    <x v="1003"/>
    <s v="Arroyo-Taylor"/>
    <x v="1"/>
    <n v="1771.2905141824101"/>
    <n v="141"/>
    <x v="2"/>
    <d v="2022-06-24T00:00:00"/>
    <s v="Lipitor"/>
    <x v="2"/>
    <s v="Low"/>
    <s v="Under Treatment"/>
    <s v="High Risk"/>
    <x v="0"/>
  </r>
  <r>
    <x v="1009"/>
    <n v="74"/>
    <x v="0"/>
    <s v="AB+"/>
    <x v="0"/>
    <d v="2021-11-16T00:00:00"/>
    <x v="1004"/>
    <s v="Austin-Johnson"/>
    <x v="4"/>
    <n v="40809.509300901402"/>
    <n v="148"/>
    <x v="0"/>
    <d v="2021-11-21T00:00:00"/>
    <s v="Lipitor"/>
    <x v="2"/>
    <s v="High"/>
    <s v="Under Treatment"/>
    <s v="High Risk"/>
    <x v="2"/>
  </r>
  <r>
    <x v="1010"/>
    <n v="64"/>
    <x v="1"/>
    <s v="AB-"/>
    <x v="4"/>
    <d v="2022-10-26T00:00:00"/>
    <x v="1005"/>
    <s v="Jacobs-Thompson"/>
    <x v="1"/>
    <n v="36836.353404140202"/>
    <n v="130"/>
    <x v="1"/>
    <d v="2022-11-16T00:00:00"/>
    <s v="Lipitor"/>
    <x v="1"/>
    <s v="High"/>
    <s v="Under Treatment"/>
    <s v="High Risk"/>
    <x v="1"/>
  </r>
  <r>
    <x v="1011"/>
    <n v="56"/>
    <x v="0"/>
    <s v="AB-"/>
    <x v="1"/>
    <d v="2020-10-30T00:00:00"/>
    <x v="1006"/>
    <s v="and Johnson Morales, Smith"/>
    <x v="2"/>
    <n v="45321.373457977497"/>
    <n v="254"/>
    <x v="0"/>
    <d v="2020-11-28T00:00:00"/>
    <s v="Ibuprofen"/>
    <x v="2"/>
    <s v="High"/>
    <s v="Under Treatment"/>
    <s v="High Risk"/>
    <x v="1"/>
  </r>
  <r>
    <x v="1012"/>
    <n v="59"/>
    <x v="1"/>
    <s v="AB+"/>
    <x v="1"/>
    <d v="2023-05-03T00:00:00"/>
    <x v="1007"/>
    <s v="Alvarado PLC"/>
    <x v="3"/>
    <n v="43545.519779661503"/>
    <n v="299"/>
    <x v="1"/>
    <d v="2023-05-05T00:00:00"/>
    <s v="Aspirin"/>
    <x v="1"/>
    <s v="High"/>
    <s v="Under Treatment"/>
    <s v="High Risk"/>
    <x v="1"/>
  </r>
  <r>
    <x v="1013"/>
    <n v="26"/>
    <x v="0"/>
    <s v="B-"/>
    <x v="1"/>
    <d v="2020-12-18T00:00:00"/>
    <x v="1008"/>
    <s v="Jackson, Phillips and Dennis"/>
    <x v="1"/>
    <n v="39979.243892267099"/>
    <n v="217"/>
    <x v="0"/>
    <d v="2021-01-09T00:00:00"/>
    <s v="Ibuprofen"/>
    <x v="2"/>
    <s v="High"/>
    <s v="Under Treatment"/>
    <s v="High Risk"/>
    <x v="0"/>
  </r>
  <r>
    <x v="1014"/>
    <n v="68"/>
    <x v="0"/>
    <s v="O-"/>
    <x v="0"/>
    <d v="2024-03-05T00:00:00"/>
    <x v="1009"/>
    <s v="Curry Miller and Padilla,"/>
    <x v="0"/>
    <n v="20909.853329325499"/>
    <n v="386"/>
    <x v="1"/>
    <d v="2024-04-04T00:00:00"/>
    <s v="Paracetamol"/>
    <x v="1"/>
    <s v="High"/>
    <s v="Under Treatment"/>
    <s v="High Risk"/>
    <x v="2"/>
  </r>
  <r>
    <x v="1015"/>
    <n v="54"/>
    <x v="1"/>
    <s v="AB-"/>
    <x v="4"/>
    <d v="2021-12-10T00:00:00"/>
    <x v="1010"/>
    <s v="Cross Johnson, and Foster"/>
    <x v="2"/>
    <n v="20964.488531360199"/>
    <n v="188"/>
    <x v="1"/>
    <d v="2021-12-12T00:00:00"/>
    <s v="Aspirin"/>
    <x v="2"/>
    <s v="High"/>
    <s v="Under Treatment"/>
    <s v="High Risk"/>
    <x v="1"/>
  </r>
  <r>
    <x v="1016"/>
    <n v="28"/>
    <x v="1"/>
    <s v="O-"/>
    <x v="2"/>
    <d v="2019-07-13T00:00:00"/>
    <x v="1011"/>
    <s v="Odom-Oneal"/>
    <x v="4"/>
    <n v="48775.045688281403"/>
    <n v="117"/>
    <x v="1"/>
    <d v="2019-08-02T00:00:00"/>
    <s v="Lipitor"/>
    <x v="1"/>
    <s v="High"/>
    <s v="Under Treatment"/>
    <s v="High Risk"/>
    <x v="0"/>
  </r>
  <r>
    <x v="1017"/>
    <n v="79"/>
    <x v="0"/>
    <s v="O+"/>
    <x v="2"/>
    <d v="2022-03-04T00:00:00"/>
    <x v="1012"/>
    <s v="Doyle Mccullough Reyes, and"/>
    <x v="3"/>
    <n v="47964.498310335199"/>
    <n v="208"/>
    <x v="2"/>
    <d v="2022-03-24T00:00:00"/>
    <s v="Ibuprofen"/>
    <x v="2"/>
    <s v="High"/>
    <s v="Under Treatment"/>
    <s v="High Risk"/>
    <x v="2"/>
  </r>
  <r>
    <x v="1018"/>
    <n v="33"/>
    <x v="0"/>
    <s v="A-"/>
    <x v="4"/>
    <d v="2020-06-04T00:00:00"/>
    <x v="1013"/>
    <s v="Pineda-Daniels"/>
    <x v="0"/>
    <n v="31820.015268554002"/>
    <n v="316"/>
    <x v="2"/>
    <d v="2020-06-14T00:00:00"/>
    <s v="Lipitor"/>
    <x v="2"/>
    <s v="High"/>
    <s v="Under Treatment"/>
    <s v="High Risk"/>
    <x v="0"/>
  </r>
  <r>
    <x v="1019"/>
    <n v="68"/>
    <x v="0"/>
    <s v="O-"/>
    <x v="0"/>
    <d v="2019-10-21T00:00:00"/>
    <x v="1014"/>
    <s v="Murphy PLC"/>
    <x v="2"/>
    <n v="29063.266189039099"/>
    <n v="175"/>
    <x v="0"/>
    <d v="2019-10-31T00:00:00"/>
    <s v="Ibuprofen"/>
    <x v="1"/>
    <s v="High"/>
    <s v="Under Treatment"/>
    <s v="High Risk"/>
    <x v="2"/>
  </r>
  <r>
    <x v="1020"/>
    <n v="31"/>
    <x v="0"/>
    <s v="A+"/>
    <x v="0"/>
    <d v="2021-06-04T00:00:00"/>
    <x v="1015"/>
    <s v="Zamora, Glass Brooks and"/>
    <x v="0"/>
    <n v="18515.737926567901"/>
    <n v="243"/>
    <x v="1"/>
    <d v="2021-06-24T00:00:00"/>
    <s v="Ibuprofen"/>
    <x v="2"/>
    <s v="High"/>
    <s v="Under Treatment"/>
    <s v="High Risk"/>
    <x v="0"/>
  </r>
  <r>
    <x v="1021"/>
    <n v="44"/>
    <x v="0"/>
    <s v="O-"/>
    <x v="2"/>
    <d v="2020-11-30T00:00:00"/>
    <x v="1016"/>
    <s v="Walker, Wallace and Ware"/>
    <x v="4"/>
    <n v="39445.070257936"/>
    <n v="163"/>
    <x v="2"/>
    <d v="2020-12-08T00:00:00"/>
    <s v="Penicillin"/>
    <x v="0"/>
    <s v="High"/>
    <s v="Under Treatment"/>
    <s v="High Risk"/>
    <x v="3"/>
  </r>
  <r>
    <x v="1022"/>
    <n v="56"/>
    <x v="1"/>
    <s v="A+"/>
    <x v="1"/>
    <d v="2023-10-08T00:00:00"/>
    <x v="1017"/>
    <s v="Fischer-Powers"/>
    <x v="0"/>
    <n v="4754.2258796020697"/>
    <n v="168"/>
    <x v="1"/>
    <d v="2023-10-18T00:00:00"/>
    <s v="Ibuprofen"/>
    <x v="1"/>
    <s v="Low"/>
    <s v="Under Treatment"/>
    <s v="High Risk"/>
    <x v="1"/>
  </r>
  <r>
    <x v="1023"/>
    <n v="81"/>
    <x v="1"/>
    <s v="A-"/>
    <x v="3"/>
    <d v="2022-07-19T00:00:00"/>
    <x v="1018"/>
    <s v="Williams Thomas and Hernandez,"/>
    <x v="3"/>
    <n v="18448.539671468101"/>
    <n v="191"/>
    <x v="2"/>
    <d v="2022-07-31T00:00:00"/>
    <s v="Aspirin"/>
    <x v="0"/>
    <s v="High"/>
    <s v="Under Treatment"/>
    <s v="High Risk"/>
    <x v="2"/>
  </r>
  <r>
    <x v="1024"/>
    <n v="41"/>
    <x v="1"/>
    <s v="O-"/>
    <x v="4"/>
    <d v="2020-07-12T00:00:00"/>
    <x v="1019"/>
    <s v="Johnson Smith Carey, and"/>
    <x v="0"/>
    <n v="33215.977759537498"/>
    <n v="275"/>
    <x v="1"/>
    <d v="2020-07-25T00:00:00"/>
    <s v="Ibuprofen"/>
    <x v="2"/>
    <s v="High"/>
    <s v="Under Treatment"/>
    <s v="High Risk"/>
    <x v="3"/>
  </r>
  <r>
    <x v="1025"/>
    <n v="77"/>
    <x v="1"/>
    <s v="O+"/>
    <x v="1"/>
    <d v="2023-11-13T00:00:00"/>
    <x v="1020"/>
    <s v="Smith Harris, Smith and"/>
    <x v="0"/>
    <n v="46504.818208661301"/>
    <n v="320"/>
    <x v="2"/>
    <d v="2023-11-28T00:00:00"/>
    <s v="Aspirin"/>
    <x v="0"/>
    <s v="High"/>
    <s v="Under Treatment"/>
    <s v="High Risk"/>
    <x v="2"/>
  </r>
  <r>
    <x v="1026"/>
    <n v="34"/>
    <x v="1"/>
    <s v="A-"/>
    <x v="0"/>
    <d v="2020-04-14T00:00:00"/>
    <x v="1021"/>
    <s v="Swanson PLC"/>
    <x v="1"/>
    <n v="21622.593100480401"/>
    <n v="128"/>
    <x v="2"/>
    <d v="2020-05-12T00:00:00"/>
    <s v="Ibuprofen"/>
    <x v="1"/>
    <s v="High"/>
    <s v="Under Treatment"/>
    <s v="High Risk"/>
    <x v="0"/>
  </r>
  <r>
    <x v="1027"/>
    <n v="57"/>
    <x v="1"/>
    <s v="A+"/>
    <x v="0"/>
    <d v="2019-06-08T00:00:00"/>
    <x v="1022"/>
    <s v="Perez-Sheppard"/>
    <x v="0"/>
    <n v="11114.2046151543"/>
    <n v="336"/>
    <x v="0"/>
    <d v="2019-06-23T00:00:00"/>
    <s v="Lipitor"/>
    <x v="1"/>
    <s v="Medium"/>
    <s v="Under Treatment"/>
    <s v="High Risk"/>
    <x v="1"/>
  </r>
  <r>
    <x v="1028"/>
    <n v="29"/>
    <x v="0"/>
    <s v="B+"/>
    <x v="0"/>
    <d v="2023-07-23T00:00:00"/>
    <x v="1023"/>
    <s v="Garrison-Rodriguez"/>
    <x v="3"/>
    <n v="25804.5983415757"/>
    <n v="163"/>
    <x v="1"/>
    <d v="2023-08-08T00:00:00"/>
    <s v="Aspirin"/>
    <x v="0"/>
    <s v="High"/>
    <s v="Under Treatment"/>
    <s v="High Risk"/>
    <x v="0"/>
  </r>
  <r>
    <x v="1029"/>
    <n v="52"/>
    <x v="0"/>
    <s v="A-"/>
    <x v="5"/>
    <d v="2021-08-12T00:00:00"/>
    <x v="1024"/>
    <s v="Pollard, Logan Mckee and"/>
    <x v="4"/>
    <n v="13253.7568592885"/>
    <n v="303"/>
    <x v="0"/>
    <d v="2021-08-19T00:00:00"/>
    <s v="Lipitor"/>
    <x v="1"/>
    <s v="Medium"/>
    <s v="Under Treatment"/>
    <s v="High Risk"/>
    <x v="1"/>
  </r>
  <r>
    <x v="1030"/>
    <n v="72"/>
    <x v="1"/>
    <s v="A+"/>
    <x v="1"/>
    <d v="2021-12-07T00:00:00"/>
    <x v="1025"/>
    <s v="Thomas, Bauer and Moore"/>
    <x v="0"/>
    <n v="11820.110765465601"/>
    <n v="298"/>
    <x v="1"/>
    <d v="2021-12-13T00:00:00"/>
    <s v="Ibuprofen"/>
    <x v="1"/>
    <s v="Medium"/>
    <s v="Under Treatment"/>
    <s v="High Risk"/>
    <x v="2"/>
  </r>
  <r>
    <x v="1031"/>
    <n v="34"/>
    <x v="1"/>
    <s v="O+"/>
    <x v="4"/>
    <d v="2020-10-22T00:00:00"/>
    <x v="1026"/>
    <s v="Stark-Walker"/>
    <x v="1"/>
    <n v="43262.894348200098"/>
    <n v="248"/>
    <x v="1"/>
    <d v="2020-11-10T00:00:00"/>
    <s v="Aspirin"/>
    <x v="0"/>
    <s v="High"/>
    <s v="Under Treatment"/>
    <s v="High Risk"/>
    <x v="0"/>
  </r>
  <r>
    <x v="1032"/>
    <n v="49"/>
    <x v="1"/>
    <s v="O+"/>
    <x v="3"/>
    <d v="2020-01-13T00:00:00"/>
    <x v="1027"/>
    <s v="and Lee Nguyen Gonzalez,"/>
    <x v="0"/>
    <n v="42030.880979991503"/>
    <n v="112"/>
    <x v="2"/>
    <d v="2020-01-29T00:00:00"/>
    <s v="Aspirin"/>
    <x v="1"/>
    <s v="High"/>
    <s v="Under Treatment"/>
    <s v="High Risk"/>
    <x v="3"/>
  </r>
  <r>
    <x v="1033"/>
    <n v="22"/>
    <x v="0"/>
    <s v="AB-"/>
    <x v="4"/>
    <d v="2023-04-21T00:00:00"/>
    <x v="1028"/>
    <s v="Collins-Gilbert"/>
    <x v="4"/>
    <n v="27081.574520700698"/>
    <n v="307"/>
    <x v="0"/>
    <d v="2023-05-11T00:00:00"/>
    <s v="Aspirin"/>
    <x v="2"/>
    <s v="High"/>
    <s v="Under Treatment"/>
    <s v="High Risk"/>
    <x v="0"/>
  </r>
  <r>
    <x v="1034"/>
    <n v="31"/>
    <x v="1"/>
    <s v="AB+"/>
    <x v="5"/>
    <d v="2019-10-16T00:00:00"/>
    <x v="1029"/>
    <s v="Group Jacobs"/>
    <x v="4"/>
    <n v="44377.8605026734"/>
    <n v="444"/>
    <x v="1"/>
    <d v="2019-10-20T00:00:00"/>
    <s v="Ibuprofen"/>
    <x v="2"/>
    <s v="High"/>
    <s v="Under Treatment"/>
    <s v="High Risk"/>
    <x v="0"/>
  </r>
  <r>
    <x v="1035"/>
    <n v="82"/>
    <x v="0"/>
    <s v="O+"/>
    <x v="1"/>
    <d v="2019-10-30T00:00:00"/>
    <x v="1030"/>
    <s v="Wright PLC"/>
    <x v="2"/>
    <n v="41646.051990245098"/>
    <n v="485"/>
    <x v="1"/>
    <d v="2019-11-04T00:00:00"/>
    <s v="Paracetamol"/>
    <x v="0"/>
    <s v="High"/>
    <s v="Under Treatment"/>
    <s v="High Risk"/>
    <x v="2"/>
  </r>
  <r>
    <x v="1036"/>
    <n v="53"/>
    <x v="0"/>
    <s v="AB+"/>
    <x v="3"/>
    <d v="2022-03-20T00:00:00"/>
    <x v="1031"/>
    <s v="Munoz-Swanson"/>
    <x v="1"/>
    <n v="28858.720854859799"/>
    <n v="308"/>
    <x v="0"/>
    <d v="2022-04-04T00:00:00"/>
    <s v="Penicillin"/>
    <x v="2"/>
    <s v="High"/>
    <s v="Under Treatment"/>
    <s v="High Risk"/>
    <x v="1"/>
  </r>
  <r>
    <x v="1037"/>
    <n v="56"/>
    <x v="0"/>
    <s v="O-"/>
    <x v="3"/>
    <d v="2021-12-29T00:00:00"/>
    <x v="1032"/>
    <s v="Sons and Madden"/>
    <x v="4"/>
    <n v="8997.0323855535498"/>
    <n v="266"/>
    <x v="2"/>
    <d v="2021-12-30T00:00:00"/>
    <s v="Paracetamol"/>
    <x v="2"/>
    <s v="Medium"/>
    <s v="Under Treatment"/>
    <s v="High Risk"/>
    <x v="1"/>
  </r>
  <r>
    <x v="1038"/>
    <n v="30"/>
    <x v="0"/>
    <s v="AB+"/>
    <x v="4"/>
    <d v="2022-09-18T00:00:00"/>
    <x v="1033"/>
    <s v="Lee-Casey"/>
    <x v="2"/>
    <n v="32780.307691063703"/>
    <n v="288"/>
    <x v="1"/>
    <d v="2022-10-16T00:00:00"/>
    <s v="Paracetamol"/>
    <x v="2"/>
    <s v="High"/>
    <s v="Under Treatment"/>
    <s v="High Risk"/>
    <x v="0"/>
  </r>
  <r>
    <x v="1039"/>
    <n v="61"/>
    <x v="0"/>
    <s v="O+"/>
    <x v="0"/>
    <d v="2019-05-18T00:00:00"/>
    <x v="1034"/>
    <s v="Clark, and Cobb Parsons"/>
    <x v="4"/>
    <n v="15289.1947436761"/>
    <n v="353"/>
    <x v="1"/>
    <d v="2019-05-22T00:00:00"/>
    <s v="Aspirin"/>
    <x v="0"/>
    <s v="High"/>
    <s v="Under Treatment"/>
    <s v="High Risk"/>
    <x v="1"/>
  </r>
  <r>
    <x v="1040"/>
    <n v="42"/>
    <x v="1"/>
    <s v="B+"/>
    <x v="3"/>
    <d v="2021-11-10T00:00:00"/>
    <x v="1035"/>
    <s v="PLC Garner"/>
    <x v="2"/>
    <n v="52181.837792398997"/>
    <n v="140"/>
    <x v="1"/>
    <d v="2021-11-17T00:00:00"/>
    <s v="Penicillin"/>
    <x v="1"/>
    <s v="High"/>
    <s v="Under Treatment"/>
    <s v="High Risk"/>
    <x v="3"/>
  </r>
  <r>
    <x v="1041"/>
    <n v="46"/>
    <x v="1"/>
    <s v="O-"/>
    <x v="3"/>
    <d v="2022-11-07T00:00:00"/>
    <x v="1036"/>
    <s v="Ltd Houston"/>
    <x v="3"/>
    <n v="8047.7980351214701"/>
    <n v="451"/>
    <x v="1"/>
    <d v="2022-11-24T00:00:00"/>
    <s v="Lipitor"/>
    <x v="2"/>
    <s v="Medium"/>
    <s v="Under Treatment"/>
    <s v="High Risk"/>
    <x v="3"/>
  </r>
  <r>
    <x v="1042"/>
    <n v="54"/>
    <x v="1"/>
    <s v="B+"/>
    <x v="2"/>
    <d v="2023-02-28T00:00:00"/>
    <x v="1037"/>
    <s v="Ltd Austin"/>
    <x v="2"/>
    <n v="27661.244126682701"/>
    <n v="451"/>
    <x v="0"/>
    <d v="2023-03-11T00:00:00"/>
    <s v="Paracetamol"/>
    <x v="1"/>
    <s v="High"/>
    <s v="Under Treatment"/>
    <s v="High Risk"/>
    <x v="1"/>
  </r>
  <r>
    <x v="1043"/>
    <n v="47"/>
    <x v="0"/>
    <s v="O+"/>
    <x v="1"/>
    <d v="2024-04-18T00:00:00"/>
    <x v="1038"/>
    <s v="Stevens-Howard"/>
    <x v="0"/>
    <n v="34153.150575449399"/>
    <n v="403"/>
    <x v="0"/>
    <d v="2024-04-24T00:00:00"/>
    <s v="Paracetamol"/>
    <x v="2"/>
    <s v="High"/>
    <s v="Under Treatment"/>
    <s v="High Risk"/>
    <x v="3"/>
  </r>
  <r>
    <x v="1044"/>
    <n v="80"/>
    <x v="1"/>
    <s v="B-"/>
    <x v="1"/>
    <d v="2021-01-26T00:00:00"/>
    <x v="1039"/>
    <s v="and Cooper Potter, Landry"/>
    <x v="2"/>
    <n v="6649.0035044248598"/>
    <n v="469"/>
    <x v="1"/>
    <d v="2021-02-20T00:00:00"/>
    <s v="Paracetamol"/>
    <x v="0"/>
    <s v="Medium"/>
    <s v="Under Treatment"/>
    <s v="High Risk"/>
    <x v="2"/>
  </r>
  <r>
    <x v="1045"/>
    <n v="53"/>
    <x v="0"/>
    <s v="AB+"/>
    <x v="5"/>
    <d v="2022-12-02T00:00:00"/>
    <x v="1040"/>
    <s v="Flores-Franco"/>
    <x v="0"/>
    <n v="43923.040310611599"/>
    <n v="321"/>
    <x v="0"/>
    <d v="2022-12-11T00:00:00"/>
    <s v="Ibuprofen"/>
    <x v="2"/>
    <s v="High"/>
    <s v="Under Treatment"/>
    <s v="High Risk"/>
    <x v="1"/>
  </r>
  <r>
    <x v="1046"/>
    <n v="50"/>
    <x v="1"/>
    <s v="O+"/>
    <x v="4"/>
    <d v="2020-12-16T00:00:00"/>
    <x v="1041"/>
    <s v="Mendez, Rodriguez and Smith"/>
    <x v="0"/>
    <n v="31774.7836621405"/>
    <n v="139"/>
    <x v="0"/>
    <d v="2021-01-08T00:00:00"/>
    <s v="Ibuprofen"/>
    <x v="2"/>
    <s v="High"/>
    <s v="Under Treatment"/>
    <s v="High Risk"/>
    <x v="3"/>
  </r>
  <r>
    <x v="1047"/>
    <n v="72"/>
    <x v="1"/>
    <s v="B-"/>
    <x v="1"/>
    <d v="2021-08-19T00:00:00"/>
    <x v="1042"/>
    <s v="Williams Inc"/>
    <x v="1"/>
    <n v="48195.830248945203"/>
    <n v="213"/>
    <x v="0"/>
    <d v="2021-09-05T00:00:00"/>
    <s v="Paracetamol"/>
    <x v="1"/>
    <s v="High"/>
    <s v="Under Treatment"/>
    <s v="High Risk"/>
    <x v="2"/>
  </r>
  <r>
    <x v="1048"/>
    <n v="73"/>
    <x v="1"/>
    <s v="AB-"/>
    <x v="2"/>
    <d v="2020-10-10T00:00:00"/>
    <x v="1043"/>
    <s v="Davis-Sanchez"/>
    <x v="0"/>
    <n v="11496.3314179918"/>
    <n v="205"/>
    <x v="2"/>
    <d v="2020-11-03T00:00:00"/>
    <s v="Ibuprofen"/>
    <x v="1"/>
    <s v="Medium"/>
    <s v="Under Treatment"/>
    <s v="High Risk"/>
    <x v="2"/>
  </r>
  <r>
    <x v="1049"/>
    <n v="20"/>
    <x v="0"/>
    <s v="O-"/>
    <x v="5"/>
    <d v="2022-08-08T00:00:00"/>
    <x v="1044"/>
    <s v="Ryan-Moore"/>
    <x v="4"/>
    <n v="23167.8597607753"/>
    <n v="175"/>
    <x v="1"/>
    <d v="2022-09-03T00:00:00"/>
    <s v="Ibuprofen"/>
    <x v="0"/>
    <s v="High"/>
    <s v="Under Treatment"/>
    <s v="High Risk"/>
    <x v="0"/>
  </r>
  <r>
    <x v="1050"/>
    <n v="82"/>
    <x v="0"/>
    <s v="A+"/>
    <x v="4"/>
    <d v="2022-07-10T00:00:00"/>
    <x v="1045"/>
    <s v="Richards and Campbell, Lee"/>
    <x v="4"/>
    <n v="22387.924303605101"/>
    <n v="312"/>
    <x v="1"/>
    <d v="2022-07-31T00:00:00"/>
    <s v="Penicillin"/>
    <x v="1"/>
    <s v="High"/>
    <s v="Under Treatment"/>
    <s v="High Risk"/>
    <x v="2"/>
  </r>
  <r>
    <x v="1051"/>
    <n v="20"/>
    <x v="1"/>
    <s v="O+"/>
    <x v="1"/>
    <d v="2020-03-30T00:00:00"/>
    <x v="1046"/>
    <s v="Patterson-Barber"/>
    <x v="4"/>
    <n v="44577.895738991399"/>
    <n v="249"/>
    <x v="0"/>
    <d v="2020-04-15T00:00:00"/>
    <s v="Aspirin"/>
    <x v="1"/>
    <s v="High"/>
    <s v="Under Treatment"/>
    <s v="High Risk"/>
    <x v="0"/>
  </r>
  <r>
    <x v="1052"/>
    <n v="75"/>
    <x v="1"/>
    <s v="A+"/>
    <x v="2"/>
    <d v="2023-09-27T00:00:00"/>
    <x v="1047"/>
    <s v="Carter-Bell"/>
    <x v="0"/>
    <n v="12662.9061518036"/>
    <n v="459"/>
    <x v="1"/>
    <d v="2023-10-15T00:00:00"/>
    <s v="Penicillin"/>
    <x v="1"/>
    <s v="Medium"/>
    <s v="Under Treatment"/>
    <s v="High Risk"/>
    <x v="2"/>
  </r>
  <r>
    <x v="1053"/>
    <n v="67"/>
    <x v="0"/>
    <s v="A-"/>
    <x v="5"/>
    <d v="2022-03-27T00:00:00"/>
    <x v="1048"/>
    <s v="Baker-Duffy"/>
    <x v="1"/>
    <n v="22214.3624389344"/>
    <n v="342"/>
    <x v="0"/>
    <d v="2022-03-30T00:00:00"/>
    <s v="Paracetamol"/>
    <x v="0"/>
    <s v="High"/>
    <s v="Under Treatment"/>
    <s v="High Risk"/>
    <x v="2"/>
  </r>
  <r>
    <x v="1054"/>
    <n v="28"/>
    <x v="1"/>
    <s v="AB-"/>
    <x v="2"/>
    <d v="2024-02-27T00:00:00"/>
    <x v="1049"/>
    <s v="Moore, Jenkins and Bolton"/>
    <x v="3"/>
    <n v="32713.342494279001"/>
    <n v="296"/>
    <x v="1"/>
    <d v="2024-03-04T00:00:00"/>
    <s v="Ibuprofen"/>
    <x v="2"/>
    <s v="High"/>
    <s v="Under Treatment"/>
    <s v="High Risk"/>
    <x v="0"/>
  </r>
  <r>
    <x v="1055"/>
    <n v="32"/>
    <x v="1"/>
    <s v="B-"/>
    <x v="4"/>
    <d v="2023-03-22T00:00:00"/>
    <x v="1050"/>
    <s v="Ltd Orozco"/>
    <x v="4"/>
    <n v="12962.3120591801"/>
    <n v="434"/>
    <x v="0"/>
    <d v="2023-04-03T00:00:00"/>
    <s v="Paracetamol"/>
    <x v="1"/>
    <s v="Medium"/>
    <s v="Under Treatment"/>
    <s v="High Risk"/>
    <x v="0"/>
  </r>
  <r>
    <x v="1056"/>
    <n v="76"/>
    <x v="1"/>
    <s v="B+"/>
    <x v="1"/>
    <d v="2023-10-28T00:00:00"/>
    <x v="1051"/>
    <s v="Humphrey-Burton"/>
    <x v="1"/>
    <n v="41422.913973156297"/>
    <n v="292"/>
    <x v="2"/>
    <d v="2023-11-21T00:00:00"/>
    <s v="Paracetamol"/>
    <x v="0"/>
    <s v="High"/>
    <s v="Under Treatment"/>
    <s v="High Risk"/>
    <x v="2"/>
  </r>
  <r>
    <x v="1057"/>
    <n v="19"/>
    <x v="0"/>
    <s v="B+"/>
    <x v="3"/>
    <d v="2024-04-06T00:00:00"/>
    <x v="1052"/>
    <s v="Floyd Group"/>
    <x v="2"/>
    <n v="26239.298377359901"/>
    <n v="224"/>
    <x v="0"/>
    <d v="2024-04-20T00:00:00"/>
    <s v="Ibuprofen"/>
    <x v="2"/>
    <s v="High"/>
    <s v="Under Treatment"/>
    <s v="High Risk"/>
    <x v="0"/>
  </r>
  <r>
    <x v="1058"/>
    <n v="50"/>
    <x v="0"/>
    <s v="A+"/>
    <x v="4"/>
    <d v="2020-10-15T00:00:00"/>
    <x v="1053"/>
    <s v="Gardner-Ross"/>
    <x v="3"/>
    <n v="47836.817642600603"/>
    <n v="402"/>
    <x v="0"/>
    <d v="2020-10-16T00:00:00"/>
    <s v="Penicillin"/>
    <x v="2"/>
    <s v="High"/>
    <s v="Under Treatment"/>
    <s v="High Risk"/>
    <x v="3"/>
  </r>
  <r>
    <x v="1059"/>
    <n v="42"/>
    <x v="0"/>
    <s v="AB+"/>
    <x v="2"/>
    <d v="2024-01-07T00:00:00"/>
    <x v="1054"/>
    <s v="Fuller Perez Scott, and"/>
    <x v="4"/>
    <n v="23890.5599413116"/>
    <n v="493"/>
    <x v="1"/>
    <d v="2024-01-25T00:00:00"/>
    <s v="Ibuprofen"/>
    <x v="1"/>
    <s v="High"/>
    <s v="Under Treatment"/>
    <s v="High Risk"/>
    <x v="3"/>
  </r>
  <r>
    <x v="1060"/>
    <n v="18"/>
    <x v="0"/>
    <s v="AB+"/>
    <x v="0"/>
    <d v="2020-06-02T00:00:00"/>
    <x v="1055"/>
    <s v="Moyer Mcbride Cole, and"/>
    <x v="3"/>
    <n v="19267.2861863994"/>
    <n v="408"/>
    <x v="2"/>
    <d v="2020-07-02T00:00:00"/>
    <s v="Ibuprofen"/>
    <x v="2"/>
    <s v="High"/>
    <s v="Under Treatment"/>
    <s v="High Risk"/>
    <x v="4"/>
  </r>
  <r>
    <x v="1061"/>
    <n v="43"/>
    <x v="1"/>
    <s v="AB-"/>
    <x v="3"/>
    <d v="2023-09-04T00:00:00"/>
    <x v="1056"/>
    <s v="Malone Group"/>
    <x v="2"/>
    <n v="8063.3022073370103"/>
    <n v="201"/>
    <x v="1"/>
    <d v="2023-09-19T00:00:00"/>
    <s v="Paracetamol"/>
    <x v="0"/>
    <s v="Medium"/>
    <s v="Under Treatment"/>
    <s v="High Risk"/>
    <x v="3"/>
  </r>
  <r>
    <x v="1062"/>
    <n v="30"/>
    <x v="1"/>
    <s v="O-"/>
    <x v="4"/>
    <d v="2023-01-15T00:00:00"/>
    <x v="1057"/>
    <s v="Patel-Hanna"/>
    <x v="1"/>
    <n v="40623.262035928703"/>
    <n v="163"/>
    <x v="1"/>
    <d v="2023-01-30T00:00:00"/>
    <s v="Lipitor"/>
    <x v="2"/>
    <s v="High"/>
    <s v="Under Treatment"/>
    <s v="High Risk"/>
    <x v="0"/>
  </r>
  <r>
    <x v="1063"/>
    <n v="73"/>
    <x v="1"/>
    <s v="AB-"/>
    <x v="4"/>
    <d v="2022-10-09T00:00:00"/>
    <x v="1058"/>
    <s v="Smith-Parker"/>
    <x v="1"/>
    <n v="23805.106139800399"/>
    <n v="116"/>
    <x v="2"/>
    <d v="2022-10-20T00:00:00"/>
    <s v="Ibuprofen"/>
    <x v="0"/>
    <s v="High"/>
    <s v="Under Treatment"/>
    <s v="High Risk"/>
    <x v="2"/>
  </r>
  <r>
    <x v="1064"/>
    <n v="41"/>
    <x v="0"/>
    <s v="B+"/>
    <x v="5"/>
    <d v="2020-09-22T00:00:00"/>
    <x v="1059"/>
    <s v="Inc Butler"/>
    <x v="1"/>
    <n v="44801.8907561409"/>
    <n v="477"/>
    <x v="0"/>
    <d v="2020-09-26T00:00:00"/>
    <s v="Lipitor"/>
    <x v="1"/>
    <s v="High"/>
    <s v="Under Treatment"/>
    <s v="High Risk"/>
    <x v="3"/>
  </r>
  <r>
    <x v="1065"/>
    <n v="55"/>
    <x v="0"/>
    <s v="AB+"/>
    <x v="3"/>
    <d v="2023-04-11T00:00:00"/>
    <x v="1060"/>
    <s v="Ltd Larson"/>
    <x v="1"/>
    <n v="42868.120139748702"/>
    <n v="485"/>
    <x v="0"/>
    <d v="2023-04-17T00:00:00"/>
    <s v="Lipitor"/>
    <x v="2"/>
    <s v="High"/>
    <s v="Under Treatment"/>
    <s v="High Risk"/>
    <x v="1"/>
  </r>
  <r>
    <x v="1066"/>
    <n v="38"/>
    <x v="0"/>
    <s v="AB+"/>
    <x v="1"/>
    <d v="2021-05-08T00:00:00"/>
    <x v="1061"/>
    <s v="Brown, and Smith Hebert"/>
    <x v="1"/>
    <n v="10514.1802125421"/>
    <n v="337"/>
    <x v="0"/>
    <d v="2021-06-03T00:00:00"/>
    <s v="Ibuprofen"/>
    <x v="1"/>
    <s v="Medium"/>
    <s v="Under Treatment"/>
    <s v="High Risk"/>
    <x v="3"/>
  </r>
  <r>
    <x v="1067"/>
    <n v="54"/>
    <x v="0"/>
    <s v="B-"/>
    <x v="1"/>
    <d v="2019-12-16T00:00:00"/>
    <x v="1062"/>
    <s v="and Sons Bruce"/>
    <x v="4"/>
    <n v="7249.7079236522604"/>
    <n v="476"/>
    <x v="0"/>
    <d v="2020-01-13T00:00:00"/>
    <s v="Paracetamol"/>
    <x v="2"/>
    <s v="Medium"/>
    <s v="Under Treatment"/>
    <s v="High Risk"/>
    <x v="1"/>
  </r>
  <r>
    <x v="1068"/>
    <n v="53"/>
    <x v="1"/>
    <s v="AB-"/>
    <x v="2"/>
    <d v="2023-12-27T00:00:00"/>
    <x v="1063"/>
    <s v="Hull Davidson Garcia, and"/>
    <x v="4"/>
    <n v="2690.4563664287898"/>
    <n v="175"/>
    <x v="1"/>
    <d v="2023-12-28T00:00:00"/>
    <s v="Penicillin"/>
    <x v="2"/>
    <s v="Low"/>
    <s v="Under Treatment"/>
    <s v="High Risk"/>
    <x v="1"/>
  </r>
  <r>
    <x v="1069"/>
    <n v="66"/>
    <x v="1"/>
    <s v="AB-"/>
    <x v="4"/>
    <d v="2022-02-28T00:00:00"/>
    <x v="1064"/>
    <s v="Ellison and Sons"/>
    <x v="1"/>
    <n v="40671.873292719298"/>
    <n v="123"/>
    <x v="0"/>
    <d v="2022-03-16T00:00:00"/>
    <s v="Aspirin"/>
    <x v="0"/>
    <s v="High"/>
    <s v="Under Treatment"/>
    <s v="High Risk"/>
    <x v="2"/>
  </r>
  <r>
    <x v="1070"/>
    <n v="24"/>
    <x v="1"/>
    <s v="O+"/>
    <x v="0"/>
    <d v="2022-04-21T00:00:00"/>
    <x v="1065"/>
    <s v="Leonard, Jacobson Schmidt and"/>
    <x v="3"/>
    <n v="9160.7903040186993"/>
    <n v="277"/>
    <x v="2"/>
    <d v="2022-04-22T00:00:00"/>
    <s v="Penicillin"/>
    <x v="2"/>
    <s v="Medium"/>
    <s v="Under Treatment"/>
    <s v="High Risk"/>
    <x v="0"/>
  </r>
  <r>
    <x v="1071"/>
    <n v="77"/>
    <x v="1"/>
    <s v="O-"/>
    <x v="4"/>
    <d v="2023-01-23T00:00:00"/>
    <x v="1066"/>
    <s v="King-Anderson"/>
    <x v="2"/>
    <n v="18358.654877770699"/>
    <n v="478"/>
    <x v="2"/>
    <d v="2023-01-30T00:00:00"/>
    <s v="Penicillin"/>
    <x v="2"/>
    <s v="High"/>
    <s v="Under Treatment"/>
    <s v="High Risk"/>
    <x v="2"/>
  </r>
  <r>
    <x v="1072"/>
    <n v="68"/>
    <x v="0"/>
    <s v="O-"/>
    <x v="0"/>
    <d v="2019-11-08T00:00:00"/>
    <x v="1067"/>
    <s v="Johnson-Dodson"/>
    <x v="1"/>
    <n v="43296.339676877098"/>
    <n v="207"/>
    <x v="0"/>
    <d v="2019-11-29T00:00:00"/>
    <s v="Ibuprofen"/>
    <x v="0"/>
    <s v="High"/>
    <s v="Under Treatment"/>
    <s v="High Risk"/>
    <x v="2"/>
  </r>
  <r>
    <x v="1073"/>
    <n v="67"/>
    <x v="0"/>
    <s v="A+"/>
    <x v="4"/>
    <d v="2020-12-23T00:00:00"/>
    <x v="1068"/>
    <s v="Hernandez and Martin Blackwell,"/>
    <x v="0"/>
    <n v="36816.347104319299"/>
    <n v="116"/>
    <x v="2"/>
    <d v="2021-01-05T00:00:00"/>
    <s v="Lipitor"/>
    <x v="2"/>
    <s v="High"/>
    <s v="Under Treatment"/>
    <s v="High Risk"/>
    <x v="2"/>
  </r>
  <r>
    <x v="1074"/>
    <n v="57"/>
    <x v="0"/>
    <s v="AB+"/>
    <x v="1"/>
    <d v="2021-01-27T00:00:00"/>
    <x v="1069"/>
    <s v="Perry Bryant, Byrd and"/>
    <x v="2"/>
    <n v="43147.691637148302"/>
    <n v="317"/>
    <x v="1"/>
    <d v="2021-02-20T00:00:00"/>
    <s v="Penicillin"/>
    <x v="1"/>
    <s v="High"/>
    <s v="Under Treatment"/>
    <s v="High Risk"/>
    <x v="1"/>
  </r>
  <r>
    <x v="1075"/>
    <n v="54"/>
    <x v="1"/>
    <s v="O+"/>
    <x v="5"/>
    <d v="2021-04-28T00:00:00"/>
    <x v="1070"/>
    <s v="Harper-Hicks"/>
    <x v="4"/>
    <n v="8152.6993861941"/>
    <n v="464"/>
    <x v="2"/>
    <d v="2021-05-08T00:00:00"/>
    <s v="Paracetamol"/>
    <x v="0"/>
    <s v="Medium"/>
    <s v="Under Treatment"/>
    <s v="High Risk"/>
    <x v="1"/>
  </r>
  <r>
    <x v="1076"/>
    <n v="80"/>
    <x v="1"/>
    <s v="O-"/>
    <x v="0"/>
    <d v="2022-07-01T00:00:00"/>
    <x v="1071"/>
    <s v="Curry and Gonzales, Thompson"/>
    <x v="1"/>
    <n v="9659.1992681273005"/>
    <n v="200"/>
    <x v="1"/>
    <d v="2022-07-20T00:00:00"/>
    <s v="Lipitor"/>
    <x v="2"/>
    <s v="Medium"/>
    <s v="Under Treatment"/>
    <s v="High Risk"/>
    <x v="2"/>
  </r>
  <r>
    <x v="1077"/>
    <n v="73"/>
    <x v="1"/>
    <s v="AB-"/>
    <x v="1"/>
    <d v="2023-12-15T00:00:00"/>
    <x v="1072"/>
    <s v="Hill, Fernandez and Sullivan"/>
    <x v="2"/>
    <n v="37787.639768609602"/>
    <n v="168"/>
    <x v="1"/>
    <d v="2024-01-11T00:00:00"/>
    <s v="Penicillin"/>
    <x v="2"/>
    <s v="High"/>
    <s v="Under Treatment"/>
    <s v="High Risk"/>
    <x v="2"/>
  </r>
  <r>
    <x v="1078"/>
    <n v="84"/>
    <x v="0"/>
    <s v="B+"/>
    <x v="5"/>
    <d v="2023-02-02T00:00:00"/>
    <x v="1073"/>
    <s v="Boyd, and Brown Guerrero"/>
    <x v="0"/>
    <n v="15849.6727365521"/>
    <n v="341"/>
    <x v="1"/>
    <d v="2023-02-05T00:00:00"/>
    <s v="Lipitor"/>
    <x v="2"/>
    <s v="High"/>
    <s v="Under Treatment"/>
    <s v="High Risk"/>
    <x v="2"/>
  </r>
  <r>
    <x v="1079"/>
    <n v="61"/>
    <x v="1"/>
    <s v="B-"/>
    <x v="5"/>
    <d v="2022-10-28T00:00:00"/>
    <x v="1074"/>
    <s v="Campos-Martinez"/>
    <x v="0"/>
    <n v="23797.903866963599"/>
    <n v="457"/>
    <x v="2"/>
    <d v="2022-11-06T00:00:00"/>
    <s v="Penicillin"/>
    <x v="2"/>
    <s v="High"/>
    <s v="Under Treatment"/>
    <s v="High Risk"/>
    <x v="1"/>
  </r>
  <r>
    <x v="1080"/>
    <n v="56"/>
    <x v="1"/>
    <s v="B+"/>
    <x v="0"/>
    <d v="2023-07-17T00:00:00"/>
    <x v="1075"/>
    <s v="Heath Moore Jones, and"/>
    <x v="1"/>
    <n v="16790.704825598201"/>
    <n v="480"/>
    <x v="2"/>
    <d v="2023-08-09T00:00:00"/>
    <s v="Ibuprofen"/>
    <x v="2"/>
    <s v="High"/>
    <s v="Under Treatment"/>
    <s v="High Risk"/>
    <x v="1"/>
  </r>
  <r>
    <x v="1081"/>
    <n v="82"/>
    <x v="0"/>
    <s v="B+"/>
    <x v="0"/>
    <d v="2020-05-29T00:00:00"/>
    <x v="1076"/>
    <s v="and Jackson Mccall, Kelly"/>
    <x v="2"/>
    <n v="12592.652914812999"/>
    <n v="204"/>
    <x v="1"/>
    <d v="2020-06-10T00:00:00"/>
    <s v="Lipitor"/>
    <x v="2"/>
    <s v="Medium"/>
    <s v="Under Treatment"/>
    <s v="High Risk"/>
    <x v="2"/>
  </r>
  <r>
    <x v="1082"/>
    <n v="71"/>
    <x v="1"/>
    <s v="A+"/>
    <x v="2"/>
    <d v="2019-11-28T00:00:00"/>
    <x v="1077"/>
    <s v="Molina Group"/>
    <x v="1"/>
    <n v="20609.662235466501"/>
    <n v="145"/>
    <x v="1"/>
    <d v="2019-12-07T00:00:00"/>
    <s v="Aspirin"/>
    <x v="1"/>
    <s v="High"/>
    <s v="Under Treatment"/>
    <s v="High Risk"/>
    <x v="2"/>
  </r>
  <r>
    <x v="1083"/>
    <n v="80"/>
    <x v="1"/>
    <s v="A+"/>
    <x v="1"/>
    <d v="2024-01-30T00:00:00"/>
    <x v="1078"/>
    <s v="Ltd Ward"/>
    <x v="2"/>
    <n v="8602.0589836377294"/>
    <n v="131"/>
    <x v="1"/>
    <d v="2024-02-19T00:00:00"/>
    <s v="Aspirin"/>
    <x v="0"/>
    <s v="Medium"/>
    <s v="Under Treatment"/>
    <s v="High Risk"/>
    <x v="2"/>
  </r>
  <r>
    <x v="1084"/>
    <n v="21"/>
    <x v="0"/>
    <s v="AB+"/>
    <x v="0"/>
    <d v="2023-01-02T00:00:00"/>
    <x v="1079"/>
    <s v="Ltd Phillips"/>
    <x v="3"/>
    <n v="41128.721195275401"/>
    <n v="499"/>
    <x v="1"/>
    <d v="2023-01-10T00:00:00"/>
    <s v="Lipitor"/>
    <x v="1"/>
    <s v="High"/>
    <s v="Under Treatment"/>
    <s v="High Risk"/>
    <x v="0"/>
  </r>
  <r>
    <x v="1085"/>
    <n v="58"/>
    <x v="1"/>
    <s v="B+"/>
    <x v="2"/>
    <d v="2022-09-01T00:00:00"/>
    <x v="1080"/>
    <s v="Padilla Lewis, Anderson and"/>
    <x v="1"/>
    <n v="23673.9289373295"/>
    <n v="414"/>
    <x v="2"/>
    <d v="2022-09-21T00:00:00"/>
    <s v="Paracetamol"/>
    <x v="0"/>
    <s v="High"/>
    <s v="Under Treatment"/>
    <s v="High Risk"/>
    <x v="1"/>
  </r>
  <r>
    <x v="1086"/>
    <n v="60"/>
    <x v="1"/>
    <s v="A-"/>
    <x v="0"/>
    <d v="2021-10-10T00:00:00"/>
    <x v="1081"/>
    <s v="Moore, Munoz and Dunlap"/>
    <x v="1"/>
    <n v="49701.856977793999"/>
    <n v="358"/>
    <x v="2"/>
    <d v="2021-10-12T00:00:00"/>
    <s v="Ibuprofen"/>
    <x v="0"/>
    <s v="High"/>
    <s v="Under Treatment"/>
    <s v="High Risk"/>
    <x v="1"/>
  </r>
  <r>
    <x v="1087"/>
    <n v="50"/>
    <x v="0"/>
    <s v="AB-"/>
    <x v="3"/>
    <d v="2021-05-13T00:00:00"/>
    <x v="989"/>
    <s v="Inc Travis"/>
    <x v="0"/>
    <n v="19554.0080489584"/>
    <n v="204"/>
    <x v="1"/>
    <d v="2021-06-12T00:00:00"/>
    <s v="Ibuprofen"/>
    <x v="0"/>
    <s v="High"/>
    <s v="Under Treatment"/>
    <s v="High Risk"/>
    <x v="3"/>
  </r>
  <r>
    <x v="1088"/>
    <n v="47"/>
    <x v="0"/>
    <s v="O-"/>
    <x v="1"/>
    <d v="2021-11-08T00:00:00"/>
    <x v="1082"/>
    <s v="Pearson Escobar, and Harper"/>
    <x v="1"/>
    <n v="4537.4757041229695"/>
    <n v="225"/>
    <x v="0"/>
    <d v="2021-11-23T00:00:00"/>
    <s v="Ibuprofen"/>
    <x v="1"/>
    <s v="Low"/>
    <s v="Under Treatment"/>
    <s v="High Risk"/>
    <x v="3"/>
  </r>
  <r>
    <x v="1089"/>
    <n v="22"/>
    <x v="0"/>
    <s v="AB-"/>
    <x v="4"/>
    <d v="2023-08-24T00:00:00"/>
    <x v="1083"/>
    <s v="Freeman-Simon"/>
    <x v="3"/>
    <n v="42159.558895751499"/>
    <n v="435"/>
    <x v="1"/>
    <d v="2023-09-13T00:00:00"/>
    <s v="Penicillin"/>
    <x v="0"/>
    <s v="High"/>
    <s v="Under Treatment"/>
    <s v="High Risk"/>
    <x v="0"/>
  </r>
  <r>
    <x v="1090"/>
    <n v="71"/>
    <x v="0"/>
    <s v="AB-"/>
    <x v="4"/>
    <d v="2020-09-16T00:00:00"/>
    <x v="1084"/>
    <s v="Adkins Knapp and Richards,"/>
    <x v="2"/>
    <n v="3470.7600334611002"/>
    <n v="442"/>
    <x v="1"/>
    <d v="2020-10-03T00:00:00"/>
    <s v="Lipitor"/>
    <x v="2"/>
    <s v="Low"/>
    <s v="Under Treatment"/>
    <s v="High Risk"/>
    <x v="2"/>
  </r>
  <r>
    <x v="1091"/>
    <n v="63"/>
    <x v="0"/>
    <s v="B+"/>
    <x v="3"/>
    <d v="2022-03-28T00:00:00"/>
    <x v="1085"/>
    <s v="Smith and Mann Spencer,"/>
    <x v="4"/>
    <n v="33812.097985222201"/>
    <n v="181"/>
    <x v="0"/>
    <d v="2022-03-30T00:00:00"/>
    <s v="Penicillin"/>
    <x v="2"/>
    <s v="High"/>
    <s v="Under Treatment"/>
    <s v="High Risk"/>
    <x v="1"/>
  </r>
  <r>
    <x v="1092"/>
    <n v="52"/>
    <x v="1"/>
    <s v="O-"/>
    <x v="1"/>
    <d v="2019-05-08T00:00:00"/>
    <x v="1086"/>
    <s v="Moss-Mathews"/>
    <x v="4"/>
    <n v="26451.7511459464"/>
    <n v="169"/>
    <x v="1"/>
    <d v="2019-05-13T00:00:00"/>
    <s v="Ibuprofen"/>
    <x v="2"/>
    <s v="High"/>
    <s v="Under Treatment"/>
    <s v="High Risk"/>
    <x v="1"/>
  </r>
  <r>
    <x v="1093"/>
    <n v="50"/>
    <x v="1"/>
    <s v="A+"/>
    <x v="2"/>
    <d v="2019-10-18T00:00:00"/>
    <x v="1087"/>
    <s v="Smith PLC"/>
    <x v="3"/>
    <n v="40619.358945045598"/>
    <n v="440"/>
    <x v="2"/>
    <d v="2019-11-08T00:00:00"/>
    <s v="Ibuprofen"/>
    <x v="1"/>
    <s v="High"/>
    <s v="Under Treatment"/>
    <s v="High Risk"/>
    <x v="3"/>
  </r>
  <r>
    <x v="1094"/>
    <n v="41"/>
    <x v="0"/>
    <s v="O-"/>
    <x v="0"/>
    <d v="2020-07-24T00:00:00"/>
    <x v="1088"/>
    <s v="Group Graham"/>
    <x v="4"/>
    <n v="38405.3490271517"/>
    <n v="201"/>
    <x v="1"/>
    <d v="2020-08-04T00:00:00"/>
    <s v="Ibuprofen"/>
    <x v="2"/>
    <s v="High"/>
    <s v="Under Treatment"/>
    <s v="High Risk"/>
    <x v="3"/>
  </r>
  <r>
    <x v="1095"/>
    <n v="50"/>
    <x v="0"/>
    <s v="A+"/>
    <x v="0"/>
    <d v="2022-06-29T00:00:00"/>
    <x v="1089"/>
    <s v="Sons Lam and"/>
    <x v="4"/>
    <n v="29083.3411597985"/>
    <n v="305"/>
    <x v="1"/>
    <d v="2022-07-13T00:00:00"/>
    <s v="Aspirin"/>
    <x v="1"/>
    <s v="High"/>
    <s v="Under Treatment"/>
    <s v="High Risk"/>
    <x v="3"/>
  </r>
  <r>
    <x v="1096"/>
    <n v="56"/>
    <x v="1"/>
    <s v="AB+"/>
    <x v="1"/>
    <d v="2021-09-05T00:00:00"/>
    <x v="1090"/>
    <s v="Welch Bryan Rodriguez, and"/>
    <x v="3"/>
    <n v="34638.392180636001"/>
    <n v="117"/>
    <x v="1"/>
    <d v="2021-10-01T00:00:00"/>
    <s v="Ibuprofen"/>
    <x v="1"/>
    <s v="High"/>
    <s v="Under Treatment"/>
    <s v="High Risk"/>
    <x v="1"/>
  </r>
  <r>
    <x v="1097"/>
    <n v="31"/>
    <x v="1"/>
    <s v="B+"/>
    <x v="4"/>
    <d v="2023-02-25T00:00:00"/>
    <x v="1091"/>
    <s v="and Thompson Moore, Torres"/>
    <x v="3"/>
    <n v="41443.6825082293"/>
    <n v="421"/>
    <x v="0"/>
    <d v="2023-02-26T00:00:00"/>
    <s v="Aspirin"/>
    <x v="1"/>
    <s v="High"/>
    <s v="Under Treatment"/>
    <s v="High Risk"/>
    <x v="0"/>
  </r>
  <r>
    <x v="1098"/>
    <n v="82"/>
    <x v="0"/>
    <s v="AB+"/>
    <x v="0"/>
    <d v="2021-09-04T00:00:00"/>
    <x v="1092"/>
    <s v="Jones, and Moore Carter"/>
    <x v="1"/>
    <n v="30954.422186844102"/>
    <n v="371"/>
    <x v="1"/>
    <d v="2021-10-02T00:00:00"/>
    <s v="Aspirin"/>
    <x v="0"/>
    <s v="High"/>
    <s v="Under Treatment"/>
    <s v="High Risk"/>
    <x v="2"/>
  </r>
  <r>
    <x v="1099"/>
    <n v="32"/>
    <x v="1"/>
    <s v="AB+"/>
    <x v="0"/>
    <d v="2019-08-03T00:00:00"/>
    <x v="1093"/>
    <s v="Moore-Pierce"/>
    <x v="2"/>
    <n v="33653.654883162402"/>
    <n v="164"/>
    <x v="2"/>
    <d v="2019-08-06T00:00:00"/>
    <s v="Penicillin"/>
    <x v="0"/>
    <s v="High"/>
    <s v="Under Treatment"/>
    <s v="High Risk"/>
    <x v="0"/>
  </r>
  <r>
    <x v="1100"/>
    <n v="41"/>
    <x v="0"/>
    <s v="AB+"/>
    <x v="2"/>
    <d v="2020-11-06T00:00:00"/>
    <x v="1094"/>
    <s v="LLC Smith"/>
    <x v="1"/>
    <n v="2669.74563321504"/>
    <n v="432"/>
    <x v="1"/>
    <d v="2020-11-07T00:00:00"/>
    <s v="Ibuprofen"/>
    <x v="1"/>
    <s v="Low"/>
    <s v="Under Treatment"/>
    <s v="High Risk"/>
    <x v="3"/>
  </r>
  <r>
    <x v="1101"/>
    <n v="32"/>
    <x v="0"/>
    <s v="A+"/>
    <x v="2"/>
    <d v="2020-10-01T00:00:00"/>
    <x v="1095"/>
    <s v="Gomez and Sons"/>
    <x v="4"/>
    <n v="40136.9681803969"/>
    <n v="488"/>
    <x v="0"/>
    <d v="2020-10-12T00:00:00"/>
    <s v="Aspirin"/>
    <x v="2"/>
    <s v="High"/>
    <s v="Under Treatment"/>
    <s v="High Risk"/>
    <x v="0"/>
  </r>
  <r>
    <x v="1102"/>
    <n v="74"/>
    <x v="0"/>
    <s v="A-"/>
    <x v="5"/>
    <d v="2022-12-04T00:00:00"/>
    <x v="1096"/>
    <s v="Howard-Pitts"/>
    <x v="4"/>
    <n v="31911.301871637301"/>
    <n v="445"/>
    <x v="2"/>
    <d v="2023-01-01T00:00:00"/>
    <s v="Ibuprofen"/>
    <x v="0"/>
    <s v="High"/>
    <s v="Under Treatment"/>
    <s v="High Risk"/>
    <x v="2"/>
  </r>
  <r>
    <x v="1103"/>
    <n v="62"/>
    <x v="0"/>
    <s v="AB+"/>
    <x v="3"/>
    <d v="2023-06-09T00:00:00"/>
    <x v="1097"/>
    <s v="and Delgado Allen, Wilson"/>
    <x v="1"/>
    <n v="9508.0825527433499"/>
    <n v="309"/>
    <x v="0"/>
    <d v="2023-06-20T00:00:00"/>
    <s v="Lipitor"/>
    <x v="1"/>
    <s v="Medium"/>
    <s v="Under Treatment"/>
    <s v="High Risk"/>
    <x v="1"/>
  </r>
  <r>
    <x v="1104"/>
    <n v="54"/>
    <x v="0"/>
    <s v="A+"/>
    <x v="4"/>
    <d v="2020-07-31T00:00:00"/>
    <x v="1098"/>
    <s v="Gonzalez Burch, and Diaz"/>
    <x v="1"/>
    <n v="21770.014114050002"/>
    <n v="329"/>
    <x v="1"/>
    <d v="2020-08-08T00:00:00"/>
    <s v="Aspirin"/>
    <x v="1"/>
    <s v="High"/>
    <s v="Under Treatment"/>
    <s v="High Risk"/>
    <x v="1"/>
  </r>
  <r>
    <x v="1105"/>
    <n v="48"/>
    <x v="1"/>
    <s v="O+"/>
    <x v="2"/>
    <d v="2021-11-09T00:00:00"/>
    <x v="1099"/>
    <s v="Banks-Martin"/>
    <x v="0"/>
    <n v="46745.146320928601"/>
    <n v="278"/>
    <x v="2"/>
    <d v="2021-11-27T00:00:00"/>
    <s v="Lipitor"/>
    <x v="0"/>
    <s v="High"/>
    <s v="Under Treatment"/>
    <s v="High Risk"/>
    <x v="3"/>
  </r>
  <r>
    <x v="1106"/>
    <n v="71"/>
    <x v="0"/>
    <s v="AB+"/>
    <x v="3"/>
    <d v="2021-05-09T00:00:00"/>
    <x v="1100"/>
    <s v="Lopez Carter and Campos,"/>
    <x v="3"/>
    <n v="38023.742124917801"/>
    <n v="455"/>
    <x v="1"/>
    <d v="2021-06-03T00:00:00"/>
    <s v="Paracetamol"/>
    <x v="2"/>
    <s v="High"/>
    <s v="Under Treatment"/>
    <s v="High Risk"/>
    <x v="2"/>
  </r>
  <r>
    <x v="1107"/>
    <n v="83"/>
    <x v="0"/>
    <s v="AB+"/>
    <x v="4"/>
    <d v="2022-04-16T00:00:00"/>
    <x v="1101"/>
    <s v="James-Mcintyre"/>
    <x v="2"/>
    <n v="36715.050571882697"/>
    <n v="274"/>
    <x v="2"/>
    <d v="2022-05-12T00:00:00"/>
    <s v="Lipitor"/>
    <x v="2"/>
    <s v="High"/>
    <s v="Under Treatment"/>
    <s v="High Risk"/>
    <x v="2"/>
  </r>
  <r>
    <x v="1108"/>
    <n v="80"/>
    <x v="0"/>
    <s v="AB-"/>
    <x v="1"/>
    <d v="2020-12-08T00:00:00"/>
    <x v="1102"/>
    <s v="Allen-Ortiz"/>
    <x v="3"/>
    <n v="12239.539895264201"/>
    <n v="457"/>
    <x v="2"/>
    <d v="2021-01-01T00:00:00"/>
    <s v="Ibuprofen"/>
    <x v="0"/>
    <s v="Medium"/>
    <s v="Under Treatment"/>
    <s v="High Risk"/>
    <x v="2"/>
  </r>
  <r>
    <x v="1109"/>
    <n v="21"/>
    <x v="1"/>
    <s v="AB+"/>
    <x v="4"/>
    <d v="2021-03-20T00:00:00"/>
    <x v="1103"/>
    <s v="Friedman LLC"/>
    <x v="2"/>
    <n v="35953.451884665497"/>
    <n v="462"/>
    <x v="2"/>
    <d v="2021-03-21T00:00:00"/>
    <s v="Paracetamol"/>
    <x v="0"/>
    <s v="High"/>
    <s v="Under Treatment"/>
    <s v="High Risk"/>
    <x v="0"/>
  </r>
  <r>
    <x v="1110"/>
    <n v="60"/>
    <x v="0"/>
    <s v="O-"/>
    <x v="3"/>
    <d v="2019-06-10T00:00:00"/>
    <x v="1104"/>
    <s v="Rogers-Smith"/>
    <x v="4"/>
    <n v="23025.831662168199"/>
    <n v="426"/>
    <x v="2"/>
    <d v="2019-06-23T00:00:00"/>
    <s v="Lipitor"/>
    <x v="1"/>
    <s v="High"/>
    <s v="Under Treatment"/>
    <s v="High Risk"/>
    <x v="1"/>
  </r>
  <r>
    <x v="1111"/>
    <n v="26"/>
    <x v="1"/>
    <s v="B+"/>
    <x v="4"/>
    <d v="2021-10-20T00:00:00"/>
    <x v="1105"/>
    <s v="Terrell-Powell"/>
    <x v="1"/>
    <n v="20493.745906624001"/>
    <n v="232"/>
    <x v="2"/>
    <d v="2021-10-30T00:00:00"/>
    <s v="Lipitor"/>
    <x v="0"/>
    <s v="High"/>
    <s v="Under Treatment"/>
    <s v="High Risk"/>
    <x v="0"/>
  </r>
  <r>
    <x v="1112"/>
    <n v="57"/>
    <x v="0"/>
    <s v="AB+"/>
    <x v="2"/>
    <d v="2023-07-16T00:00:00"/>
    <x v="1106"/>
    <s v="LLC Brown"/>
    <x v="1"/>
    <n v="21505.421074872502"/>
    <n v="252"/>
    <x v="2"/>
    <d v="2023-08-09T00:00:00"/>
    <s v="Ibuprofen"/>
    <x v="0"/>
    <s v="High"/>
    <s v="Under Treatment"/>
    <s v="High Risk"/>
    <x v="1"/>
  </r>
  <r>
    <x v="1113"/>
    <n v="39"/>
    <x v="1"/>
    <s v="AB+"/>
    <x v="1"/>
    <d v="2021-02-21T00:00:00"/>
    <x v="1107"/>
    <s v="Williams-Maldonado"/>
    <x v="4"/>
    <n v="30096.2482506171"/>
    <n v="122"/>
    <x v="1"/>
    <d v="2021-03-18T00:00:00"/>
    <s v="Paracetamol"/>
    <x v="2"/>
    <s v="High"/>
    <s v="Under Treatment"/>
    <s v="High Risk"/>
    <x v="3"/>
  </r>
  <r>
    <x v="1114"/>
    <n v="69"/>
    <x v="1"/>
    <s v="A+"/>
    <x v="4"/>
    <d v="2022-01-23T00:00:00"/>
    <x v="1108"/>
    <s v="Williams Group"/>
    <x v="2"/>
    <n v="26813.049788422701"/>
    <n v="127"/>
    <x v="0"/>
    <d v="2022-01-25T00:00:00"/>
    <s v="Paracetamol"/>
    <x v="2"/>
    <s v="High"/>
    <s v="Under Treatment"/>
    <s v="High Risk"/>
    <x v="2"/>
  </r>
  <r>
    <x v="1115"/>
    <n v="20"/>
    <x v="0"/>
    <s v="A+"/>
    <x v="1"/>
    <d v="2022-11-02T00:00:00"/>
    <x v="1109"/>
    <s v="Bradley PLC"/>
    <x v="3"/>
    <n v="22543.5940343947"/>
    <n v="154"/>
    <x v="2"/>
    <d v="2022-11-24T00:00:00"/>
    <s v="Ibuprofen"/>
    <x v="0"/>
    <s v="High"/>
    <s v="Under Treatment"/>
    <s v="High Risk"/>
    <x v="0"/>
  </r>
  <r>
    <x v="1116"/>
    <n v="51"/>
    <x v="0"/>
    <s v="A+"/>
    <x v="2"/>
    <d v="2024-03-31T00:00:00"/>
    <x v="1110"/>
    <s v="PLC Adams"/>
    <x v="3"/>
    <n v="11090.3435591214"/>
    <n v="307"/>
    <x v="1"/>
    <d v="2024-04-05T00:00:00"/>
    <s v="Aspirin"/>
    <x v="2"/>
    <s v="Medium"/>
    <s v="Under Treatment"/>
    <s v="High Risk"/>
    <x v="1"/>
  </r>
  <r>
    <x v="1117"/>
    <n v="65"/>
    <x v="1"/>
    <s v="A+"/>
    <x v="1"/>
    <d v="2024-04-01T00:00:00"/>
    <x v="1111"/>
    <s v="Blevins-Douglas"/>
    <x v="4"/>
    <n v="9425.0760079470401"/>
    <n v="283"/>
    <x v="2"/>
    <d v="2024-04-23T00:00:00"/>
    <s v="Penicillin"/>
    <x v="1"/>
    <s v="Medium"/>
    <s v="Under Treatment"/>
    <s v="High Risk"/>
    <x v="1"/>
  </r>
  <r>
    <x v="1118"/>
    <n v="27"/>
    <x v="0"/>
    <s v="AB+"/>
    <x v="5"/>
    <d v="2022-11-06T00:00:00"/>
    <x v="1112"/>
    <s v="and Campbell, Wiley Cook"/>
    <x v="2"/>
    <n v="41454.677532960202"/>
    <n v="426"/>
    <x v="2"/>
    <d v="2022-12-01T00:00:00"/>
    <s v="Penicillin"/>
    <x v="2"/>
    <s v="High"/>
    <s v="Under Treatment"/>
    <s v="High Risk"/>
    <x v="0"/>
  </r>
  <r>
    <x v="1119"/>
    <n v="24"/>
    <x v="0"/>
    <s v="A-"/>
    <x v="1"/>
    <d v="2023-06-03T00:00:00"/>
    <x v="1113"/>
    <s v="Moss Group"/>
    <x v="3"/>
    <n v="30486.6073123352"/>
    <n v="121"/>
    <x v="1"/>
    <d v="2023-06-15T00:00:00"/>
    <s v="Penicillin"/>
    <x v="0"/>
    <s v="High"/>
    <s v="Under Treatment"/>
    <s v="High Risk"/>
    <x v="0"/>
  </r>
  <r>
    <x v="1120"/>
    <n v="85"/>
    <x v="1"/>
    <s v="O+"/>
    <x v="1"/>
    <d v="2022-07-13T00:00:00"/>
    <x v="1114"/>
    <s v="Richardson-Powell"/>
    <x v="4"/>
    <n v="45692.902645202201"/>
    <n v="456"/>
    <x v="0"/>
    <d v="2022-07-21T00:00:00"/>
    <s v="Paracetamol"/>
    <x v="2"/>
    <s v="High"/>
    <s v="Under Treatment"/>
    <s v="High Risk"/>
    <x v="2"/>
  </r>
  <r>
    <x v="1121"/>
    <n v="53"/>
    <x v="1"/>
    <s v="AB+"/>
    <x v="4"/>
    <d v="2019-06-03T00:00:00"/>
    <x v="1115"/>
    <s v="Inc Huynh"/>
    <x v="1"/>
    <n v="31569.878676515498"/>
    <n v="372"/>
    <x v="2"/>
    <d v="2019-06-04T00:00:00"/>
    <s v="Lipitor"/>
    <x v="0"/>
    <s v="High"/>
    <s v="Under Treatment"/>
    <s v="High Risk"/>
    <x v="1"/>
  </r>
  <r>
    <x v="1122"/>
    <n v="82"/>
    <x v="0"/>
    <s v="O-"/>
    <x v="1"/>
    <d v="2019-06-11T00:00:00"/>
    <x v="1116"/>
    <s v="Rogers LLC"/>
    <x v="1"/>
    <n v="24175.1881380136"/>
    <n v="155"/>
    <x v="0"/>
    <d v="2019-07-01T00:00:00"/>
    <s v="Ibuprofen"/>
    <x v="1"/>
    <s v="High"/>
    <s v="Under Treatment"/>
    <s v="High Risk"/>
    <x v="2"/>
  </r>
  <r>
    <x v="1123"/>
    <n v="72"/>
    <x v="1"/>
    <s v="AB-"/>
    <x v="0"/>
    <d v="2024-01-14T00:00:00"/>
    <x v="1117"/>
    <s v="Davis Maddox Harris, and"/>
    <x v="2"/>
    <n v="11064.0282589856"/>
    <n v="212"/>
    <x v="0"/>
    <d v="2024-02-08T00:00:00"/>
    <s v="Ibuprofen"/>
    <x v="2"/>
    <s v="Medium"/>
    <s v="Under Treatment"/>
    <s v="High Risk"/>
    <x v="2"/>
  </r>
  <r>
    <x v="1124"/>
    <n v="83"/>
    <x v="0"/>
    <s v="A+"/>
    <x v="3"/>
    <d v="2022-08-09T00:00:00"/>
    <x v="1118"/>
    <s v="Wright-Walker"/>
    <x v="2"/>
    <n v="50713.562224039"/>
    <n v="244"/>
    <x v="1"/>
    <d v="2022-08-27T00:00:00"/>
    <s v="Ibuprofen"/>
    <x v="1"/>
    <s v="High"/>
    <s v="Under Treatment"/>
    <s v="High Risk"/>
    <x v="2"/>
  </r>
  <r>
    <x v="1125"/>
    <n v="83"/>
    <x v="1"/>
    <s v="B-"/>
    <x v="4"/>
    <d v="2021-09-19T00:00:00"/>
    <x v="1119"/>
    <s v="Thomas and Lambert, Young"/>
    <x v="0"/>
    <n v="40850.924880202903"/>
    <n v="347"/>
    <x v="1"/>
    <d v="2021-09-29T00:00:00"/>
    <s v="Aspirin"/>
    <x v="2"/>
    <s v="High"/>
    <s v="Under Treatment"/>
    <s v="High Risk"/>
    <x v="2"/>
  </r>
  <r>
    <x v="1126"/>
    <n v="49"/>
    <x v="0"/>
    <s v="A+"/>
    <x v="5"/>
    <d v="2023-05-27T00:00:00"/>
    <x v="1120"/>
    <s v="Smith-Ewing"/>
    <x v="4"/>
    <n v="6407.9011886727603"/>
    <n v="491"/>
    <x v="2"/>
    <d v="2023-06-21T00:00:00"/>
    <s v="Ibuprofen"/>
    <x v="1"/>
    <s v="Medium"/>
    <s v="Under Treatment"/>
    <s v="High Risk"/>
    <x v="3"/>
  </r>
  <r>
    <x v="1127"/>
    <n v="42"/>
    <x v="0"/>
    <s v="A+"/>
    <x v="0"/>
    <d v="2022-03-08T00:00:00"/>
    <x v="1121"/>
    <s v="Gonzalez Ltd"/>
    <x v="0"/>
    <n v="34566.570636328302"/>
    <n v="386"/>
    <x v="1"/>
    <d v="2022-04-02T00:00:00"/>
    <s v="Penicillin"/>
    <x v="0"/>
    <s v="High"/>
    <s v="Under Treatment"/>
    <s v="High Risk"/>
    <x v="3"/>
  </r>
  <r>
    <x v="1128"/>
    <n v="55"/>
    <x v="1"/>
    <s v="AB-"/>
    <x v="5"/>
    <d v="2024-03-21T00:00:00"/>
    <x v="1122"/>
    <s v="Lopez, Rodriguez Hodges and"/>
    <x v="4"/>
    <n v="48615.352863992099"/>
    <n v="329"/>
    <x v="1"/>
    <d v="2024-04-09T00:00:00"/>
    <s v="Aspirin"/>
    <x v="2"/>
    <s v="High"/>
    <s v="Under Treatment"/>
    <s v="High Risk"/>
    <x v="1"/>
  </r>
  <r>
    <x v="1129"/>
    <n v="42"/>
    <x v="1"/>
    <s v="A-"/>
    <x v="2"/>
    <d v="2024-03-14T00:00:00"/>
    <x v="1123"/>
    <s v="Riddle LLC"/>
    <x v="2"/>
    <n v="1398.8764619286801"/>
    <n v="377"/>
    <x v="1"/>
    <d v="2024-04-03T00:00:00"/>
    <s v="Ibuprofen"/>
    <x v="1"/>
    <s v="Low"/>
    <s v="Under Treatment"/>
    <s v="High Risk"/>
    <x v="3"/>
  </r>
  <r>
    <x v="1130"/>
    <n v="53"/>
    <x v="1"/>
    <s v="A-"/>
    <x v="1"/>
    <d v="2020-04-17T00:00:00"/>
    <x v="1124"/>
    <s v="Medina-Hubbard"/>
    <x v="1"/>
    <n v="9868.0061421179307"/>
    <n v="163"/>
    <x v="1"/>
    <d v="2020-05-10T00:00:00"/>
    <s v="Ibuprofen"/>
    <x v="0"/>
    <s v="Medium"/>
    <s v="Under Treatment"/>
    <s v="High Risk"/>
    <x v="1"/>
  </r>
  <r>
    <x v="1131"/>
    <n v="41"/>
    <x v="1"/>
    <s v="B-"/>
    <x v="1"/>
    <d v="2023-12-18T00:00:00"/>
    <x v="1125"/>
    <s v="Jenkins PLC"/>
    <x v="4"/>
    <n v="2952.6118816791"/>
    <n v="426"/>
    <x v="1"/>
    <d v="2023-12-22T00:00:00"/>
    <s v="Paracetamol"/>
    <x v="0"/>
    <s v="Low"/>
    <s v="Under Treatment"/>
    <s v="High Risk"/>
    <x v="3"/>
  </r>
  <r>
    <x v="1132"/>
    <n v="75"/>
    <x v="1"/>
    <s v="O-"/>
    <x v="0"/>
    <d v="2022-10-13T00:00:00"/>
    <x v="1126"/>
    <s v="Evans-Torres"/>
    <x v="2"/>
    <n v="2473.47074761054"/>
    <n v="389"/>
    <x v="0"/>
    <d v="2022-11-08T00:00:00"/>
    <s v="Ibuprofen"/>
    <x v="2"/>
    <s v="Low"/>
    <s v="Under Treatment"/>
    <s v="High Risk"/>
    <x v="2"/>
  </r>
  <r>
    <x v="1133"/>
    <n v="72"/>
    <x v="1"/>
    <s v="A-"/>
    <x v="2"/>
    <d v="2020-09-17T00:00:00"/>
    <x v="1127"/>
    <s v="Hernandez-Valdez"/>
    <x v="1"/>
    <n v="14697.456429592199"/>
    <n v="116"/>
    <x v="2"/>
    <d v="2020-09-21T00:00:00"/>
    <s v="Aspirin"/>
    <x v="1"/>
    <s v="Medium"/>
    <s v="Under Treatment"/>
    <s v="High Risk"/>
    <x v="2"/>
  </r>
  <r>
    <x v="1134"/>
    <n v="56"/>
    <x v="1"/>
    <s v="A+"/>
    <x v="1"/>
    <d v="2023-05-08T00:00:00"/>
    <x v="1128"/>
    <s v="Smith-Nguyen"/>
    <x v="0"/>
    <n v="13672.838294535"/>
    <n v="123"/>
    <x v="1"/>
    <d v="2023-05-18T00:00:00"/>
    <s v="Ibuprofen"/>
    <x v="0"/>
    <s v="Medium"/>
    <s v="Under Treatment"/>
    <s v="High Risk"/>
    <x v="1"/>
  </r>
  <r>
    <x v="1135"/>
    <n v="53"/>
    <x v="1"/>
    <s v="O-"/>
    <x v="5"/>
    <d v="2022-11-03T00:00:00"/>
    <x v="1129"/>
    <s v="Wilson-Torres"/>
    <x v="2"/>
    <n v="41463.835439890703"/>
    <n v="300"/>
    <x v="2"/>
    <d v="2022-11-13T00:00:00"/>
    <s v="Aspirin"/>
    <x v="0"/>
    <s v="High"/>
    <s v="Under Treatment"/>
    <s v="High Risk"/>
    <x v="1"/>
  </r>
  <r>
    <x v="1136"/>
    <n v="18"/>
    <x v="0"/>
    <s v="O-"/>
    <x v="0"/>
    <d v="2022-12-18T00:00:00"/>
    <x v="1130"/>
    <s v="Sparks-Smith"/>
    <x v="1"/>
    <n v="10706.5391900877"/>
    <n v="357"/>
    <x v="1"/>
    <d v="2023-01-14T00:00:00"/>
    <s v="Penicillin"/>
    <x v="0"/>
    <s v="Medium"/>
    <s v="Under Treatment"/>
    <s v="High Risk"/>
    <x v="4"/>
  </r>
  <r>
    <x v="1137"/>
    <n v="65"/>
    <x v="1"/>
    <s v="O+"/>
    <x v="3"/>
    <d v="2019-07-10T00:00:00"/>
    <x v="1131"/>
    <s v="Inc Banks"/>
    <x v="0"/>
    <n v="6444.7320534992195"/>
    <n v="453"/>
    <x v="1"/>
    <d v="2019-07-30T00:00:00"/>
    <s v="Ibuprofen"/>
    <x v="0"/>
    <s v="Medium"/>
    <s v="Under Treatment"/>
    <s v="High Risk"/>
    <x v="1"/>
  </r>
  <r>
    <x v="1138"/>
    <n v="35"/>
    <x v="0"/>
    <s v="AB-"/>
    <x v="4"/>
    <d v="2023-01-26T00:00:00"/>
    <x v="1132"/>
    <s v="Porter, Woods Miller and"/>
    <x v="3"/>
    <n v="37053.673748462999"/>
    <n v="378"/>
    <x v="0"/>
    <d v="2023-02-08T00:00:00"/>
    <s v="Lipitor"/>
    <x v="0"/>
    <s v="High"/>
    <s v="Under Treatment"/>
    <s v="High Risk"/>
    <x v="0"/>
  </r>
  <r>
    <x v="1139"/>
    <n v="48"/>
    <x v="0"/>
    <s v="O+"/>
    <x v="3"/>
    <d v="2021-03-08T00:00:00"/>
    <x v="1133"/>
    <s v="Wagner-Sanchez"/>
    <x v="1"/>
    <n v="40273.795686716403"/>
    <n v="109"/>
    <x v="0"/>
    <d v="2021-03-20T00:00:00"/>
    <s v="Aspirin"/>
    <x v="1"/>
    <s v="High"/>
    <s v="Under Treatment"/>
    <s v="High Risk"/>
    <x v="3"/>
  </r>
  <r>
    <x v="1140"/>
    <n v="34"/>
    <x v="1"/>
    <s v="A+"/>
    <x v="1"/>
    <d v="2021-01-23T00:00:00"/>
    <x v="1134"/>
    <s v="Wilson and Hood, Robinson"/>
    <x v="0"/>
    <n v="33437.448453823803"/>
    <n v="156"/>
    <x v="1"/>
    <d v="2021-02-19T00:00:00"/>
    <s v="Paracetamol"/>
    <x v="0"/>
    <s v="High"/>
    <s v="Under Treatment"/>
    <s v="High Risk"/>
    <x v="0"/>
  </r>
  <r>
    <x v="1141"/>
    <n v="41"/>
    <x v="0"/>
    <s v="B+"/>
    <x v="2"/>
    <d v="2024-02-12T00:00:00"/>
    <x v="1135"/>
    <s v="Edwards, Daniels Garcia and"/>
    <x v="1"/>
    <n v="25261.1788727122"/>
    <n v="104"/>
    <x v="2"/>
    <d v="2024-02-17T00:00:00"/>
    <s v="Lipitor"/>
    <x v="0"/>
    <s v="High"/>
    <s v="Under Treatment"/>
    <s v="High Risk"/>
    <x v="3"/>
  </r>
  <r>
    <x v="1142"/>
    <n v="84"/>
    <x v="1"/>
    <s v="O+"/>
    <x v="3"/>
    <d v="2021-04-14T00:00:00"/>
    <x v="1136"/>
    <s v="Inc Duran"/>
    <x v="3"/>
    <n v="17011.7825036143"/>
    <n v="372"/>
    <x v="2"/>
    <d v="2021-04-18T00:00:00"/>
    <s v="Lipitor"/>
    <x v="2"/>
    <s v="High"/>
    <s v="Under Treatment"/>
    <s v="High Risk"/>
    <x v="2"/>
  </r>
  <r>
    <x v="1143"/>
    <n v="27"/>
    <x v="1"/>
    <s v="A-"/>
    <x v="2"/>
    <d v="2020-10-14T00:00:00"/>
    <x v="1137"/>
    <s v="Berry and Clark Shaw,"/>
    <x v="2"/>
    <n v="13244.4779951905"/>
    <n v="145"/>
    <x v="2"/>
    <d v="2020-10-30T00:00:00"/>
    <s v="Aspirin"/>
    <x v="0"/>
    <s v="Medium"/>
    <s v="Under Treatment"/>
    <s v="High Risk"/>
    <x v="0"/>
  </r>
  <r>
    <x v="1144"/>
    <n v="45"/>
    <x v="1"/>
    <s v="O+"/>
    <x v="0"/>
    <d v="2023-06-12T00:00:00"/>
    <x v="1138"/>
    <s v="Allen Parker and Estes,"/>
    <x v="0"/>
    <n v="12448.6885219699"/>
    <n v="198"/>
    <x v="2"/>
    <d v="2023-06-19T00:00:00"/>
    <s v="Paracetamol"/>
    <x v="0"/>
    <s v="Medium"/>
    <s v="Under Treatment"/>
    <s v="High Risk"/>
    <x v="3"/>
  </r>
  <r>
    <x v="1145"/>
    <n v="66"/>
    <x v="0"/>
    <s v="B-"/>
    <x v="0"/>
    <d v="2022-05-10T00:00:00"/>
    <x v="1139"/>
    <s v="Contreras Myers and Young,"/>
    <x v="3"/>
    <n v="21305.516337972502"/>
    <n v="407"/>
    <x v="1"/>
    <d v="2022-06-04T00:00:00"/>
    <s v="Aspirin"/>
    <x v="2"/>
    <s v="High"/>
    <s v="Under Treatment"/>
    <s v="High Risk"/>
    <x v="2"/>
  </r>
  <r>
    <x v="1146"/>
    <n v="53"/>
    <x v="1"/>
    <s v="A+"/>
    <x v="0"/>
    <d v="2023-02-04T00:00:00"/>
    <x v="1140"/>
    <s v="Miller Bailey, and Anderson"/>
    <x v="1"/>
    <n v="13091.802110667701"/>
    <n v="317"/>
    <x v="2"/>
    <d v="2023-02-28T00:00:00"/>
    <s v="Penicillin"/>
    <x v="2"/>
    <s v="Medium"/>
    <s v="Under Treatment"/>
    <s v="High Risk"/>
    <x v="1"/>
  </r>
  <r>
    <x v="1147"/>
    <n v="25"/>
    <x v="0"/>
    <s v="A-"/>
    <x v="2"/>
    <d v="2024-03-22T00:00:00"/>
    <x v="1141"/>
    <s v="Vasquez-Carr"/>
    <x v="0"/>
    <n v="20762.015901343999"/>
    <n v="442"/>
    <x v="1"/>
    <d v="2024-04-14T00:00:00"/>
    <s v="Ibuprofen"/>
    <x v="2"/>
    <s v="High"/>
    <s v="Under Treatment"/>
    <s v="High Risk"/>
    <x v="0"/>
  </r>
  <r>
    <x v="1148"/>
    <n v="78"/>
    <x v="1"/>
    <s v="A-"/>
    <x v="5"/>
    <d v="2021-12-20T00:00:00"/>
    <x v="1142"/>
    <s v="Gomez-Spencer"/>
    <x v="0"/>
    <n v="35543.067527687701"/>
    <n v="384"/>
    <x v="2"/>
    <d v="2021-12-22T00:00:00"/>
    <s v="Lipitor"/>
    <x v="2"/>
    <s v="High"/>
    <s v="Under Treatment"/>
    <s v="High Risk"/>
    <x v="2"/>
  </r>
  <r>
    <x v="1149"/>
    <n v="76"/>
    <x v="0"/>
    <s v="AB-"/>
    <x v="5"/>
    <d v="2020-03-21T00:00:00"/>
    <x v="1143"/>
    <s v="Sweeney LLC"/>
    <x v="0"/>
    <n v="36334.020353230597"/>
    <n v="151"/>
    <x v="0"/>
    <d v="2020-04-20T00:00:00"/>
    <s v="Lipitor"/>
    <x v="2"/>
    <s v="High"/>
    <s v="Under Treatment"/>
    <s v="High Risk"/>
    <x v="2"/>
  </r>
  <r>
    <x v="1150"/>
    <n v="29"/>
    <x v="0"/>
    <s v="O-"/>
    <x v="2"/>
    <d v="2024-01-22T00:00:00"/>
    <x v="1144"/>
    <s v="Thomas-Adams"/>
    <x v="2"/>
    <n v="47906.009014433097"/>
    <n v="379"/>
    <x v="1"/>
    <d v="2024-01-25T00:00:00"/>
    <s v="Penicillin"/>
    <x v="1"/>
    <s v="High"/>
    <s v="Under Treatment"/>
    <s v="High Risk"/>
    <x v="0"/>
  </r>
  <r>
    <x v="1151"/>
    <n v="85"/>
    <x v="0"/>
    <s v="O+"/>
    <x v="0"/>
    <d v="2019-06-05T00:00:00"/>
    <x v="1145"/>
    <s v="Cortez-Cannon"/>
    <x v="3"/>
    <n v="25098.250436759699"/>
    <n v="363"/>
    <x v="1"/>
    <d v="2019-07-05T00:00:00"/>
    <s v="Penicillin"/>
    <x v="1"/>
    <s v="High"/>
    <s v="Under Treatment"/>
    <s v="High Risk"/>
    <x v="2"/>
  </r>
  <r>
    <x v="1152"/>
    <n v="48"/>
    <x v="1"/>
    <s v="O-"/>
    <x v="4"/>
    <d v="2024-04-08T00:00:00"/>
    <x v="1146"/>
    <s v="Wood Ltd"/>
    <x v="0"/>
    <n v="37989.196017922797"/>
    <n v="203"/>
    <x v="2"/>
    <d v="2024-05-07T00:00:00"/>
    <s v="Aspirin"/>
    <x v="1"/>
    <s v="High"/>
    <s v="Under Treatment"/>
    <s v="High Risk"/>
    <x v="3"/>
  </r>
  <r>
    <x v="1153"/>
    <n v="21"/>
    <x v="0"/>
    <s v="O-"/>
    <x v="4"/>
    <d v="2023-04-28T00:00:00"/>
    <x v="1147"/>
    <s v="White Group"/>
    <x v="3"/>
    <n v="671.12522991144101"/>
    <n v="267"/>
    <x v="0"/>
    <d v="2023-05-12T00:00:00"/>
    <s v="Aspirin"/>
    <x v="1"/>
    <s v="Low"/>
    <s v="Under Treatment"/>
    <s v="High Risk"/>
    <x v="0"/>
  </r>
  <r>
    <x v="1154"/>
    <n v="80"/>
    <x v="1"/>
    <s v="B+"/>
    <x v="4"/>
    <d v="2022-04-24T00:00:00"/>
    <x v="1148"/>
    <s v="Jackson-Brennan"/>
    <x v="2"/>
    <n v="15102.9554384362"/>
    <n v="453"/>
    <x v="2"/>
    <d v="2022-05-04T00:00:00"/>
    <s v="Penicillin"/>
    <x v="2"/>
    <s v="High"/>
    <s v="Under Treatment"/>
    <s v="High Risk"/>
    <x v="2"/>
  </r>
  <r>
    <x v="1155"/>
    <n v="79"/>
    <x v="0"/>
    <s v="A-"/>
    <x v="1"/>
    <d v="2021-11-02T00:00:00"/>
    <x v="1149"/>
    <s v="Smith Sons and"/>
    <x v="1"/>
    <n v="19641.012706148998"/>
    <n v="142"/>
    <x v="1"/>
    <d v="2021-11-04T00:00:00"/>
    <s v="Lipitor"/>
    <x v="0"/>
    <s v="High"/>
    <s v="Under Treatment"/>
    <s v="High Risk"/>
    <x v="2"/>
  </r>
  <r>
    <x v="1156"/>
    <n v="20"/>
    <x v="0"/>
    <s v="AB-"/>
    <x v="0"/>
    <d v="2019-05-11T00:00:00"/>
    <x v="1150"/>
    <s v="and Walsh, Floyd Owens"/>
    <x v="2"/>
    <n v="35776.637069418699"/>
    <n v="313"/>
    <x v="0"/>
    <d v="2019-05-12T00:00:00"/>
    <s v="Lipitor"/>
    <x v="2"/>
    <s v="High"/>
    <s v="Under Treatment"/>
    <s v="High Risk"/>
    <x v="0"/>
  </r>
  <r>
    <x v="1157"/>
    <n v="50"/>
    <x v="1"/>
    <s v="B-"/>
    <x v="4"/>
    <d v="2023-10-21T00:00:00"/>
    <x v="1151"/>
    <s v="and Perez, Graham Herrera"/>
    <x v="0"/>
    <n v="700.59507625359504"/>
    <n v="481"/>
    <x v="0"/>
    <d v="2023-10-24T00:00:00"/>
    <s v="Aspirin"/>
    <x v="0"/>
    <s v="Low"/>
    <s v="Under Treatment"/>
    <s v="High Risk"/>
    <x v="3"/>
  </r>
  <r>
    <x v="1158"/>
    <n v="85"/>
    <x v="0"/>
    <s v="O-"/>
    <x v="4"/>
    <d v="2020-10-08T00:00:00"/>
    <x v="1152"/>
    <s v="and Perry Leach, Alexander"/>
    <x v="0"/>
    <n v="23502.459581227798"/>
    <n v="104"/>
    <x v="0"/>
    <d v="2020-11-07T00:00:00"/>
    <s v="Paracetamol"/>
    <x v="0"/>
    <s v="High"/>
    <s v="Under Treatment"/>
    <s v="High Risk"/>
    <x v="2"/>
  </r>
  <r>
    <x v="1159"/>
    <n v="26"/>
    <x v="1"/>
    <s v="AB-"/>
    <x v="0"/>
    <d v="2022-08-10T00:00:00"/>
    <x v="1153"/>
    <s v="Sons and Bowman"/>
    <x v="3"/>
    <n v="15483.3856837325"/>
    <n v="137"/>
    <x v="2"/>
    <d v="2022-08-30T00:00:00"/>
    <s v="Paracetamol"/>
    <x v="0"/>
    <s v="High"/>
    <s v="Under Treatment"/>
    <s v="High Risk"/>
    <x v="0"/>
  </r>
  <r>
    <x v="1160"/>
    <n v="28"/>
    <x v="1"/>
    <s v="A-"/>
    <x v="5"/>
    <d v="2020-06-01T00:00:00"/>
    <x v="1154"/>
    <s v="Holland Brown, and York"/>
    <x v="4"/>
    <n v="43119.1063437755"/>
    <n v="266"/>
    <x v="1"/>
    <d v="2020-06-05T00:00:00"/>
    <s v="Paracetamol"/>
    <x v="0"/>
    <s v="High"/>
    <s v="Under Treatment"/>
    <s v="High Risk"/>
    <x v="0"/>
  </r>
  <r>
    <x v="1161"/>
    <n v="32"/>
    <x v="1"/>
    <s v="A+"/>
    <x v="5"/>
    <d v="2023-12-25T00:00:00"/>
    <x v="1155"/>
    <s v="Tran Wright and Vasquez,"/>
    <x v="1"/>
    <n v="28319.532207011602"/>
    <n v="227"/>
    <x v="2"/>
    <d v="2024-01-11T00:00:00"/>
    <s v="Lipitor"/>
    <x v="0"/>
    <s v="High"/>
    <s v="Under Treatment"/>
    <s v="High Risk"/>
    <x v="0"/>
  </r>
  <r>
    <x v="1162"/>
    <n v="38"/>
    <x v="1"/>
    <s v="O-"/>
    <x v="1"/>
    <d v="2021-12-08T00:00:00"/>
    <x v="1156"/>
    <s v="Simpson Inc"/>
    <x v="2"/>
    <n v="30372.4454383011"/>
    <n v="473"/>
    <x v="1"/>
    <d v="2021-12-14T00:00:00"/>
    <s v="Paracetamol"/>
    <x v="0"/>
    <s v="High"/>
    <s v="Under Treatment"/>
    <s v="High Risk"/>
    <x v="3"/>
  </r>
  <r>
    <x v="1163"/>
    <n v="67"/>
    <x v="1"/>
    <s v="A+"/>
    <x v="3"/>
    <d v="2020-08-02T00:00:00"/>
    <x v="1157"/>
    <s v="Inc Robinson"/>
    <x v="1"/>
    <n v="48503.289842389902"/>
    <n v="149"/>
    <x v="0"/>
    <d v="2020-08-17T00:00:00"/>
    <s v="Ibuprofen"/>
    <x v="1"/>
    <s v="High"/>
    <s v="Under Treatment"/>
    <s v="High Risk"/>
    <x v="2"/>
  </r>
  <r>
    <x v="1164"/>
    <n v="78"/>
    <x v="0"/>
    <s v="AB-"/>
    <x v="1"/>
    <d v="2023-10-01T00:00:00"/>
    <x v="1158"/>
    <s v="Matthews-Mcbride"/>
    <x v="3"/>
    <n v="22247.437482013502"/>
    <n v="385"/>
    <x v="0"/>
    <d v="2023-10-13T00:00:00"/>
    <s v="Penicillin"/>
    <x v="0"/>
    <s v="High"/>
    <s v="Under Treatment"/>
    <s v="High Risk"/>
    <x v="2"/>
  </r>
  <r>
    <x v="1165"/>
    <n v="33"/>
    <x v="1"/>
    <s v="AB+"/>
    <x v="0"/>
    <d v="2022-08-11T00:00:00"/>
    <x v="1159"/>
    <s v="Wright Sons and"/>
    <x v="0"/>
    <n v="37153.379739285599"/>
    <n v="280"/>
    <x v="0"/>
    <d v="2022-09-09T00:00:00"/>
    <s v="Aspirin"/>
    <x v="2"/>
    <s v="High"/>
    <s v="Under Treatment"/>
    <s v="High Risk"/>
    <x v="0"/>
  </r>
  <r>
    <x v="1166"/>
    <n v="33"/>
    <x v="1"/>
    <s v="O+"/>
    <x v="3"/>
    <d v="2022-01-15T00:00:00"/>
    <x v="1160"/>
    <s v="and Baird, Simmons Peters"/>
    <x v="3"/>
    <n v="37629.033299513903"/>
    <n v="387"/>
    <x v="1"/>
    <d v="2022-02-03T00:00:00"/>
    <s v="Aspirin"/>
    <x v="1"/>
    <s v="High"/>
    <s v="Under Treatment"/>
    <s v="High Risk"/>
    <x v="0"/>
  </r>
  <r>
    <x v="1167"/>
    <n v="19"/>
    <x v="1"/>
    <s v="A-"/>
    <x v="2"/>
    <d v="2022-03-29T00:00:00"/>
    <x v="1161"/>
    <s v="Higgins Inc"/>
    <x v="1"/>
    <n v="34092.483294006801"/>
    <n v="358"/>
    <x v="0"/>
    <d v="2022-04-10T00:00:00"/>
    <s v="Aspirin"/>
    <x v="1"/>
    <s v="High"/>
    <s v="Under Treatment"/>
    <s v="High Risk"/>
    <x v="0"/>
  </r>
  <r>
    <x v="1168"/>
    <n v="66"/>
    <x v="0"/>
    <s v="B+"/>
    <x v="5"/>
    <d v="2022-12-30T00:00:00"/>
    <x v="1162"/>
    <s v="Benitez-Nguyen"/>
    <x v="0"/>
    <n v="24768.456525215999"/>
    <n v="310"/>
    <x v="1"/>
    <d v="2023-01-15T00:00:00"/>
    <s v="Paracetamol"/>
    <x v="1"/>
    <s v="High"/>
    <s v="Under Treatment"/>
    <s v="High Risk"/>
    <x v="2"/>
  </r>
  <r>
    <x v="1169"/>
    <n v="43"/>
    <x v="1"/>
    <s v="A-"/>
    <x v="4"/>
    <d v="2021-10-13T00:00:00"/>
    <x v="1163"/>
    <s v="Terry Ltd"/>
    <x v="4"/>
    <n v="671.52702837535196"/>
    <n v="310"/>
    <x v="0"/>
    <d v="2021-10-17T00:00:00"/>
    <s v="Aspirin"/>
    <x v="1"/>
    <s v="Low"/>
    <s v="Under Treatment"/>
    <s v="High Risk"/>
    <x v="3"/>
  </r>
  <r>
    <x v="1170"/>
    <n v="30"/>
    <x v="0"/>
    <s v="O+"/>
    <x v="4"/>
    <d v="2021-06-21T00:00:00"/>
    <x v="1164"/>
    <s v="Long-Golden"/>
    <x v="3"/>
    <n v="28035.937828739799"/>
    <n v="379"/>
    <x v="1"/>
    <d v="2021-07-19T00:00:00"/>
    <s v="Penicillin"/>
    <x v="0"/>
    <s v="High"/>
    <s v="Under Treatment"/>
    <s v="High Risk"/>
    <x v="0"/>
  </r>
  <r>
    <x v="1171"/>
    <n v="66"/>
    <x v="1"/>
    <s v="B-"/>
    <x v="2"/>
    <d v="2023-01-05T00:00:00"/>
    <x v="1165"/>
    <s v="Clark-Rivers"/>
    <x v="0"/>
    <n v="41982.110192543201"/>
    <n v="495"/>
    <x v="0"/>
    <d v="2023-01-12T00:00:00"/>
    <s v="Ibuprofen"/>
    <x v="1"/>
    <s v="High"/>
    <s v="Under Treatment"/>
    <s v="High Risk"/>
    <x v="2"/>
  </r>
  <r>
    <x v="1172"/>
    <n v="68"/>
    <x v="1"/>
    <s v="A+"/>
    <x v="1"/>
    <d v="2020-11-04T00:00:00"/>
    <x v="1166"/>
    <s v="Inc Jones"/>
    <x v="2"/>
    <n v="45832.835245312301"/>
    <n v="236"/>
    <x v="0"/>
    <d v="2020-11-17T00:00:00"/>
    <s v="Ibuprofen"/>
    <x v="1"/>
    <s v="High"/>
    <s v="Under Treatment"/>
    <s v="High Risk"/>
    <x v="2"/>
  </r>
  <r>
    <x v="1173"/>
    <n v="72"/>
    <x v="1"/>
    <s v="AB-"/>
    <x v="1"/>
    <d v="2023-06-13T00:00:00"/>
    <x v="1167"/>
    <s v="and Meadows, Thomas Vaughn"/>
    <x v="4"/>
    <n v="17172.0098827398"/>
    <n v="347"/>
    <x v="1"/>
    <d v="2023-07-06T00:00:00"/>
    <s v="Lipitor"/>
    <x v="0"/>
    <s v="High"/>
    <s v="Under Treatment"/>
    <s v="High Risk"/>
    <x v="2"/>
  </r>
  <r>
    <x v="1174"/>
    <n v="44"/>
    <x v="1"/>
    <s v="A+"/>
    <x v="4"/>
    <d v="2019-10-19T00:00:00"/>
    <x v="1168"/>
    <s v="Clark-Leon"/>
    <x v="4"/>
    <n v="22992.305851943001"/>
    <n v="499"/>
    <x v="2"/>
    <d v="2019-11-06T00:00:00"/>
    <s v="Paracetamol"/>
    <x v="1"/>
    <s v="High"/>
    <s v="Under Treatment"/>
    <s v="High Risk"/>
    <x v="3"/>
  </r>
  <r>
    <x v="1175"/>
    <n v="44"/>
    <x v="1"/>
    <s v="O+"/>
    <x v="1"/>
    <d v="2021-07-27T00:00:00"/>
    <x v="1169"/>
    <s v="Burton-Hernandez"/>
    <x v="2"/>
    <n v="37516.602334624498"/>
    <n v="483"/>
    <x v="1"/>
    <d v="2021-08-20T00:00:00"/>
    <s v="Penicillin"/>
    <x v="2"/>
    <s v="High"/>
    <s v="Under Treatment"/>
    <s v="High Risk"/>
    <x v="3"/>
  </r>
  <r>
    <x v="1176"/>
    <n v="70"/>
    <x v="0"/>
    <s v="O-"/>
    <x v="1"/>
    <d v="2021-05-03T00:00:00"/>
    <x v="1170"/>
    <s v="Wilson Ltd"/>
    <x v="3"/>
    <n v="32798.1956413605"/>
    <n v="120"/>
    <x v="0"/>
    <d v="2021-06-02T00:00:00"/>
    <s v="Paracetamol"/>
    <x v="0"/>
    <s v="High"/>
    <s v="Under Treatment"/>
    <s v="High Risk"/>
    <x v="2"/>
  </r>
  <r>
    <x v="1177"/>
    <n v="34"/>
    <x v="1"/>
    <s v="B+"/>
    <x v="1"/>
    <d v="2023-06-10T00:00:00"/>
    <x v="1171"/>
    <s v="Randall-Castaneda"/>
    <x v="4"/>
    <n v="44231.803918596699"/>
    <n v="163"/>
    <x v="1"/>
    <d v="2023-06-20T00:00:00"/>
    <s v="Ibuprofen"/>
    <x v="2"/>
    <s v="High"/>
    <s v="Under Treatment"/>
    <s v="High Risk"/>
    <x v="0"/>
  </r>
  <r>
    <x v="1178"/>
    <n v="28"/>
    <x v="0"/>
    <s v="AB+"/>
    <x v="5"/>
    <d v="2019-08-12T00:00:00"/>
    <x v="1172"/>
    <s v="Inc Griffin"/>
    <x v="3"/>
    <n v="35976.358603824199"/>
    <n v="340"/>
    <x v="1"/>
    <d v="2019-08-20T00:00:00"/>
    <s v="Lipitor"/>
    <x v="0"/>
    <s v="High"/>
    <s v="Under Treatment"/>
    <s v="High Risk"/>
    <x v="0"/>
  </r>
  <r>
    <x v="1179"/>
    <n v="50"/>
    <x v="1"/>
    <s v="O+"/>
    <x v="3"/>
    <d v="2020-05-05T00:00:00"/>
    <x v="1173"/>
    <s v="Fry LLC"/>
    <x v="3"/>
    <n v="20713.737231116302"/>
    <n v="102"/>
    <x v="1"/>
    <d v="2020-05-11T00:00:00"/>
    <s v="Ibuprofen"/>
    <x v="0"/>
    <s v="High"/>
    <s v="Under Treatment"/>
    <s v="High Risk"/>
    <x v="3"/>
  </r>
  <r>
    <x v="1180"/>
    <n v="48"/>
    <x v="1"/>
    <s v="A+"/>
    <x v="1"/>
    <d v="2021-11-18T00:00:00"/>
    <x v="1174"/>
    <s v="Williams Ltd"/>
    <x v="0"/>
    <n v="49458.498262443303"/>
    <n v="209"/>
    <x v="0"/>
    <d v="2021-12-13T00:00:00"/>
    <s v="Aspirin"/>
    <x v="1"/>
    <s v="High"/>
    <s v="Under Treatment"/>
    <s v="High Risk"/>
    <x v="3"/>
  </r>
  <r>
    <x v="1181"/>
    <n v="77"/>
    <x v="1"/>
    <s v="B+"/>
    <x v="5"/>
    <d v="2023-03-20T00:00:00"/>
    <x v="1175"/>
    <s v="Group Alexander"/>
    <x v="0"/>
    <n v="33999.229816971798"/>
    <n v="296"/>
    <x v="0"/>
    <d v="2023-04-04T00:00:00"/>
    <s v="Aspirin"/>
    <x v="2"/>
    <s v="High"/>
    <s v="Under Treatment"/>
    <s v="High Risk"/>
    <x v="2"/>
  </r>
  <r>
    <x v="1182"/>
    <n v="22"/>
    <x v="0"/>
    <s v="AB-"/>
    <x v="0"/>
    <d v="2022-09-24T00:00:00"/>
    <x v="1176"/>
    <s v="PLC Williams"/>
    <x v="2"/>
    <n v="29133.322029068098"/>
    <n v="354"/>
    <x v="2"/>
    <d v="2022-09-25T00:00:00"/>
    <s v="Penicillin"/>
    <x v="0"/>
    <s v="High"/>
    <s v="Under Treatment"/>
    <s v="High Risk"/>
    <x v="0"/>
  </r>
  <r>
    <x v="1183"/>
    <n v="57"/>
    <x v="0"/>
    <s v="B+"/>
    <x v="1"/>
    <d v="2023-10-17T00:00:00"/>
    <x v="1177"/>
    <s v="PLC Smith"/>
    <x v="0"/>
    <n v="34264.865479276901"/>
    <n v="142"/>
    <x v="0"/>
    <d v="2023-10-30T00:00:00"/>
    <s v="Paracetamol"/>
    <x v="1"/>
    <s v="High"/>
    <s v="Under Treatment"/>
    <s v="High Risk"/>
    <x v="1"/>
  </r>
  <r>
    <x v="1184"/>
    <n v="64"/>
    <x v="1"/>
    <s v="A+"/>
    <x v="3"/>
    <d v="2021-12-22T00:00:00"/>
    <x v="1178"/>
    <s v="Washington, Moran and Le"/>
    <x v="0"/>
    <n v="34508.720315772502"/>
    <n v="389"/>
    <x v="1"/>
    <d v="2022-01-13T00:00:00"/>
    <s v="Penicillin"/>
    <x v="2"/>
    <s v="High"/>
    <s v="Under Treatment"/>
    <s v="High Risk"/>
    <x v="1"/>
  </r>
  <r>
    <x v="1185"/>
    <n v="57"/>
    <x v="0"/>
    <s v="O+"/>
    <x v="3"/>
    <d v="2020-10-04T00:00:00"/>
    <x v="1179"/>
    <s v="Lowe-Bruce"/>
    <x v="2"/>
    <n v="34898.359062550102"/>
    <n v="168"/>
    <x v="0"/>
    <d v="2020-10-29T00:00:00"/>
    <s v="Penicillin"/>
    <x v="1"/>
    <s v="High"/>
    <s v="Under Treatment"/>
    <s v="High Risk"/>
    <x v="1"/>
  </r>
  <r>
    <x v="1186"/>
    <n v="41"/>
    <x v="0"/>
    <s v="AB-"/>
    <x v="1"/>
    <d v="2023-12-19T00:00:00"/>
    <x v="1180"/>
    <s v="Smith, Miller Rosario and"/>
    <x v="3"/>
    <n v="30881.359425522201"/>
    <n v="377"/>
    <x v="1"/>
    <d v="2023-12-25T00:00:00"/>
    <s v="Penicillin"/>
    <x v="1"/>
    <s v="High"/>
    <s v="Under Treatment"/>
    <s v="High Risk"/>
    <x v="3"/>
  </r>
  <r>
    <x v="1187"/>
    <n v="47"/>
    <x v="0"/>
    <s v="B-"/>
    <x v="1"/>
    <d v="2022-05-29T00:00:00"/>
    <x v="1181"/>
    <s v="PLC Mendez"/>
    <x v="1"/>
    <n v="12635.805365423401"/>
    <n v="483"/>
    <x v="0"/>
    <d v="2022-06-18T00:00:00"/>
    <s v="Paracetamol"/>
    <x v="0"/>
    <s v="Medium"/>
    <s v="Under Treatment"/>
    <s v="High Risk"/>
    <x v="3"/>
  </r>
  <r>
    <x v="1188"/>
    <n v="33"/>
    <x v="0"/>
    <s v="A+"/>
    <x v="0"/>
    <d v="2021-10-30T00:00:00"/>
    <x v="1182"/>
    <s v="Bowman-Young"/>
    <x v="2"/>
    <n v="36340.426851139797"/>
    <n v="175"/>
    <x v="1"/>
    <d v="2021-11-08T00:00:00"/>
    <s v="Lipitor"/>
    <x v="0"/>
    <s v="High"/>
    <s v="Under Treatment"/>
    <s v="High Risk"/>
    <x v="0"/>
  </r>
  <r>
    <x v="1189"/>
    <n v="41"/>
    <x v="0"/>
    <s v="AB-"/>
    <x v="1"/>
    <d v="2020-06-05T00:00:00"/>
    <x v="1183"/>
    <s v="and Sons Holmes"/>
    <x v="0"/>
    <n v="18387.266955511001"/>
    <n v="455"/>
    <x v="2"/>
    <d v="2020-06-10T00:00:00"/>
    <s v="Penicillin"/>
    <x v="0"/>
    <s v="High"/>
    <s v="Under Treatment"/>
    <s v="High Risk"/>
    <x v="3"/>
  </r>
  <r>
    <x v="1190"/>
    <n v="23"/>
    <x v="1"/>
    <s v="A+"/>
    <x v="1"/>
    <d v="2023-10-13T00:00:00"/>
    <x v="1184"/>
    <s v="Shaw Inc"/>
    <x v="1"/>
    <n v="32731.724219053802"/>
    <n v="289"/>
    <x v="1"/>
    <d v="2023-11-06T00:00:00"/>
    <s v="Lipitor"/>
    <x v="0"/>
    <s v="High"/>
    <s v="Under Treatment"/>
    <s v="High Risk"/>
    <x v="0"/>
  </r>
  <r>
    <x v="1191"/>
    <n v="71"/>
    <x v="1"/>
    <s v="AB-"/>
    <x v="0"/>
    <d v="2020-08-29T00:00:00"/>
    <x v="1185"/>
    <s v="LLC Wood"/>
    <x v="1"/>
    <n v="34162.484810091599"/>
    <n v="255"/>
    <x v="0"/>
    <d v="2020-09-02T00:00:00"/>
    <s v="Ibuprofen"/>
    <x v="1"/>
    <s v="High"/>
    <s v="Under Treatment"/>
    <s v="High Risk"/>
    <x v="2"/>
  </r>
  <r>
    <x v="1192"/>
    <n v="67"/>
    <x v="0"/>
    <s v="A+"/>
    <x v="2"/>
    <d v="2022-05-01T00:00:00"/>
    <x v="1186"/>
    <s v="Rice, Thompson Williams and"/>
    <x v="4"/>
    <n v="20545.9393544294"/>
    <n v="242"/>
    <x v="0"/>
    <d v="2022-05-23T00:00:00"/>
    <s v="Paracetamol"/>
    <x v="0"/>
    <s v="High"/>
    <s v="Under Treatment"/>
    <s v="High Risk"/>
    <x v="2"/>
  </r>
  <r>
    <x v="1193"/>
    <n v="57"/>
    <x v="0"/>
    <s v="B+"/>
    <x v="2"/>
    <d v="2022-04-12T00:00:00"/>
    <x v="1187"/>
    <s v="Lee-Edwards"/>
    <x v="4"/>
    <n v="14209.7600515217"/>
    <n v="160"/>
    <x v="0"/>
    <d v="2022-05-10T00:00:00"/>
    <s v="Aspirin"/>
    <x v="0"/>
    <s v="Medium"/>
    <s v="Under Treatment"/>
    <s v="High Risk"/>
    <x v="1"/>
  </r>
  <r>
    <x v="1194"/>
    <n v="36"/>
    <x v="1"/>
    <s v="A+"/>
    <x v="0"/>
    <d v="2021-12-24T00:00:00"/>
    <x v="1188"/>
    <s v="Price-Keller"/>
    <x v="3"/>
    <n v="9588.9472214834004"/>
    <n v="117"/>
    <x v="0"/>
    <d v="2022-01-17T00:00:00"/>
    <s v="Ibuprofen"/>
    <x v="1"/>
    <s v="Medium"/>
    <s v="Under Treatment"/>
    <s v="High Risk"/>
    <x v="3"/>
  </r>
  <r>
    <x v="1195"/>
    <n v="85"/>
    <x v="1"/>
    <s v="A+"/>
    <x v="2"/>
    <d v="2021-07-18T00:00:00"/>
    <x v="1189"/>
    <s v="Jones-George"/>
    <x v="4"/>
    <n v="35006.015877985097"/>
    <n v="138"/>
    <x v="0"/>
    <d v="2021-07-21T00:00:00"/>
    <s v="Lipitor"/>
    <x v="2"/>
    <s v="High"/>
    <s v="Under Treatment"/>
    <s v="High Risk"/>
    <x v="2"/>
  </r>
  <r>
    <x v="1196"/>
    <n v="76"/>
    <x v="0"/>
    <s v="O-"/>
    <x v="5"/>
    <d v="2020-03-31T00:00:00"/>
    <x v="1190"/>
    <s v="Hebert and Morgan, Wilson"/>
    <x v="2"/>
    <n v="38755.113450823897"/>
    <n v="484"/>
    <x v="2"/>
    <d v="2020-04-15T00:00:00"/>
    <s v="Paracetamol"/>
    <x v="2"/>
    <s v="High"/>
    <s v="Under Treatment"/>
    <s v="High Risk"/>
    <x v="2"/>
  </r>
  <r>
    <x v="1197"/>
    <n v="25"/>
    <x v="1"/>
    <s v="AB+"/>
    <x v="4"/>
    <d v="2023-08-21T00:00:00"/>
    <x v="1191"/>
    <s v="and Mayo Chen, Murray"/>
    <x v="1"/>
    <n v="49400.2140280116"/>
    <n v="296"/>
    <x v="0"/>
    <d v="2023-08-24T00:00:00"/>
    <s v="Penicillin"/>
    <x v="0"/>
    <s v="High"/>
    <s v="Under Treatment"/>
    <s v="High Risk"/>
    <x v="0"/>
  </r>
  <r>
    <x v="1198"/>
    <n v="38"/>
    <x v="1"/>
    <s v="B+"/>
    <x v="5"/>
    <d v="2024-04-15T00:00:00"/>
    <x v="1192"/>
    <s v="Jennings Group"/>
    <x v="4"/>
    <n v="36067.821911880797"/>
    <n v="194"/>
    <x v="2"/>
    <d v="2024-05-09T00:00:00"/>
    <s v="Paracetamol"/>
    <x v="1"/>
    <s v="High"/>
    <s v="Under Treatment"/>
    <s v="High Risk"/>
    <x v="3"/>
  </r>
  <r>
    <x v="1199"/>
    <n v="59"/>
    <x v="0"/>
    <s v="AB-"/>
    <x v="0"/>
    <d v="2023-08-22T00:00:00"/>
    <x v="1193"/>
    <s v="Parker, and Parker Macdonald"/>
    <x v="4"/>
    <n v="34318.346456887499"/>
    <n v="319"/>
    <x v="0"/>
    <d v="2023-08-27T00:00:00"/>
    <s v="Aspirin"/>
    <x v="1"/>
    <s v="High"/>
    <s v="Under Treatment"/>
    <s v="High Risk"/>
    <x v="1"/>
  </r>
  <r>
    <x v="1200"/>
    <n v="21"/>
    <x v="0"/>
    <s v="A-"/>
    <x v="3"/>
    <d v="2023-03-09T00:00:00"/>
    <x v="1194"/>
    <s v="Ltd Potts"/>
    <x v="4"/>
    <n v="26527.557302404701"/>
    <n v="137"/>
    <x v="2"/>
    <d v="2023-03-28T00:00:00"/>
    <s v="Penicillin"/>
    <x v="1"/>
    <s v="High"/>
    <s v="Under Treatment"/>
    <s v="High Risk"/>
    <x v="0"/>
  </r>
  <r>
    <x v="1201"/>
    <n v="50"/>
    <x v="1"/>
    <s v="A+"/>
    <x v="0"/>
    <d v="2022-09-25T00:00:00"/>
    <x v="1195"/>
    <s v="and Allen Anderson, Rivera"/>
    <x v="4"/>
    <n v="23698.708553919201"/>
    <n v="467"/>
    <x v="0"/>
    <d v="2022-10-25T00:00:00"/>
    <s v="Ibuprofen"/>
    <x v="0"/>
    <s v="High"/>
    <s v="Under Treatment"/>
    <s v="High Risk"/>
    <x v="3"/>
  </r>
  <r>
    <x v="1202"/>
    <n v="64"/>
    <x v="0"/>
    <s v="AB-"/>
    <x v="1"/>
    <d v="2024-02-24T00:00:00"/>
    <x v="1196"/>
    <s v="Bell-Hernandez"/>
    <x v="2"/>
    <n v="38160.744868472801"/>
    <n v="257"/>
    <x v="0"/>
    <d v="2024-02-29T00:00:00"/>
    <s v="Penicillin"/>
    <x v="2"/>
    <s v="High"/>
    <s v="Under Treatment"/>
    <s v="High Risk"/>
    <x v="1"/>
  </r>
  <r>
    <x v="1203"/>
    <n v="68"/>
    <x v="1"/>
    <s v="A+"/>
    <x v="5"/>
    <d v="2023-01-25T00:00:00"/>
    <x v="1197"/>
    <s v="Chavez-Chapman"/>
    <x v="0"/>
    <n v="8976.3981887850696"/>
    <n v="462"/>
    <x v="1"/>
    <d v="2023-01-26T00:00:00"/>
    <s v="Aspirin"/>
    <x v="1"/>
    <s v="Medium"/>
    <s v="Under Treatment"/>
    <s v="High Risk"/>
    <x v="2"/>
  </r>
  <r>
    <x v="1204"/>
    <n v="30"/>
    <x v="0"/>
    <s v="A-"/>
    <x v="2"/>
    <d v="2020-06-25T00:00:00"/>
    <x v="1198"/>
    <s v="Wade Savage, Harrington and"/>
    <x v="0"/>
    <n v="26138.880435518298"/>
    <n v="132"/>
    <x v="1"/>
    <d v="2020-07-10T00:00:00"/>
    <s v="Paracetamol"/>
    <x v="2"/>
    <s v="High"/>
    <s v="Under Treatment"/>
    <s v="High Risk"/>
    <x v="0"/>
  </r>
  <r>
    <x v="1205"/>
    <n v="51"/>
    <x v="1"/>
    <s v="B-"/>
    <x v="1"/>
    <d v="2024-03-16T00:00:00"/>
    <x v="1199"/>
    <s v="Burns-Smith"/>
    <x v="1"/>
    <n v="5264.1773476844601"/>
    <n v="459"/>
    <x v="1"/>
    <d v="2024-03-18T00:00:00"/>
    <s v="Lipitor"/>
    <x v="2"/>
    <s v="Medium"/>
    <s v="Under Treatment"/>
    <s v="High Risk"/>
    <x v="1"/>
  </r>
  <r>
    <x v="1206"/>
    <n v="81"/>
    <x v="1"/>
    <s v="A-"/>
    <x v="5"/>
    <d v="2020-12-11T00:00:00"/>
    <x v="1200"/>
    <s v="Serrano Group"/>
    <x v="3"/>
    <n v="13386.3520571022"/>
    <n v="189"/>
    <x v="0"/>
    <d v="2020-12-12T00:00:00"/>
    <s v="Lipitor"/>
    <x v="1"/>
    <s v="Medium"/>
    <s v="Under Treatment"/>
    <s v="High Risk"/>
    <x v="2"/>
  </r>
  <r>
    <x v="1207"/>
    <n v="27"/>
    <x v="0"/>
    <s v="AB+"/>
    <x v="0"/>
    <d v="2023-02-11T00:00:00"/>
    <x v="1201"/>
    <s v="and Gentry Rich, King"/>
    <x v="0"/>
    <n v="21528.2607578475"/>
    <n v="180"/>
    <x v="0"/>
    <d v="2023-03-02T00:00:00"/>
    <s v="Penicillin"/>
    <x v="0"/>
    <s v="High"/>
    <s v="Under Treatment"/>
    <s v="High Risk"/>
    <x v="0"/>
  </r>
  <r>
    <x v="1208"/>
    <n v="42"/>
    <x v="1"/>
    <s v="O-"/>
    <x v="5"/>
    <d v="2022-04-18T00:00:00"/>
    <x v="1202"/>
    <s v="Ortega, Taylor Berry and"/>
    <x v="3"/>
    <n v="44407.343247251003"/>
    <n v="192"/>
    <x v="0"/>
    <d v="2022-04-22T00:00:00"/>
    <s v="Paracetamol"/>
    <x v="2"/>
    <s v="High"/>
    <s v="Under Treatment"/>
    <s v="High Risk"/>
    <x v="3"/>
  </r>
  <r>
    <x v="1209"/>
    <n v="35"/>
    <x v="1"/>
    <s v="A-"/>
    <x v="0"/>
    <d v="2021-12-11T00:00:00"/>
    <x v="1203"/>
    <s v="Mitchell-Ryan"/>
    <x v="4"/>
    <n v="10498.9947844259"/>
    <n v="426"/>
    <x v="2"/>
    <d v="2021-12-17T00:00:00"/>
    <s v="Aspirin"/>
    <x v="1"/>
    <s v="Medium"/>
    <s v="Under Treatment"/>
    <s v="High Risk"/>
    <x v="0"/>
  </r>
  <r>
    <x v="1210"/>
    <n v="44"/>
    <x v="0"/>
    <s v="A+"/>
    <x v="2"/>
    <d v="2020-08-03T00:00:00"/>
    <x v="1204"/>
    <s v="Johnson-Nichols"/>
    <x v="3"/>
    <n v="14558.1904366169"/>
    <n v="121"/>
    <x v="2"/>
    <d v="2020-08-31T00:00:00"/>
    <s v="Ibuprofen"/>
    <x v="1"/>
    <s v="Medium"/>
    <s v="Under Treatment"/>
    <s v="High Risk"/>
    <x v="3"/>
  </r>
  <r>
    <x v="1211"/>
    <n v="49"/>
    <x v="1"/>
    <s v="O+"/>
    <x v="1"/>
    <d v="2020-01-19T00:00:00"/>
    <x v="1205"/>
    <s v="Mercado-Brown"/>
    <x v="0"/>
    <n v="18181.5338369007"/>
    <n v="416"/>
    <x v="1"/>
    <d v="2020-02-10T00:00:00"/>
    <s v="Aspirin"/>
    <x v="1"/>
    <s v="High"/>
    <s v="Under Treatment"/>
    <s v="High Risk"/>
    <x v="3"/>
  </r>
  <r>
    <x v="1212"/>
    <n v="73"/>
    <x v="0"/>
    <s v="AB+"/>
    <x v="3"/>
    <d v="2020-12-25T00:00:00"/>
    <x v="1206"/>
    <s v="Sparks PLC"/>
    <x v="0"/>
    <n v="23934.241144489501"/>
    <n v="366"/>
    <x v="0"/>
    <d v="2021-01-11T00:00:00"/>
    <s v="Penicillin"/>
    <x v="0"/>
    <s v="High"/>
    <s v="Under Treatment"/>
    <s v="High Risk"/>
    <x v="2"/>
  </r>
  <r>
    <x v="1213"/>
    <n v="40"/>
    <x v="0"/>
    <s v="B+"/>
    <x v="4"/>
    <d v="2022-04-25T00:00:00"/>
    <x v="1207"/>
    <s v="Frey and Wise, Mendez"/>
    <x v="1"/>
    <n v="41365.004775171103"/>
    <n v="265"/>
    <x v="2"/>
    <d v="2022-04-29T00:00:00"/>
    <s v="Paracetamol"/>
    <x v="1"/>
    <s v="High"/>
    <s v="Under Treatment"/>
    <s v="High Risk"/>
    <x v="3"/>
  </r>
  <r>
    <x v="1214"/>
    <n v="81"/>
    <x v="0"/>
    <s v="O+"/>
    <x v="0"/>
    <d v="2022-12-29T00:00:00"/>
    <x v="1208"/>
    <s v="Inc Pruitt"/>
    <x v="2"/>
    <n v="33473.550132043703"/>
    <n v="132"/>
    <x v="2"/>
    <d v="2023-01-04T00:00:00"/>
    <s v="Lipitor"/>
    <x v="1"/>
    <s v="High"/>
    <s v="Under Treatment"/>
    <s v="High Risk"/>
    <x v="2"/>
  </r>
  <r>
    <x v="1215"/>
    <n v="38"/>
    <x v="1"/>
    <s v="O+"/>
    <x v="1"/>
    <d v="2021-02-27T00:00:00"/>
    <x v="1209"/>
    <s v="Weeks, Carey Johnson and"/>
    <x v="0"/>
    <n v="31013.919504426402"/>
    <n v="317"/>
    <x v="0"/>
    <d v="2021-03-16T00:00:00"/>
    <s v="Aspirin"/>
    <x v="1"/>
    <s v="High"/>
    <s v="Under Treatment"/>
    <s v="High Risk"/>
    <x v="3"/>
  </r>
  <r>
    <x v="1216"/>
    <n v="58"/>
    <x v="1"/>
    <s v="AB+"/>
    <x v="4"/>
    <d v="2023-08-12T00:00:00"/>
    <x v="1210"/>
    <s v="Jones-Buchanan"/>
    <x v="2"/>
    <n v="41438.753496191297"/>
    <n v="363"/>
    <x v="0"/>
    <d v="2023-08-18T00:00:00"/>
    <s v="Lipitor"/>
    <x v="1"/>
    <s v="High"/>
    <s v="Under Treatment"/>
    <s v="High Risk"/>
    <x v="1"/>
  </r>
  <r>
    <x v="1217"/>
    <n v="67"/>
    <x v="1"/>
    <s v="B+"/>
    <x v="3"/>
    <d v="2021-08-06T00:00:00"/>
    <x v="1211"/>
    <s v="Sons Allison and"/>
    <x v="3"/>
    <n v="6186.1333073834203"/>
    <n v="434"/>
    <x v="0"/>
    <d v="2021-08-31T00:00:00"/>
    <s v="Penicillin"/>
    <x v="1"/>
    <s v="Medium"/>
    <s v="Under Treatment"/>
    <s v="High Risk"/>
    <x v="2"/>
  </r>
  <r>
    <x v="1218"/>
    <n v="41"/>
    <x v="0"/>
    <s v="B-"/>
    <x v="2"/>
    <d v="2023-06-11T00:00:00"/>
    <x v="1212"/>
    <s v="Cunningham-Stephens"/>
    <x v="1"/>
    <n v="45005.5538859023"/>
    <n v="155"/>
    <x v="1"/>
    <d v="2023-06-13T00:00:00"/>
    <s v="Paracetamol"/>
    <x v="0"/>
    <s v="High"/>
    <s v="Under Treatment"/>
    <s v="High Risk"/>
    <x v="3"/>
  </r>
  <r>
    <x v="1219"/>
    <n v="22"/>
    <x v="0"/>
    <s v="AB+"/>
    <x v="2"/>
    <d v="2021-05-11T00:00:00"/>
    <x v="1213"/>
    <s v="Moore Morris Martinez, and"/>
    <x v="2"/>
    <n v="20874.0430262462"/>
    <n v="108"/>
    <x v="2"/>
    <d v="2021-05-16T00:00:00"/>
    <s v="Paracetamol"/>
    <x v="1"/>
    <s v="High"/>
    <s v="Under Treatment"/>
    <s v="High Risk"/>
    <x v="0"/>
  </r>
  <r>
    <x v="1220"/>
    <n v="55"/>
    <x v="1"/>
    <s v="O+"/>
    <x v="0"/>
    <d v="2023-04-17T00:00:00"/>
    <x v="1214"/>
    <s v="French Ltd"/>
    <x v="3"/>
    <n v="13964.1548057158"/>
    <n v="146"/>
    <x v="1"/>
    <d v="2023-05-06T00:00:00"/>
    <s v="Ibuprofen"/>
    <x v="1"/>
    <s v="Medium"/>
    <s v="Under Treatment"/>
    <s v="High Risk"/>
    <x v="1"/>
  </r>
  <r>
    <x v="1221"/>
    <n v="45"/>
    <x v="1"/>
    <s v="O+"/>
    <x v="2"/>
    <d v="2021-04-23T00:00:00"/>
    <x v="1215"/>
    <s v="Nicholson-Perez"/>
    <x v="2"/>
    <n v="38146.999686757801"/>
    <n v="491"/>
    <x v="0"/>
    <d v="2021-05-11T00:00:00"/>
    <s v="Aspirin"/>
    <x v="2"/>
    <s v="High"/>
    <s v="Under Treatment"/>
    <s v="High Risk"/>
    <x v="3"/>
  </r>
  <r>
    <x v="1222"/>
    <n v="77"/>
    <x v="1"/>
    <s v="B-"/>
    <x v="3"/>
    <d v="2021-08-25T00:00:00"/>
    <x v="1216"/>
    <s v="Bradshaw-Meadows"/>
    <x v="2"/>
    <n v="7271.6441842424902"/>
    <n v="352"/>
    <x v="2"/>
    <d v="2021-08-26T00:00:00"/>
    <s v="Aspirin"/>
    <x v="2"/>
    <s v="Medium"/>
    <s v="Under Treatment"/>
    <s v="High Risk"/>
    <x v="2"/>
  </r>
  <r>
    <x v="1223"/>
    <n v="43"/>
    <x v="1"/>
    <s v="AB+"/>
    <x v="4"/>
    <d v="2021-05-19T00:00:00"/>
    <x v="1217"/>
    <s v="LLC Ferrell"/>
    <x v="1"/>
    <n v="8590.1907719611409"/>
    <n v="350"/>
    <x v="1"/>
    <d v="2021-05-30T00:00:00"/>
    <s v="Paracetamol"/>
    <x v="0"/>
    <s v="Medium"/>
    <s v="Under Treatment"/>
    <s v="High Risk"/>
    <x v="3"/>
  </r>
  <r>
    <x v="1224"/>
    <n v="19"/>
    <x v="1"/>
    <s v="A+"/>
    <x v="0"/>
    <d v="2021-10-03T00:00:00"/>
    <x v="1218"/>
    <s v="Weaver-Figueroa"/>
    <x v="1"/>
    <n v="18563.4476177777"/>
    <n v="242"/>
    <x v="1"/>
    <d v="2021-10-15T00:00:00"/>
    <s v="Ibuprofen"/>
    <x v="2"/>
    <s v="High"/>
    <s v="Under Treatment"/>
    <s v="High Risk"/>
    <x v="0"/>
  </r>
  <r>
    <x v="1225"/>
    <n v="57"/>
    <x v="1"/>
    <s v="B+"/>
    <x v="0"/>
    <d v="2022-05-27T00:00:00"/>
    <x v="1219"/>
    <s v="Hill-Bowman"/>
    <x v="0"/>
    <n v="40700.102063818798"/>
    <n v="285"/>
    <x v="0"/>
    <d v="2022-06-22T00:00:00"/>
    <s v="Penicillin"/>
    <x v="2"/>
    <s v="High"/>
    <s v="Under Treatment"/>
    <s v="High Risk"/>
    <x v="1"/>
  </r>
  <r>
    <x v="1226"/>
    <n v="72"/>
    <x v="0"/>
    <s v="O-"/>
    <x v="3"/>
    <d v="2021-04-21T00:00:00"/>
    <x v="1220"/>
    <s v="Fuller-Gilbert"/>
    <x v="1"/>
    <n v="27271.219659320999"/>
    <n v="204"/>
    <x v="1"/>
    <d v="2021-05-17T00:00:00"/>
    <s v="Aspirin"/>
    <x v="2"/>
    <s v="High"/>
    <s v="Under Treatment"/>
    <s v="High Risk"/>
    <x v="2"/>
  </r>
  <r>
    <x v="1227"/>
    <n v="30"/>
    <x v="1"/>
    <s v="A-"/>
    <x v="1"/>
    <d v="2023-09-30T00:00:00"/>
    <x v="1221"/>
    <s v="Cole-Montgomery"/>
    <x v="3"/>
    <n v="23082.2379996784"/>
    <n v="314"/>
    <x v="0"/>
    <d v="2023-10-12T00:00:00"/>
    <s v="Aspirin"/>
    <x v="1"/>
    <s v="High"/>
    <s v="Under Treatment"/>
    <s v="High Risk"/>
    <x v="0"/>
  </r>
  <r>
    <x v="1228"/>
    <n v="77"/>
    <x v="1"/>
    <s v="B-"/>
    <x v="1"/>
    <d v="2022-03-24T00:00:00"/>
    <x v="1222"/>
    <s v="Massey, and Snyder Bell"/>
    <x v="2"/>
    <n v="45956.226297793903"/>
    <n v="111"/>
    <x v="2"/>
    <d v="2022-04-21T00:00:00"/>
    <s v="Penicillin"/>
    <x v="2"/>
    <s v="High"/>
    <s v="Under Treatment"/>
    <s v="High Risk"/>
    <x v="2"/>
  </r>
  <r>
    <x v="1229"/>
    <n v="83"/>
    <x v="0"/>
    <s v="O-"/>
    <x v="1"/>
    <d v="2019-07-20T00:00:00"/>
    <x v="1223"/>
    <s v="Garcia-Farmer"/>
    <x v="0"/>
    <n v="25857.538782583099"/>
    <n v="339"/>
    <x v="1"/>
    <d v="2019-08-07T00:00:00"/>
    <s v="Penicillin"/>
    <x v="1"/>
    <s v="High"/>
    <s v="Under Treatment"/>
    <s v="High Risk"/>
    <x v="2"/>
  </r>
  <r>
    <x v="1230"/>
    <n v="70"/>
    <x v="0"/>
    <s v="AB+"/>
    <x v="5"/>
    <d v="2021-04-04T00:00:00"/>
    <x v="1224"/>
    <s v="Anderson-Cox"/>
    <x v="0"/>
    <n v="24692.839105096999"/>
    <n v="362"/>
    <x v="1"/>
    <d v="2021-04-16T00:00:00"/>
    <s v="Penicillin"/>
    <x v="2"/>
    <s v="High"/>
    <s v="Under Treatment"/>
    <s v="High Risk"/>
    <x v="2"/>
  </r>
  <r>
    <x v="1231"/>
    <n v="31"/>
    <x v="0"/>
    <s v="A+"/>
    <x v="4"/>
    <d v="2020-04-04T00:00:00"/>
    <x v="1225"/>
    <s v="Inc Garcia"/>
    <x v="0"/>
    <n v="40818.296958477003"/>
    <n v="158"/>
    <x v="2"/>
    <d v="2020-04-05T00:00:00"/>
    <s v="Ibuprofen"/>
    <x v="2"/>
    <s v="High"/>
    <s v="Under Treatment"/>
    <s v="High Risk"/>
    <x v="0"/>
  </r>
  <r>
    <x v="1232"/>
    <n v="36"/>
    <x v="1"/>
    <s v="B-"/>
    <x v="4"/>
    <d v="2021-09-17T00:00:00"/>
    <x v="1226"/>
    <s v="Harper Ltd"/>
    <x v="0"/>
    <n v="14854.8499839203"/>
    <n v="314"/>
    <x v="1"/>
    <d v="2021-09-25T00:00:00"/>
    <s v="Aspirin"/>
    <x v="1"/>
    <s v="Medium"/>
    <s v="Under Treatment"/>
    <s v="High Risk"/>
    <x v="3"/>
  </r>
  <r>
    <x v="1233"/>
    <n v="85"/>
    <x v="1"/>
    <s v="A-"/>
    <x v="5"/>
    <d v="2023-01-03T00:00:00"/>
    <x v="1227"/>
    <s v="Smith-Mack"/>
    <x v="0"/>
    <n v="28906.050682606001"/>
    <n v="267"/>
    <x v="1"/>
    <d v="2023-01-04T00:00:00"/>
    <s v="Aspirin"/>
    <x v="2"/>
    <s v="High"/>
    <s v="Under Treatment"/>
    <s v="High Risk"/>
    <x v="2"/>
  </r>
  <r>
    <x v="1234"/>
    <n v="78"/>
    <x v="1"/>
    <s v="B+"/>
    <x v="2"/>
    <d v="2022-10-31T00:00:00"/>
    <x v="1228"/>
    <s v="Greene-Garrett"/>
    <x v="0"/>
    <n v="11702.1199833262"/>
    <n v="462"/>
    <x v="1"/>
    <d v="2022-11-25T00:00:00"/>
    <s v="Lipitor"/>
    <x v="2"/>
    <s v="Medium"/>
    <s v="Under Treatment"/>
    <s v="High Risk"/>
    <x v="2"/>
  </r>
  <r>
    <x v="1235"/>
    <n v="62"/>
    <x v="0"/>
    <s v="O+"/>
    <x v="2"/>
    <d v="2019-12-22T00:00:00"/>
    <x v="1229"/>
    <s v="Simpson-Brown"/>
    <x v="1"/>
    <n v="17243.698276402301"/>
    <n v="145"/>
    <x v="0"/>
    <d v="2020-01-12T00:00:00"/>
    <s v="Ibuprofen"/>
    <x v="1"/>
    <s v="High"/>
    <s v="Under Treatment"/>
    <s v="High Risk"/>
    <x v="1"/>
  </r>
  <r>
    <x v="1236"/>
    <n v="59"/>
    <x v="1"/>
    <s v="A-"/>
    <x v="2"/>
    <d v="2022-04-04T00:00:00"/>
    <x v="1230"/>
    <s v="Fritz-Cox"/>
    <x v="4"/>
    <n v="41851.423366199"/>
    <n v="331"/>
    <x v="0"/>
    <d v="2022-04-13T00:00:00"/>
    <s v="Aspirin"/>
    <x v="0"/>
    <s v="High"/>
    <s v="Under Treatment"/>
    <s v="High Risk"/>
    <x v="1"/>
  </r>
  <r>
    <x v="1237"/>
    <n v="36"/>
    <x v="1"/>
    <s v="B+"/>
    <x v="1"/>
    <d v="2023-06-05T00:00:00"/>
    <x v="1231"/>
    <s v="Sanchez-Lopez"/>
    <x v="0"/>
    <n v="26725.433219464801"/>
    <n v="404"/>
    <x v="2"/>
    <d v="2023-06-25T00:00:00"/>
    <s v="Ibuprofen"/>
    <x v="1"/>
    <s v="High"/>
    <s v="Under Treatment"/>
    <s v="High Risk"/>
    <x v="3"/>
  </r>
  <r>
    <x v="1238"/>
    <n v="40"/>
    <x v="0"/>
    <s v="B+"/>
    <x v="1"/>
    <d v="2023-11-27T00:00:00"/>
    <x v="1232"/>
    <s v="Hodge-Thomas"/>
    <x v="1"/>
    <n v="26816.705862906099"/>
    <n v="353"/>
    <x v="0"/>
    <d v="2023-12-03T00:00:00"/>
    <s v="Aspirin"/>
    <x v="1"/>
    <s v="High"/>
    <s v="Under Treatment"/>
    <s v="High Risk"/>
    <x v="3"/>
  </r>
  <r>
    <x v="1239"/>
    <n v="74"/>
    <x v="1"/>
    <s v="AB-"/>
    <x v="2"/>
    <d v="2021-07-05T00:00:00"/>
    <x v="1233"/>
    <s v="Little Moore, Ellis and"/>
    <x v="4"/>
    <n v="32667.246523797799"/>
    <n v="415"/>
    <x v="1"/>
    <d v="2021-07-15T00:00:00"/>
    <s v="Paracetamol"/>
    <x v="2"/>
    <s v="High"/>
    <s v="Under Treatment"/>
    <s v="High Risk"/>
    <x v="2"/>
  </r>
  <r>
    <x v="1240"/>
    <n v="85"/>
    <x v="0"/>
    <s v="A-"/>
    <x v="4"/>
    <d v="2023-09-16T00:00:00"/>
    <x v="1234"/>
    <s v="Small-Simmons"/>
    <x v="3"/>
    <n v="1041.7150226394201"/>
    <n v="387"/>
    <x v="0"/>
    <d v="2023-10-04T00:00:00"/>
    <s v="Paracetamol"/>
    <x v="0"/>
    <s v="Low"/>
    <s v="Under Treatment"/>
    <s v="High Risk"/>
    <x v="2"/>
  </r>
  <r>
    <x v="1241"/>
    <n v="70"/>
    <x v="1"/>
    <s v="O-"/>
    <x v="1"/>
    <d v="2019-09-02T00:00:00"/>
    <x v="1235"/>
    <s v="Bradford-Andrews"/>
    <x v="4"/>
    <n v="23792.250161739099"/>
    <n v="376"/>
    <x v="1"/>
    <d v="2019-09-14T00:00:00"/>
    <s v="Aspirin"/>
    <x v="0"/>
    <s v="High"/>
    <s v="Under Treatment"/>
    <s v="High Risk"/>
    <x v="2"/>
  </r>
  <r>
    <x v="1242"/>
    <n v="68"/>
    <x v="0"/>
    <s v="O+"/>
    <x v="2"/>
    <d v="2021-03-25T00:00:00"/>
    <x v="1236"/>
    <s v="Mcintyre-Beasley"/>
    <x v="3"/>
    <n v="22355.778861862302"/>
    <n v="301"/>
    <x v="1"/>
    <d v="2021-03-31T00:00:00"/>
    <s v="Aspirin"/>
    <x v="1"/>
    <s v="High"/>
    <s v="Under Treatment"/>
    <s v="High Risk"/>
    <x v="2"/>
  </r>
  <r>
    <x v="1243"/>
    <n v="47"/>
    <x v="1"/>
    <s v="O-"/>
    <x v="0"/>
    <d v="2021-09-23T00:00:00"/>
    <x v="1237"/>
    <s v="Williams, Lopez David and"/>
    <x v="0"/>
    <n v="8982.4314908906599"/>
    <n v="460"/>
    <x v="0"/>
    <d v="2021-09-25T00:00:00"/>
    <s v="Lipitor"/>
    <x v="2"/>
    <s v="Medium"/>
    <s v="Under Treatment"/>
    <s v="High Risk"/>
    <x v="3"/>
  </r>
  <r>
    <x v="1244"/>
    <n v="69"/>
    <x v="0"/>
    <s v="A+"/>
    <x v="0"/>
    <d v="2021-04-02T00:00:00"/>
    <x v="1238"/>
    <s v="King-Fowler"/>
    <x v="3"/>
    <n v="10276.908691971499"/>
    <n v="484"/>
    <x v="1"/>
    <d v="2021-05-01T00:00:00"/>
    <s v="Aspirin"/>
    <x v="0"/>
    <s v="Medium"/>
    <s v="Under Treatment"/>
    <s v="High Risk"/>
    <x v="2"/>
  </r>
  <r>
    <x v="1245"/>
    <n v="77"/>
    <x v="0"/>
    <s v="AB-"/>
    <x v="2"/>
    <d v="2022-01-03T00:00:00"/>
    <x v="1168"/>
    <s v="Herrera-Vance"/>
    <x v="2"/>
    <n v="27741.495960093202"/>
    <n v="491"/>
    <x v="2"/>
    <d v="2022-01-25T00:00:00"/>
    <s v="Lipitor"/>
    <x v="1"/>
    <s v="High"/>
    <s v="Under Treatment"/>
    <s v="High Risk"/>
    <x v="2"/>
  </r>
  <r>
    <x v="1246"/>
    <n v="70"/>
    <x v="1"/>
    <s v="B+"/>
    <x v="1"/>
    <d v="2020-02-19T00:00:00"/>
    <x v="1239"/>
    <s v="Butler Group"/>
    <x v="1"/>
    <n v="9218.6424068216402"/>
    <n v="402"/>
    <x v="0"/>
    <d v="2020-03-02T00:00:00"/>
    <s v="Ibuprofen"/>
    <x v="2"/>
    <s v="Medium"/>
    <s v="Under Treatment"/>
    <s v="High Risk"/>
    <x v="2"/>
  </r>
  <r>
    <x v="1247"/>
    <n v="47"/>
    <x v="0"/>
    <s v="A+"/>
    <x v="2"/>
    <d v="2021-08-15T00:00:00"/>
    <x v="1240"/>
    <s v="PLC Conner"/>
    <x v="4"/>
    <n v="50063.8199522328"/>
    <n v="449"/>
    <x v="0"/>
    <d v="2021-09-04T00:00:00"/>
    <s v="Aspirin"/>
    <x v="1"/>
    <s v="High"/>
    <s v="Under Treatment"/>
    <s v="High Risk"/>
    <x v="3"/>
  </r>
  <r>
    <x v="1248"/>
    <n v="79"/>
    <x v="1"/>
    <s v="O+"/>
    <x v="2"/>
    <d v="2022-08-23T00:00:00"/>
    <x v="1241"/>
    <s v="Smith and Delacruz, Poole"/>
    <x v="0"/>
    <n v="34828.812742335598"/>
    <n v="384"/>
    <x v="1"/>
    <d v="2022-09-18T00:00:00"/>
    <s v="Lipitor"/>
    <x v="0"/>
    <s v="High"/>
    <s v="Under Treatment"/>
    <s v="High Risk"/>
    <x v="2"/>
  </r>
  <r>
    <x v="1249"/>
    <n v="20"/>
    <x v="1"/>
    <s v="A+"/>
    <x v="2"/>
    <d v="2024-04-12T00:00:00"/>
    <x v="1242"/>
    <s v="and Ross, Crosby Caldwell"/>
    <x v="3"/>
    <n v="16521.901425304299"/>
    <n v="254"/>
    <x v="0"/>
    <d v="2024-04-20T00:00:00"/>
    <s v="Lipitor"/>
    <x v="0"/>
    <s v="High"/>
    <s v="Under Treatment"/>
    <s v="High Risk"/>
    <x v="0"/>
  </r>
  <r>
    <x v="1250"/>
    <n v="85"/>
    <x v="0"/>
    <s v="AB-"/>
    <x v="2"/>
    <d v="2022-01-24T00:00:00"/>
    <x v="1243"/>
    <s v="LLC Baker"/>
    <x v="2"/>
    <n v="45206.781566328602"/>
    <n v="320"/>
    <x v="0"/>
    <d v="2022-02-13T00:00:00"/>
    <s v="Penicillin"/>
    <x v="0"/>
    <s v="High"/>
    <s v="Under Treatment"/>
    <s v="High Risk"/>
    <x v="2"/>
  </r>
  <r>
    <x v="1251"/>
    <n v="57"/>
    <x v="0"/>
    <s v="B-"/>
    <x v="3"/>
    <d v="2020-12-01T00:00:00"/>
    <x v="1244"/>
    <s v="Dawson-Williams"/>
    <x v="2"/>
    <n v="4808.3130128666899"/>
    <n v="233"/>
    <x v="1"/>
    <d v="2020-12-28T00:00:00"/>
    <s v="Ibuprofen"/>
    <x v="0"/>
    <s v="Low"/>
    <s v="Under Treatment"/>
    <s v="High Risk"/>
    <x v="1"/>
  </r>
  <r>
    <x v="1252"/>
    <n v="51"/>
    <x v="1"/>
    <s v="O+"/>
    <x v="5"/>
    <d v="2022-08-13T00:00:00"/>
    <x v="1245"/>
    <s v="Bishop, Wright and Wright"/>
    <x v="4"/>
    <n v="47173.491977834703"/>
    <n v="468"/>
    <x v="0"/>
    <d v="2022-09-02T00:00:00"/>
    <s v="Aspirin"/>
    <x v="2"/>
    <s v="High"/>
    <s v="Under Treatment"/>
    <s v="High Risk"/>
    <x v="1"/>
  </r>
  <r>
    <x v="1253"/>
    <n v="24"/>
    <x v="0"/>
    <s v="AB+"/>
    <x v="5"/>
    <d v="2019-06-17T00:00:00"/>
    <x v="1246"/>
    <s v="Patrick-White"/>
    <x v="3"/>
    <n v="42201.900655099103"/>
    <n v="213"/>
    <x v="0"/>
    <d v="2019-06-19T00:00:00"/>
    <s v="Paracetamol"/>
    <x v="2"/>
    <s v="High"/>
    <s v="Under Treatment"/>
    <s v="High Risk"/>
    <x v="0"/>
  </r>
  <r>
    <x v="1254"/>
    <n v="63"/>
    <x v="0"/>
    <s v="O+"/>
    <x v="2"/>
    <d v="2020-12-03T00:00:00"/>
    <x v="1247"/>
    <s v="Hill-Rogers"/>
    <x v="2"/>
    <n v="6395.2462683250897"/>
    <n v="204"/>
    <x v="1"/>
    <d v="2020-12-12T00:00:00"/>
    <s v="Lipitor"/>
    <x v="0"/>
    <s v="Medium"/>
    <s v="Under Treatment"/>
    <s v="High Risk"/>
    <x v="1"/>
  </r>
  <r>
    <x v="1255"/>
    <n v="27"/>
    <x v="1"/>
    <s v="A-"/>
    <x v="3"/>
    <d v="2020-03-28T00:00:00"/>
    <x v="1248"/>
    <s v="Cobb Rubio, Williamson and"/>
    <x v="2"/>
    <n v="47087.827380218798"/>
    <n v="310"/>
    <x v="2"/>
    <d v="2020-04-25T00:00:00"/>
    <s v="Ibuprofen"/>
    <x v="1"/>
    <s v="High"/>
    <s v="Under Treatment"/>
    <s v="High Risk"/>
    <x v="0"/>
  </r>
  <r>
    <x v="1256"/>
    <n v="47"/>
    <x v="0"/>
    <s v="O-"/>
    <x v="3"/>
    <d v="2021-05-30T00:00:00"/>
    <x v="1249"/>
    <s v="Sons and Dominguez"/>
    <x v="0"/>
    <n v="18465.920352652302"/>
    <n v="381"/>
    <x v="1"/>
    <d v="2021-06-23T00:00:00"/>
    <s v="Penicillin"/>
    <x v="0"/>
    <s v="High"/>
    <s v="Under Treatment"/>
    <s v="High Risk"/>
    <x v="3"/>
  </r>
  <r>
    <x v="1257"/>
    <n v="18"/>
    <x v="1"/>
    <s v="O+"/>
    <x v="4"/>
    <d v="2020-09-02T00:00:00"/>
    <x v="1250"/>
    <s v="Miller-Robinson"/>
    <x v="2"/>
    <n v="46334.881941777101"/>
    <n v="338"/>
    <x v="2"/>
    <d v="2020-09-16T00:00:00"/>
    <s v="Paracetamol"/>
    <x v="0"/>
    <s v="High"/>
    <s v="Under Treatment"/>
    <s v="High Risk"/>
    <x v="4"/>
  </r>
  <r>
    <x v="1258"/>
    <n v="18"/>
    <x v="1"/>
    <s v="A-"/>
    <x v="1"/>
    <d v="2023-08-14T00:00:00"/>
    <x v="1251"/>
    <s v="Ferguson and Benton, Moore"/>
    <x v="1"/>
    <n v="19359.614620972501"/>
    <n v="150"/>
    <x v="0"/>
    <d v="2023-09-11T00:00:00"/>
    <s v="Ibuprofen"/>
    <x v="2"/>
    <s v="High"/>
    <s v="Under Treatment"/>
    <s v="High Risk"/>
    <x v="4"/>
  </r>
  <r>
    <x v="1259"/>
    <n v="33"/>
    <x v="0"/>
    <s v="A+"/>
    <x v="2"/>
    <d v="2020-06-26T00:00:00"/>
    <x v="1252"/>
    <s v="Rangel-Barton"/>
    <x v="3"/>
    <n v="48607.418575997697"/>
    <n v="118"/>
    <x v="2"/>
    <d v="2020-07-17T00:00:00"/>
    <s v="Penicillin"/>
    <x v="1"/>
    <s v="High"/>
    <s v="Under Treatment"/>
    <s v="High Risk"/>
    <x v="0"/>
  </r>
  <r>
    <x v="1260"/>
    <n v="49"/>
    <x v="1"/>
    <s v="AB+"/>
    <x v="4"/>
    <d v="2021-06-13T00:00:00"/>
    <x v="1253"/>
    <s v="and Huang, Alvarez Gray"/>
    <x v="4"/>
    <n v="16666.097096605099"/>
    <n v="447"/>
    <x v="0"/>
    <d v="2021-07-11T00:00:00"/>
    <s v="Ibuprofen"/>
    <x v="0"/>
    <s v="High"/>
    <s v="Under Treatment"/>
    <s v="High Risk"/>
    <x v="3"/>
  </r>
  <r>
    <x v="1261"/>
    <n v="84"/>
    <x v="1"/>
    <s v="A-"/>
    <x v="1"/>
    <d v="2020-07-03T00:00:00"/>
    <x v="1254"/>
    <s v="Perkins and Gomez Collins,"/>
    <x v="4"/>
    <n v="5228.6330314535799"/>
    <n v="342"/>
    <x v="2"/>
    <d v="2020-07-27T00:00:00"/>
    <s v="Paracetamol"/>
    <x v="1"/>
    <s v="Medium"/>
    <s v="Under Treatment"/>
    <s v="High Risk"/>
    <x v="2"/>
  </r>
  <r>
    <x v="1262"/>
    <n v="79"/>
    <x v="1"/>
    <s v="AB+"/>
    <x v="0"/>
    <d v="2022-10-14T00:00:00"/>
    <x v="1255"/>
    <s v="Bridges-Anthony"/>
    <x v="2"/>
    <n v="3028.8257841035502"/>
    <n v="157"/>
    <x v="1"/>
    <d v="2022-10-28T00:00:00"/>
    <s v="Penicillin"/>
    <x v="0"/>
    <s v="Low"/>
    <s v="Under Treatment"/>
    <s v="High Risk"/>
    <x v="2"/>
  </r>
  <r>
    <x v="1263"/>
    <n v="27"/>
    <x v="1"/>
    <s v="AB+"/>
    <x v="1"/>
    <d v="2021-08-03T00:00:00"/>
    <x v="1256"/>
    <s v="Floyd, and Johnson Miller"/>
    <x v="2"/>
    <n v="22579.839968191201"/>
    <n v="169"/>
    <x v="0"/>
    <d v="2021-08-27T00:00:00"/>
    <s v="Penicillin"/>
    <x v="2"/>
    <s v="High"/>
    <s v="Under Treatment"/>
    <s v="High Risk"/>
    <x v="0"/>
  </r>
  <r>
    <x v="1264"/>
    <n v="61"/>
    <x v="1"/>
    <s v="O-"/>
    <x v="4"/>
    <d v="2021-12-30T00:00:00"/>
    <x v="1257"/>
    <s v="and Tate Sons"/>
    <x v="3"/>
    <n v="27764.229220400099"/>
    <n v="172"/>
    <x v="0"/>
    <d v="2022-01-20T00:00:00"/>
    <s v="Aspirin"/>
    <x v="1"/>
    <s v="High"/>
    <s v="Under Treatment"/>
    <s v="High Risk"/>
    <x v="1"/>
  </r>
  <r>
    <x v="1265"/>
    <n v="72"/>
    <x v="1"/>
    <s v="AB-"/>
    <x v="3"/>
    <d v="2022-06-25T00:00:00"/>
    <x v="1258"/>
    <s v="Johnson PLC"/>
    <x v="4"/>
    <n v="20216.372031328301"/>
    <n v="209"/>
    <x v="1"/>
    <d v="2022-07-02T00:00:00"/>
    <s v="Penicillin"/>
    <x v="1"/>
    <s v="High"/>
    <s v="Under Treatment"/>
    <s v="High Risk"/>
    <x v="2"/>
  </r>
  <r>
    <x v="1266"/>
    <n v="32"/>
    <x v="1"/>
    <s v="B-"/>
    <x v="3"/>
    <d v="2019-11-11T00:00:00"/>
    <x v="1259"/>
    <s v="Byrd Moore, and Norton"/>
    <x v="2"/>
    <n v="33762.125937360601"/>
    <n v="151"/>
    <x v="1"/>
    <d v="2019-11-14T00:00:00"/>
    <s v="Penicillin"/>
    <x v="1"/>
    <s v="High"/>
    <s v="Under Treatment"/>
    <s v="High Risk"/>
    <x v="0"/>
  </r>
  <r>
    <x v="1267"/>
    <n v="83"/>
    <x v="1"/>
    <s v="O+"/>
    <x v="5"/>
    <d v="2021-01-09T00:00:00"/>
    <x v="1260"/>
    <s v="and Lane Jones, Hill"/>
    <x v="3"/>
    <n v="27927.094280524299"/>
    <n v="422"/>
    <x v="1"/>
    <d v="2021-01-11T00:00:00"/>
    <s v="Ibuprofen"/>
    <x v="0"/>
    <s v="High"/>
    <s v="Under Treatment"/>
    <s v="High Risk"/>
    <x v="2"/>
  </r>
  <r>
    <x v="1268"/>
    <n v="22"/>
    <x v="0"/>
    <s v="AB+"/>
    <x v="2"/>
    <d v="2024-03-11T00:00:00"/>
    <x v="1261"/>
    <s v="Joseph Inc"/>
    <x v="3"/>
    <n v="13294.122361945199"/>
    <n v="110"/>
    <x v="2"/>
    <d v="2024-03-23T00:00:00"/>
    <s v="Aspirin"/>
    <x v="0"/>
    <s v="Medium"/>
    <s v="Under Treatment"/>
    <s v="High Risk"/>
    <x v="0"/>
  </r>
  <r>
    <x v="1269"/>
    <n v="84"/>
    <x v="0"/>
    <s v="AB-"/>
    <x v="3"/>
    <d v="2023-06-18T00:00:00"/>
    <x v="1262"/>
    <s v="Williams and Nunez Mccullough,"/>
    <x v="0"/>
    <n v="46533.539936871799"/>
    <n v="490"/>
    <x v="0"/>
    <d v="2023-06-28T00:00:00"/>
    <s v="Paracetamol"/>
    <x v="1"/>
    <s v="High"/>
    <s v="Under Treatment"/>
    <s v="High Risk"/>
    <x v="2"/>
  </r>
  <r>
    <x v="1270"/>
    <n v="42"/>
    <x v="0"/>
    <s v="B+"/>
    <x v="5"/>
    <d v="2023-06-30T00:00:00"/>
    <x v="1263"/>
    <s v="Ruiz-Schroeder"/>
    <x v="0"/>
    <n v="39115.311461024001"/>
    <n v="172"/>
    <x v="1"/>
    <d v="2023-07-05T00:00:00"/>
    <s v="Paracetamol"/>
    <x v="0"/>
    <s v="High"/>
    <s v="Under Treatment"/>
    <s v="High Risk"/>
    <x v="3"/>
  </r>
  <r>
    <x v="1271"/>
    <n v="59"/>
    <x v="1"/>
    <s v="O-"/>
    <x v="5"/>
    <d v="2021-06-10T00:00:00"/>
    <x v="1264"/>
    <s v="and Ryan, Browning Vargas"/>
    <x v="2"/>
    <n v="11299.558909241199"/>
    <n v="234"/>
    <x v="1"/>
    <d v="2021-06-18T00:00:00"/>
    <s v="Aspirin"/>
    <x v="0"/>
    <s v="Medium"/>
    <s v="Under Treatment"/>
    <s v="High Risk"/>
    <x v="1"/>
  </r>
  <r>
    <x v="1272"/>
    <n v="55"/>
    <x v="1"/>
    <s v="B+"/>
    <x v="3"/>
    <d v="2023-06-07T00:00:00"/>
    <x v="1265"/>
    <s v="Ross-Coleman"/>
    <x v="3"/>
    <n v="11908.081104631399"/>
    <n v="180"/>
    <x v="1"/>
    <d v="2023-06-24T00:00:00"/>
    <s v="Lipitor"/>
    <x v="2"/>
    <s v="Medium"/>
    <s v="Under Treatment"/>
    <s v="High Risk"/>
    <x v="1"/>
  </r>
  <r>
    <x v="1273"/>
    <n v="42"/>
    <x v="0"/>
    <s v="AB-"/>
    <x v="4"/>
    <d v="2022-08-30T00:00:00"/>
    <x v="1266"/>
    <s v="Moses Nunez, Gray and"/>
    <x v="3"/>
    <n v="27538.843547567401"/>
    <n v="314"/>
    <x v="2"/>
    <d v="2022-09-20T00:00:00"/>
    <s v="Ibuprofen"/>
    <x v="1"/>
    <s v="High"/>
    <s v="Under Treatment"/>
    <s v="High Risk"/>
    <x v="3"/>
  </r>
  <r>
    <x v="1274"/>
    <n v="62"/>
    <x v="1"/>
    <s v="AB-"/>
    <x v="4"/>
    <d v="2019-12-10T00:00:00"/>
    <x v="1267"/>
    <s v="Cohen LLC"/>
    <x v="1"/>
    <n v="23061.198704038699"/>
    <n v="311"/>
    <x v="2"/>
    <d v="2019-12-16T00:00:00"/>
    <s v="Aspirin"/>
    <x v="1"/>
    <s v="High"/>
    <s v="Under Treatment"/>
    <s v="High Risk"/>
    <x v="1"/>
  </r>
  <r>
    <x v="1275"/>
    <n v="43"/>
    <x v="0"/>
    <s v="A-"/>
    <x v="5"/>
    <d v="2020-05-20T00:00:00"/>
    <x v="1268"/>
    <s v="Webb Daniel, Turner and"/>
    <x v="1"/>
    <n v="13564.7165463458"/>
    <n v="282"/>
    <x v="2"/>
    <d v="2020-06-15T00:00:00"/>
    <s v="Ibuprofen"/>
    <x v="1"/>
    <s v="Medium"/>
    <s v="Under Treatment"/>
    <s v="High Risk"/>
    <x v="3"/>
  </r>
  <r>
    <x v="1276"/>
    <n v="40"/>
    <x v="0"/>
    <s v="A+"/>
    <x v="0"/>
    <d v="2021-07-04T00:00:00"/>
    <x v="1269"/>
    <s v="Hawkins Davidson Oliver, and"/>
    <x v="2"/>
    <n v="43396.852671876601"/>
    <n v="231"/>
    <x v="0"/>
    <d v="2021-07-25T00:00:00"/>
    <s v="Lipitor"/>
    <x v="1"/>
    <s v="High"/>
    <s v="Under Treatment"/>
    <s v="High Risk"/>
    <x v="3"/>
  </r>
  <r>
    <x v="1277"/>
    <n v="49"/>
    <x v="0"/>
    <s v="B-"/>
    <x v="5"/>
    <d v="2023-01-12T00:00:00"/>
    <x v="1270"/>
    <s v="Jackson Robinson and Walsh,"/>
    <x v="0"/>
    <n v="29249.6739471254"/>
    <n v="132"/>
    <x v="2"/>
    <d v="2023-02-06T00:00:00"/>
    <s v="Aspirin"/>
    <x v="1"/>
    <s v="High"/>
    <s v="Under Treatment"/>
    <s v="High Risk"/>
    <x v="3"/>
  </r>
  <r>
    <x v="1278"/>
    <n v="66"/>
    <x v="1"/>
    <s v="B+"/>
    <x v="4"/>
    <d v="2021-11-17T00:00:00"/>
    <x v="1271"/>
    <s v="Blevins Group"/>
    <x v="2"/>
    <n v="47649.696638220499"/>
    <n v="304"/>
    <x v="1"/>
    <d v="2021-12-09T00:00:00"/>
    <s v="Penicillin"/>
    <x v="2"/>
    <s v="High"/>
    <s v="Under Treatment"/>
    <s v="High Risk"/>
    <x v="2"/>
  </r>
  <r>
    <x v="1279"/>
    <n v="27"/>
    <x v="0"/>
    <s v="O-"/>
    <x v="3"/>
    <d v="2022-06-18T00:00:00"/>
    <x v="1272"/>
    <s v="Wu, Carey Sexton and"/>
    <x v="1"/>
    <n v="20593.4583015147"/>
    <n v="490"/>
    <x v="0"/>
    <d v="2022-07-16T00:00:00"/>
    <s v="Lipitor"/>
    <x v="0"/>
    <s v="High"/>
    <s v="Under Treatment"/>
    <s v="High Risk"/>
    <x v="0"/>
  </r>
  <r>
    <x v="1280"/>
    <n v="42"/>
    <x v="0"/>
    <s v="O-"/>
    <x v="0"/>
    <d v="2023-05-02T00:00:00"/>
    <x v="1273"/>
    <s v="Conner-Hayes"/>
    <x v="3"/>
    <n v="49188.652308108598"/>
    <n v="381"/>
    <x v="1"/>
    <d v="2023-05-09T00:00:00"/>
    <s v="Lipitor"/>
    <x v="2"/>
    <s v="High"/>
    <s v="Under Treatment"/>
    <s v="High Risk"/>
    <x v="3"/>
  </r>
  <r>
    <x v="1281"/>
    <n v="52"/>
    <x v="1"/>
    <s v="AB+"/>
    <x v="1"/>
    <d v="2020-02-13T00:00:00"/>
    <x v="1274"/>
    <s v="Wright, Friedman and Franklin"/>
    <x v="3"/>
    <n v="41022.400010580597"/>
    <n v="253"/>
    <x v="1"/>
    <d v="2020-03-13T00:00:00"/>
    <s v="Aspirin"/>
    <x v="2"/>
    <s v="High"/>
    <s v="Under Treatment"/>
    <s v="High Risk"/>
    <x v="1"/>
  </r>
  <r>
    <x v="1282"/>
    <n v="78"/>
    <x v="0"/>
    <s v="B+"/>
    <x v="5"/>
    <d v="2020-04-13T00:00:00"/>
    <x v="1275"/>
    <s v="Roberts Hale and Wilson,"/>
    <x v="2"/>
    <n v="22072.365830566701"/>
    <n v="229"/>
    <x v="1"/>
    <d v="2020-05-02T00:00:00"/>
    <s v="Penicillin"/>
    <x v="1"/>
    <s v="High"/>
    <s v="Under Treatment"/>
    <s v="High Risk"/>
    <x v="2"/>
  </r>
  <r>
    <x v="1283"/>
    <n v="68"/>
    <x v="0"/>
    <s v="B+"/>
    <x v="3"/>
    <d v="2022-10-27T00:00:00"/>
    <x v="1276"/>
    <s v="Cooper-Bishop"/>
    <x v="0"/>
    <n v="14070.3197603637"/>
    <n v="249"/>
    <x v="2"/>
    <d v="2022-11-21T00:00:00"/>
    <s v="Lipitor"/>
    <x v="2"/>
    <s v="Medium"/>
    <s v="Under Treatment"/>
    <s v="High Risk"/>
    <x v="2"/>
  </r>
  <r>
    <x v="1284"/>
    <n v="65"/>
    <x v="1"/>
    <s v="A-"/>
    <x v="4"/>
    <d v="2021-05-16T00:00:00"/>
    <x v="1277"/>
    <s v="Daugherty Group"/>
    <x v="3"/>
    <n v="6020.5517641483902"/>
    <n v="168"/>
    <x v="2"/>
    <d v="2021-05-20T00:00:00"/>
    <s v="Paracetamol"/>
    <x v="1"/>
    <s v="Medium"/>
    <s v="Under Treatment"/>
    <s v="High Risk"/>
    <x v="1"/>
  </r>
  <r>
    <x v="1285"/>
    <n v="77"/>
    <x v="0"/>
    <s v="O+"/>
    <x v="0"/>
    <d v="2022-02-14T00:00:00"/>
    <x v="1278"/>
    <s v="Haney-Nielsen"/>
    <x v="1"/>
    <n v="6297.6869162031999"/>
    <n v="304"/>
    <x v="2"/>
    <d v="2022-02-18T00:00:00"/>
    <s v="Aspirin"/>
    <x v="0"/>
    <s v="Medium"/>
    <s v="Under Treatment"/>
    <s v="High Risk"/>
    <x v="2"/>
  </r>
  <r>
    <x v="1286"/>
    <n v="73"/>
    <x v="1"/>
    <s v="B-"/>
    <x v="2"/>
    <d v="2020-09-20T00:00:00"/>
    <x v="1279"/>
    <s v="Sims-Crawford"/>
    <x v="0"/>
    <n v="12874.817185973799"/>
    <n v="174"/>
    <x v="1"/>
    <d v="2020-09-24T00:00:00"/>
    <s v="Lipitor"/>
    <x v="0"/>
    <s v="Medium"/>
    <s v="Under Treatment"/>
    <s v="High Risk"/>
    <x v="2"/>
  </r>
  <r>
    <x v="1287"/>
    <n v="50"/>
    <x v="0"/>
    <s v="B+"/>
    <x v="0"/>
    <d v="2023-03-24T00:00:00"/>
    <x v="1280"/>
    <s v="Nguyen-Johnson"/>
    <x v="3"/>
    <n v="2626.5173962067402"/>
    <n v="458"/>
    <x v="2"/>
    <d v="2023-04-03T00:00:00"/>
    <s v="Penicillin"/>
    <x v="0"/>
    <s v="Low"/>
    <s v="Under Treatment"/>
    <s v="High Risk"/>
    <x v="3"/>
  </r>
  <r>
    <x v="1288"/>
    <n v="75"/>
    <x v="1"/>
    <s v="A+"/>
    <x v="3"/>
    <d v="2022-11-28T00:00:00"/>
    <x v="1281"/>
    <s v="Group Bradley"/>
    <x v="0"/>
    <n v="24500.126992236299"/>
    <n v="121"/>
    <x v="2"/>
    <d v="2022-12-24T00:00:00"/>
    <s v="Lipitor"/>
    <x v="1"/>
    <s v="High"/>
    <s v="Under Treatment"/>
    <s v="High Risk"/>
    <x v="2"/>
  </r>
  <r>
    <x v="1289"/>
    <n v="55"/>
    <x v="0"/>
    <s v="O-"/>
    <x v="1"/>
    <d v="2021-07-06T00:00:00"/>
    <x v="1282"/>
    <s v="Cervantes-Cooper"/>
    <x v="0"/>
    <n v="44045.051284885601"/>
    <n v="136"/>
    <x v="0"/>
    <d v="2021-08-05T00:00:00"/>
    <s v="Lipitor"/>
    <x v="2"/>
    <s v="High"/>
    <s v="Under Treatment"/>
    <s v="High Risk"/>
    <x v="1"/>
  </r>
  <r>
    <x v="1290"/>
    <n v="32"/>
    <x v="1"/>
    <s v="O-"/>
    <x v="4"/>
    <d v="2023-11-08T00:00:00"/>
    <x v="1283"/>
    <s v="Rodriguez-Baker"/>
    <x v="4"/>
    <n v="7913.6383956011096"/>
    <n v="255"/>
    <x v="2"/>
    <d v="2023-12-04T00:00:00"/>
    <s v="Lipitor"/>
    <x v="0"/>
    <s v="Medium"/>
    <s v="Under Treatment"/>
    <s v="High Risk"/>
    <x v="0"/>
  </r>
  <r>
    <x v="1291"/>
    <n v="26"/>
    <x v="0"/>
    <s v="A+"/>
    <x v="0"/>
    <d v="2024-03-06T00:00:00"/>
    <x v="1284"/>
    <s v="Jackson, Byrd Wilkerson and"/>
    <x v="3"/>
    <n v="43281.602891846604"/>
    <n v="253"/>
    <x v="2"/>
    <d v="2024-03-14T00:00:00"/>
    <s v="Aspirin"/>
    <x v="1"/>
    <s v="High"/>
    <s v="Under Treatment"/>
    <s v="High Risk"/>
    <x v="0"/>
  </r>
  <r>
    <x v="1292"/>
    <n v="71"/>
    <x v="1"/>
    <s v="O-"/>
    <x v="5"/>
    <d v="2019-09-20T00:00:00"/>
    <x v="1285"/>
    <s v="Nelson-Cooke"/>
    <x v="0"/>
    <n v="48327.049282770997"/>
    <n v="216"/>
    <x v="0"/>
    <d v="2019-10-14T00:00:00"/>
    <s v="Paracetamol"/>
    <x v="0"/>
    <s v="High"/>
    <s v="Under Treatment"/>
    <s v="High Risk"/>
    <x v="2"/>
  </r>
  <r>
    <x v="1293"/>
    <n v="78"/>
    <x v="0"/>
    <s v="B+"/>
    <x v="4"/>
    <d v="2022-01-26T00:00:00"/>
    <x v="1286"/>
    <s v="Williams-Tucker"/>
    <x v="3"/>
    <n v="34697.347478866999"/>
    <n v="391"/>
    <x v="2"/>
    <d v="2022-02-11T00:00:00"/>
    <s v="Lipitor"/>
    <x v="0"/>
    <s v="High"/>
    <s v="Under Treatment"/>
    <s v="High Risk"/>
    <x v="2"/>
  </r>
  <r>
    <x v="1294"/>
    <n v="34"/>
    <x v="0"/>
    <s v="A-"/>
    <x v="3"/>
    <d v="2020-02-15T00:00:00"/>
    <x v="1287"/>
    <s v="Patrick Huffman, and Lowery"/>
    <x v="0"/>
    <n v="2190.5636059645699"/>
    <n v="367"/>
    <x v="0"/>
    <d v="2020-02-17T00:00:00"/>
    <s v="Lipitor"/>
    <x v="0"/>
    <s v="Low"/>
    <s v="Under Treatment"/>
    <s v="High Risk"/>
    <x v="0"/>
  </r>
  <r>
    <x v="1295"/>
    <n v="32"/>
    <x v="1"/>
    <s v="AB+"/>
    <x v="0"/>
    <d v="2023-03-06T00:00:00"/>
    <x v="1288"/>
    <s v="Eaton Gentry Henry, and"/>
    <x v="1"/>
    <n v="32385.773334224101"/>
    <n v="152"/>
    <x v="1"/>
    <d v="2023-03-30T00:00:00"/>
    <s v="Paracetamol"/>
    <x v="0"/>
    <s v="High"/>
    <s v="Under Treatment"/>
    <s v="High Risk"/>
    <x v="0"/>
  </r>
  <r>
    <x v="1296"/>
    <n v="79"/>
    <x v="1"/>
    <s v="O-"/>
    <x v="2"/>
    <d v="2019-05-17T00:00:00"/>
    <x v="1289"/>
    <s v="Lara-Paul"/>
    <x v="1"/>
    <n v="12020.716487472801"/>
    <n v="425"/>
    <x v="2"/>
    <d v="2019-06-01T00:00:00"/>
    <s v="Lipitor"/>
    <x v="1"/>
    <s v="Medium"/>
    <s v="Under Treatment"/>
    <s v="High Risk"/>
    <x v="2"/>
  </r>
  <r>
    <x v="1297"/>
    <n v="60"/>
    <x v="0"/>
    <s v="AB-"/>
    <x v="5"/>
    <d v="2020-06-13T00:00:00"/>
    <x v="1290"/>
    <s v="Mcintosh-Neal"/>
    <x v="1"/>
    <n v="16810.2802163204"/>
    <n v="115"/>
    <x v="0"/>
    <d v="2020-07-04T00:00:00"/>
    <s v="Aspirin"/>
    <x v="2"/>
    <s v="High"/>
    <s v="Under Treatment"/>
    <s v="High Risk"/>
    <x v="1"/>
  </r>
  <r>
    <x v="1298"/>
    <n v="22"/>
    <x v="1"/>
    <s v="B-"/>
    <x v="5"/>
    <d v="2019-12-31T00:00:00"/>
    <x v="1291"/>
    <s v="Ochoa-Edwards"/>
    <x v="1"/>
    <n v="9585.07136569674"/>
    <n v="424"/>
    <x v="1"/>
    <d v="2020-01-21T00:00:00"/>
    <s v="Ibuprofen"/>
    <x v="0"/>
    <s v="Medium"/>
    <s v="Under Treatment"/>
    <s v="High Risk"/>
    <x v="0"/>
  </r>
  <r>
    <x v="1299"/>
    <n v="40"/>
    <x v="1"/>
    <s v="B-"/>
    <x v="4"/>
    <d v="2023-11-21T00:00:00"/>
    <x v="1292"/>
    <s v="and Patel Russo Foster,"/>
    <x v="1"/>
    <n v="45918.4093448965"/>
    <n v="203"/>
    <x v="2"/>
    <d v="2023-12-19T00:00:00"/>
    <s v="Ibuprofen"/>
    <x v="0"/>
    <s v="High"/>
    <s v="Under Treatment"/>
    <s v="High Risk"/>
    <x v="3"/>
  </r>
  <r>
    <x v="1300"/>
    <n v="18"/>
    <x v="1"/>
    <s v="O-"/>
    <x v="3"/>
    <d v="2023-03-21T00:00:00"/>
    <x v="1293"/>
    <s v="Williams-Smith"/>
    <x v="3"/>
    <n v="36063.783979170403"/>
    <n v="211"/>
    <x v="2"/>
    <d v="2023-04-07T00:00:00"/>
    <s v="Penicillin"/>
    <x v="0"/>
    <s v="High"/>
    <s v="Under Treatment"/>
    <s v="High Risk"/>
    <x v="4"/>
  </r>
  <r>
    <x v="1301"/>
    <n v="25"/>
    <x v="0"/>
    <s v="AB-"/>
    <x v="3"/>
    <d v="2019-12-17T00:00:00"/>
    <x v="1294"/>
    <s v="Larsen-Vega"/>
    <x v="2"/>
    <n v="15526.457763307"/>
    <n v="201"/>
    <x v="2"/>
    <d v="2020-01-05T00:00:00"/>
    <s v="Paracetamol"/>
    <x v="1"/>
    <s v="High"/>
    <s v="Under Treatment"/>
    <s v="High Risk"/>
    <x v="0"/>
  </r>
  <r>
    <x v="1302"/>
    <n v="51"/>
    <x v="1"/>
    <s v="O-"/>
    <x v="1"/>
    <d v="2024-04-24T00:00:00"/>
    <x v="1295"/>
    <s v="Carlson-Holland"/>
    <x v="3"/>
    <n v="7381.4228393816302"/>
    <n v="306"/>
    <x v="2"/>
    <d v="2024-05-03T00:00:00"/>
    <s v="Paracetamol"/>
    <x v="0"/>
    <s v="Medium"/>
    <s v="Under Treatment"/>
    <s v="High Risk"/>
    <x v="1"/>
  </r>
  <r>
    <x v="1303"/>
    <n v="66"/>
    <x v="0"/>
    <s v="AB-"/>
    <x v="0"/>
    <d v="2022-02-19T00:00:00"/>
    <x v="1296"/>
    <s v="Inc King"/>
    <x v="3"/>
    <n v="28185.0650186122"/>
    <n v="458"/>
    <x v="0"/>
    <d v="2022-03-05T00:00:00"/>
    <s v="Aspirin"/>
    <x v="2"/>
    <s v="High"/>
    <s v="Under Treatment"/>
    <s v="High Risk"/>
    <x v="2"/>
  </r>
  <r>
    <x v="1304"/>
    <n v="34"/>
    <x v="0"/>
    <s v="B-"/>
    <x v="0"/>
    <d v="2022-04-14T00:00:00"/>
    <x v="1297"/>
    <s v="Garrison PLC"/>
    <x v="4"/>
    <n v="39507.855295020701"/>
    <n v="179"/>
    <x v="2"/>
    <d v="2022-04-27T00:00:00"/>
    <s v="Lipitor"/>
    <x v="0"/>
    <s v="High"/>
    <s v="Under Treatment"/>
    <s v="High Risk"/>
    <x v="0"/>
  </r>
  <r>
    <x v="1305"/>
    <n v="25"/>
    <x v="1"/>
    <s v="AB-"/>
    <x v="0"/>
    <d v="2021-08-26T00:00:00"/>
    <x v="1298"/>
    <s v="Ramos, and Lee Griffin"/>
    <x v="4"/>
    <n v="7753.1110142290299"/>
    <n v="241"/>
    <x v="1"/>
    <d v="2021-09-23T00:00:00"/>
    <s v="Aspirin"/>
    <x v="2"/>
    <s v="Medium"/>
    <s v="Under Treatment"/>
    <s v="High Risk"/>
    <x v="0"/>
  </r>
  <r>
    <x v="1306"/>
    <n v="75"/>
    <x v="1"/>
    <s v="A-"/>
    <x v="3"/>
    <d v="2021-10-06T00:00:00"/>
    <x v="1299"/>
    <s v="LLC Lopez"/>
    <x v="3"/>
    <n v="32353.016826957399"/>
    <n v="304"/>
    <x v="2"/>
    <d v="2021-10-19T00:00:00"/>
    <s v="Penicillin"/>
    <x v="0"/>
    <s v="High"/>
    <s v="Under Treatment"/>
    <s v="High Risk"/>
    <x v="2"/>
  </r>
  <r>
    <x v="1307"/>
    <n v="47"/>
    <x v="0"/>
    <s v="O+"/>
    <x v="1"/>
    <d v="2022-10-05T00:00:00"/>
    <x v="1300"/>
    <s v="Robinson Inc"/>
    <x v="0"/>
    <n v="35202.437326875297"/>
    <n v="323"/>
    <x v="1"/>
    <d v="2022-10-14T00:00:00"/>
    <s v="Ibuprofen"/>
    <x v="0"/>
    <s v="High"/>
    <s v="Under Treatment"/>
    <s v="High Risk"/>
    <x v="3"/>
  </r>
  <r>
    <x v="1308"/>
    <n v="68"/>
    <x v="0"/>
    <s v="O+"/>
    <x v="0"/>
    <d v="2021-01-05T00:00:00"/>
    <x v="1301"/>
    <s v="Stewart Inc"/>
    <x v="2"/>
    <n v="17413.012193166702"/>
    <n v="345"/>
    <x v="1"/>
    <d v="2021-01-17T00:00:00"/>
    <s v="Penicillin"/>
    <x v="2"/>
    <s v="High"/>
    <s v="Under Treatment"/>
    <s v="High Risk"/>
    <x v="2"/>
  </r>
  <r>
    <x v="1309"/>
    <n v="24"/>
    <x v="1"/>
    <s v="AB+"/>
    <x v="4"/>
    <d v="2023-12-01T00:00:00"/>
    <x v="1302"/>
    <s v="Richardson-Bryant"/>
    <x v="3"/>
    <n v="39004.169781343102"/>
    <n v="127"/>
    <x v="0"/>
    <d v="2023-12-08T00:00:00"/>
    <s v="Aspirin"/>
    <x v="0"/>
    <s v="High"/>
    <s v="Under Treatment"/>
    <s v="High Risk"/>
    <x v="0"/>
  </r>
  <r>
    <x v="1310"/>
    <n v="70"/>
    <x v="1"/>
    <s v="A+"/>
    <x v="4"/>
    <d v="2020-08-13T00:00:00"/>
    <x v="1303"/>
    <s v="Kirk-Martin"/>
    <x v="0"/>
    <n v="7771.5434094020102"/>
    <n v="103"/>
    <x v="1"/>
    <d v="2020-09-03T00:00:00"/>
    <s v="Paracetamol"/>
    <x v="0"/>
    <s v="Medium"/>
    <s v="Under Treatment"/>
    <s v="High Risk"/>
    <x v="2"/>
  </r>
  <r>
    <x v="1311"/>
    <n v="60"/>
    <x v="1"/>
    <s v="B-"/>
    <x v="1"/>
    <d v="2021-07-16T00:00:00"/>
    <x v="1304"/>
    <s v="Wilson-Hernandez"/>
    <x v="0"/>
    <n v="6890.1176465839599"/>
    <n v="406"/>
    <x v="2"/>
    <d v="2021-07-20T00:00:00"/>
    <s v="Paracetamol"/>
    <x v="2"/>
    <s v="Medium"/>
    <s v="Under Treatment"/>
    <s v="High Risk"/>
    <x v="1"/>
  </r>
  <r>
    <x v="1312"/>
    <n v="35"/>
    <x v="0"/>
    <s v="AB-"/>
    <x v="3"/>
    <d v="2021-04-27T00:00:00"/>
    <x v="1305"/>
    <s v="Walker-Wu"/>
    <x v="3"/>
    <n v="33057.659700230099"/>
    <n v="104"/>
    <x v="1"/>
    <d v="2021-04-28T00:00:00"/>
    <s v="Lipitor"/>
    <x v="0"/>
    <s v="High"/>
    <s v="Under Treatment"/>
    <s v="High Risk"/>
    <x v="0"/>
  </r>
  <r>
    <x v="1313"/>
    <n v="78"/>
    <x v="1"/>
    <s v="O+"/>
    <x v="1"/>
    <d v="2020-03-10T00:00:00"/>
    <x v="1306"/>
    <s v="Inc Parker"/>
    <x v="4"/>
    <n v="962.23951557670296"/>
    <n v="346"/>
    <x v="2"/>
    <d v="2020-03-25T00:00:00"/>
    <s v="Aspirin"/>
    <x v="1"/>
    <s v="Low"/>
    <s v="Under Treatment"/>
    <s v="High Risk"/>
    <x v="2"/>
  </r>
  <r>
    <x v="1314"/>
    <n v="62"/>
    <x v="1"/>
    <s v="B-"/>
    <x v="0"/>
    <d v="2023-07-05T00:00:00"/>
    <x v="1307"/>
    <s v="Edwards Williams, Finley and"/>
    <x v="4"/>
    <n v="42214.961097854699"/>
    <n v="217"/>
    <x v="0"/>
    <d v="2023-07-18T00:00:00"/>
    <s v="Aspirin"/>
    <x v="1"/>
    <s v="High"/>
    <s v="Under Treatment"/>
    <s v="High Risk"/>
    <x v="1"/>
  </r>
  <r>
    <x v="1315"/>
    <n v="75"/>
    <x v="1"/>
    <s v="O-"/>
    <x v="2"/>
    <d v="2022-09-04T00:00:00"/>
    <x v="1308"/>
    <s v="Chavez Inc"/>
    <x v="2"/>
    <n v="45722.420597401797"/>
    <n v="271"/>
    <x v="0"/>
    <d v="2022-09-11T00:00:00"/>
    <s v="Penicillin"/>
    <x v="1"/>
    <s v="High"/>
    <s v="Under Treatment"/>
    <s v="High Risk"/>
    <x v="2"/>
  </r>
  <r>
    <x v="1316"/>
    <n v="57"/>
    <x v="0"/>
    <s v="AB-"/>
    <x v="5"/>
    <d v="2019-08-02T00:00:00"/>
    <x v="1309"/>
    <s v="Smith Mcgrath, Burgess and"/>
    <x v="2"/>
    <n v="25618.411256498599"/>
    <n v="282"/>
    <x v="0"/>
    <d v="2019-08-11T00:00:00"/>
    <s v="Penicillin"/>
    <x v="2"/>
    <s v="High"/>
    <s v="Under Treatment"/>
    <s v="High Risk"/>
    <x v="1"/>
  </r>
  <r>
    <x v="1317"/>
    <n v="57"/>
    <x v="1"/>
    <s v="AB-"/>
    <x v="4"/>
    <d v="2021-06-02T00:00:00"/>
    <x v="1310"/>
    <s v="Myers and Brooks, Flores"/>
    <x v="4"/>
    <n v="3553.7408851751602"/>
    <n v="238"/>
    <x v="2"/>
    <d v="2021-06-14T00:00:00"/>
    <s v="Aspirin"/>
    <x v="1"/>
    <s v="Low"/>
    <s v="Under Treatment"/>
    <s v="High Risk"/>
    <x v="1"/>
  </r>
  <r>
    <x v="1318"/>
    <n v="41"/>
    <x v="1"/>
    <s v="AB+"/>
    <x v="3"/>
    <d v="2020-12-09T00:00:00"/>
    <x v="1311"/>
    <s v="and Vargas Sampson Young,"/>
    <x v="2"/>
    <n v="15801.6914189735"/>
    <n v="378"/>
    <x v="2"/>
    <d v="2021-01-02T00:00:00"/>
    <s v="Paracetamol"/>
    <x v="1"/>
    <s v="High"/>
    <s v="Under Treatment"/>
    <s v="High Risk"/>
    <x v="3"/>
  </r>
  <r>
    <x v="1319"/>
    <n v="63"/>
    <x v="0"/>
    <s v="B+"/>
    <x v="2"/>
    <d v="2022-12-22T00:00:00"/>
    <x v="1312"/>
    <s v="PLC Ortiz"/>
    <x v="2"/>
    <n v="25297.761885154501"/>
    <n v="451"/>
    <x v="2"/>
    <d v="2023-01-04T00:00:00"/>
    <s v="Paracetamol"/>
    <x v="2"/>
    <s v="High"/>
    <s v="Under Treatment"/>
    <s v="High Risk"/>
    <x v="1"/>
  </r>
  <r>
    <x v="1320"/>
    <n v="45"/>
    <x v="1"/>
    <s v="B+"/>
    <x v="1"/>
    <d v="2022-02-15T00:00:00"/>
    <x v="1313"/>
    <s v="Garner Inc"/>
    <x v="3"/>
    <n v="33203.493164639898"/>
    <n v="457"/>
    <x v="2"/>
    <d v="2022-02-16T00:00:00"/>
    <s v="Aspirin"/>
    <x v="0"/>
    <s v="High"/>
    <s v="Under Treatment"/>
    <s v="High Risk"/>
    <x v="3"/>
  </r>
  <r>
    <x v="1321"/>
    <n v="29"/>
    <x v="0"/>
    <s v="B-"/>
    <x v="2"/>
    <d v="2019-09-24T00:00:00"/>
    <x v="1314"/>
    <s v="Thomas-Nielsen"/>
    <x v="2"/>
    <n v="19536.961588492901"/>
    <n v="128"/>
    <x v="2"/>
    <d v="2019-10-05T00:00:00"/>
    <s v="Penicillin"/>
    <x v="1"/>
    <s v="High"/>
    <s v="Under Treatment"/>
    <s v="High Risk"/>
    <x v="0"/>
  </r>
  <r>
    <x v="1322"/>
    <n v="50"/>
    <x v="1"/>
    <s v="A+"/>
    <x v="2"/>
    <d v="2021-10-15T00:00:00"/>
    <x v="1315"/>
    <s v="Powell-Brown"/>
    <x v="4"/>
    <n v="24184.491305691601"/>
    <n v="282"/>
    <x v="2"/>
    <d v="2021-11-11T00:00:00"/>
    <s v="Lipitor"/>
    <x v="1"/>
    <s v="High"/>
    <s v="Under Treatment"/>
    <s v="High Risk"/>
    <x v="3"/>
  </r>
  <r>
    <x v="1323"/>
    <n v="37"/>
    <x v="1"/>
    <s v="B-"/>
    <x v="5"/>
    <d v="2022-05-18T00:00:00"/>
    <x v="1316"/>
    <s v="Cook LLC"/>
    <x v="1"/>
    <n v="17157.225355108101"/>
    <n v="189"/>
    <x v="0"/>
    <d v="2022-06-11T00:00:00"/>
    <s v="Penicillin"/>
    <x v="1"/>
    <s v="High"/>
    <s v="Under Treatment"/>
    <s v="High Risk"/>
    <x v="3"/>
  </r>
  <r>
    <x v="1324"/>
    <n v="21"/>
    <x v="1"/>
    <s v="B-"/>
    <x v="0"/>
    <d v="2023-09-14T00:00:00"/>
    <x v="1317"/>
    <s v="and Mcclain, Ramos Salas"/>
    <x v="3"/>
    <n v="4536.9496624215299"/>
    <n v="313"/>
    <x v="2"/>
    <d v="2023-10-09T00:00:00"/>
    <s v="Penicillin"/>
    <x v="2"/>
    <s v="Low"/>
    <s v="Under Treatment"/>
    <s v="High Risk"/>
    <x v="0"/>
  </r>
  <r>
    <x v="1325"/>
    <n v="33"/>
    <x v="1"/>
    <s v="B+"/>
    <x v="2"/>
    <d v="2021-07-24T00:00:00"/>
    <x v="1318"/>
    <s v="Kelly Scott, Brown and"/>
    <x v="1"/>
    <n v="24792.1735565495"/>
    <n v="107"/>
    <x v="0"/>
    <d v="2021-08-04T00:00:00"/>
    <s v="Penicillin"/>
    <x v="0"/>
    <s v="High"/>
    <s v="Under Treatment"/>
    <s v="High Risk"/>
    <x v="0"/>
  </r>
  <r>
    <x v="1326"/>
    <n v="85"/>
    <x v="1"/>
    <s v="A+"/>
    <x v="0"/>
    <d v="2023-05-21T00:00:00"/>
    <x v="1319"/>
    <s v="Graham Knight, and Griffin"/>
    <x v="4"/>
    <n v="21230.532188153898"/>
    <n v="358"/>
    <x v="0"/>
    <d v="2023-05-28T00:00:00"/>
    <s v="Aspirin"/>
    <x v="2"/>
    <s v="High"/>
    <s v="Under Treatment"/>
    <s v="High Risk"/>
    <x v="2"/>
  </r>
  <r>
    <x v="1327"/>
    <n v="53"/>
    <x v="0"/>
    <s v="AB-"/>
    <x v="4"/>
    <d v="2019-08-11T00:00:00"/>
    <x v="1320"/>
    <s v="PLC Smith"/>
    <x v="1"/>
    <n v="44685.290247396901"/>
    <n v="124"/>
    <x v="1"/>
    <d v="2019-08-18T00:00:00"/>
    <s v="Paracetamol"/>
    <x v="2"/>
    <s v="High"/>
    <s v="Under Treatment"/>
    <s v="High Risk"/>
    <x v="1"/>
  </r>
  <r>
    <x v="1328"/>
    <n v="47"/>
    <x v="0"/>
    <s v="A+"/>
    <x v="2"/>
    <d v="2022-08-20T00:00:00"/>
    <x v="1321"/>
    <s v="Mendoza, Thomas Choi and"/>
    <x v="0"/>
    <n v="18023.21055742"/>
    <n v="275"/>
    <x v="1"/>
    <d v="2022-09-06T00:00:00"/>
    <s v="Aspirin"/>
    <x v="2"/>
    <s v="High"/>
    <s v="Under Treatment"/>
    <s v="High Risk"/>
    <x v="3"/>
  </r>
  <r>
    <x v="1329"/>
    <n v="51"/>
    <x v="1"/>
    <s v="B-"/>
    <x v="3"/>
    <d v="2023-07-18T00:00:00"/>
    <x v="1322"/>
    <s v="Walton and Strickland Yates,"/>
    <x v="2"/>
    <n v="32656.973493174599"/>
    <n v="129"/>
    <x v="1"/>
    <d v="2023-08-09T00:00:00"/>
    <s v="Ibuprofen"/>
    <x v="2"/>
    <s v="High"/>
    <s v="Under Treatment"/>
    <s v="High Risk"/>
    <x v="1"/>
  </r>
  <r>
    <x v="1330"/>
    <n v="53"/>
    <x v="0"/>
    <s v="B+"/>
    <x v="0"/>
    <d v="2021-08-08T00:00:00"/>
    <x v="1323"/>
    <s v="Smith-Espinoza"/>
    <x v="3"/>
    <n v="9148.5606519414905"/>
    <n v="387"/>
    <x v="2"/>
    <d v="2021-09-04T00:00:00"/>
    <s v="Penicillin"/>
    <x v="1"/>
    <s v="Medium"/>
    <s v="Under Treatment"/>
    <s v="High Risk"/>
    <x v="1"/>
  </r>
  <r>
    <x v="1331"/>
    <n v="60"/>
    <x v="0"/>
    <s v="AB-"/>
    <x v="3"/>
    <d v="2022-07-21T00:00:00"/>
    <x v="1324"/>
    <s v="Delacruz-Watson"/>
    <x v="1"/>
    <n v="46157.428827085801"/>
    <n v="419"/>
    <x v="0"/>
    <d v="2022-08-11T00:00:00"/>
    <s v="Lipitor"/>
    <x v="2"/>
    <s v="High"/>
    <s v="Under Treatment"/>
    <s v="High Risk"/>
    <x v="1"/>
  </r>
  <r>
    <x v="1332"/>
    <n v="67"/>
    <x v="0"/>
    <s v="O+"/>
    <x v="5"/>
    <d v="2020-11-29T00:00:00"/>
    <x v="1325"/>
    <s v="PLC Nunez"/>
    <x v="0"/>
    <n v="23595.3453904167"/>
    <n v="419"/>
    <x v="0"/>
    <d v="2020-12-05T00:00:00"/>
    <s v="Ibuprofen"/>
    <x v="1"/>
    <s v="High"/>
    <s v="Under Treatment"/>
    <s v="High Risk"/>
    <x v="2"/>
  </r>
  <r>
    <x v="1333"/>
    <n v="61"/>
    <x v="1"/>
    <s v="A-"/>
    <x v="0"/>
    <d v="2022-12-31T00:00:00"/>
    <x v="1326"/>
    <s v="Kim, Curry and Hensley"/>
    <x v="0"/>
    <n v="22176.6016687345"/>
    <n v="231"/>
    <x v="2"/>
    <d v="2023-01-09T00:00:00"/>
    <s v="Lipitor"/>
    <x v="0"/>
    <s v="High"/>
    <s v="Under Treatment"/>
    <s v="High Risk"/>
    <x v="1"/>
  </r>
  <r>
    <x v="1334"/>
    <n v="48"/>
    <x v="1"/>
    <s v="A+"/>
    <x v="4"/>
    <d v="2021-03-09T00:00:00"/>
    <x v="1327"/>
    <s v="Spears Group"/>
    <x v="2"/>
    <n v="27151.440488378001"/>
    <n v="321"/>
    <x v="0"/>
    <d v="2021-03-15T00:00:00"/>
    <s v="Aspirin"/>
    <x v="1"/>
    <s v="High"/>
    <s v="Under Treatment"/>
    <s v="High Risk"/>
    <x v="3"/>
  </r>
  <r>
    <x v="1335"/>
    <n v="40"/>
    <x v="0"/>
    <s v="A-"/>
    <x v="3"/>
    <d v="2019-05-15T00:00:00"/>
    <x v="1328"/>
    <s v="Glenn-Lane"/>
    <x v="1"/>
    <n v="21619.417297457399"/>
    <n v="135"/>
    <x v="0"/>
    <d v="2019-06-01T00:00:00"/>
    <s v="Lipitor"/>
    <x v="2"/>
    <s v="High"/>
    <s v="Under Treatment"/>
    <s v="High Risk"/>
    <x v="3"/>
  </r>
  <r>
    <x v="1336"/>
    <n v="80"/>
    <x v="1"/>
    <s v="A+"/>
    <x v="3"/>
    <d v="2024-02-10T00:00:00"/>
    <x v="1329"/>
    <s v="Carlson Hicks, Fitzgerald and"/>
    <x v="1"/>
    <n v="30317.262371910601"/>
    <n v="252"/>
    <x v="0"/>
    <d v="2024-02-19T00:00:00"/>
    <s v="Ibuprofen"/>
    <x v="2"/>
    <s v="High"/>
    <s v="Under Treatment"/>
    <s v="High Risk"/>
    <x v="2"/>
  </r>
  <r>
    <x v="1337"/>
    <n v="60"/>
    <x v="1"/>
    <s v="AB+"/>
    <x v="0"/>
    <d v="2022-09-17T00:00:00"/>
    <x v="1330"/>
    <s v="Thompson, Cole and Johnson"/>
    <x v="3"/>
    <n v="12624.8414000434"/>
    <n v="196"/>
    <x v="0"/>
    <d v="2022-09-30T00:00:00"/>
    <s v="Lipitor"/>
    <x v="1"/>
    <s v="Medium"/>
    <s v="Under Treatment"/>
    <s v="High Risk"/>
    <x v="1"/>
  </r>
  <r>
    <x v="1338"/>
    <n v="36"/>
    <x v="0"/>
    <s v="O+"/>
    <x v="3"/>
    <d v="2022-03-06T00:00:00"/>
    <x v="1331"/>
    <s v="Gallagher-Johnson"/>
    <x v="0"/>
    <n v="20379.287225038599"/>
    <n v="225"/>
    <x v="1"/>
    <d v="2022-04-01T00:00:00"/>
    <s v="Aspirin"/>
    <x v="1"/>
    <s v="High"/>
    <s v="Under Treatment"/>
    <s v="High Risk"/>
    <x v="3"/>
  </r>
  <r>
    <x v="1339"/>
    <n v="70"/>
    <x v="0"/>
    <s v="O-"/>
    <x v="3"/>
    <d v="2019-06-07T00:00:00"/>
    <x v="1332"/>
    <s v="Ferguson Sons and"/>
    <x v="0"/>
    <n v="36923.593923984903"/>
    <n v="287"/>
    <x v="0"/>
    <d v="2019-06-12T00:00:00"/>
    <s v="Ibuprofen"/>
    <x v="2"/>
    <s v="High"/>
    <s v="Under Treatment"/>
    <s v="High Risk"/>
    <x v="2"/>
  </r>
  <r>
    <x v="1340"/>
    <n v="58"/>
    <x v="1"/>
    <s v="AB+"/>
    <x v="2"/>
    <d v="2022-08-07T00:00:00"/>
    <x v="1333"/>
    <s v="Walters-Bonilla"/>
    <x v="4"/>
    <n v="28774.579264722099"/>
    <n v="481"/>
    <x v="0"/>
    <d v="2022-08-30T00:00:00"/>
    <s v="Lipitor"/>
    <x v="0"/>
    <s v="High"/>
    <s v="Under Treatment"/>
    <s v="High Risk"/>
    <x v="1"/>
  </r>
  <r>
    <x v="1341"/>
    <n v="81"/>
    <x v="1"/>
    <s v="A-"/>
    <x v="2"/>
    <d v="2022-05-14T00:00:00"/>
    <x v="1334"/>
    <s v="Franklin Gentry and Kennedy,"/>
    <x v="2"/>
    <n v="43279.727770244499"/>
    <n v="309"/>
    <x v="1"/>
    <d v="2022-05-22T00:00:00"/>
    <s v="Paracetamol"/>
    <x v="0"/>
    <s v="High"/>
    <s v="Under Treatment"/>
    <s v="High Risk"/>
    <x v="2"/>
  </r>
  <r>
    <x v="1342"/>
    <n v="22"/>
    <x v="0"/>
    <s v="O-"/>
    <x v="2"/>
    <d v="2021-05-29T00:00:00"/>
    <x v="1335"/>
    <s v="LLC Martin"/>
    <x v="0"/>
    <n v="27954.426572647699"/>
    <n v="484"/>
    <x v="2"/>
    <d v="2021-05-31T00:00:00"/>
    <s v="Lipitor"/>
    <x v="2"/>
    <s v="High"/>
    <s v="Under Treatment"/>
    <s v="High Risk"/>
    <x v="0"/>
  </r>
  <r>
    <x v="1343"/>
    <n v="65"/>
    <x v="1"/>
    <s v="AB-"/>
    <x v="2"/>
    <d v="2023-07-28T00:00:00"/>
    <x v="1336"/>
    <s v="Scott, and Peters Burns"/>
    <x v="0"/>
    <n v="46417.347740671998"/>
    <n v="284"/>
    <x v="1"/>
    <d v="2023-08-05T00:00:00"/>
    <s v="Ibuprofen"/>
    <x v="0"/>
    <s v="High"/>
    <s v="Under Treatment"/>
    <s v="High Risk"/>
    <x v="1"/>
  </r>
  <r>
    <x v="1344"/>
    <n v="70"/>
    <x v="1"/>
    <s v="B+"/>
    <x v="2"/>
    <d v="2022-03-16T00:00:00"/>
    <x v="1337"/>
    <s v="Suarez Ltd"/>
    <x v="0"/>
    <n v="47628.6275876371"/>
    <n v="454"/>
    <x v="0"/>
    <d v="2022-03-22T00:00:00"/>
    <s v="Lipitor"/>
    <x v="1"/>
    <s v="High"/>
    <s v="Under Treatment"/>
    <s v="High Risk"/>
    <x v="2"/>
  </r>
  <r>
    <x v="1345"/>
    <n v="72"/>
    <x v="1"/>
    <s v="B-"/>
    <x v="3"/>
    <d v="2021-06-18T00:00:00"/>
    <x v="1338"/>
    <s v="White-Thompson"/>
    <x v="4"/>
    <n v="43588.8495310527"/>
    <n v="244"/>
    <x v="1"/>
    <d v="2021-06-21T00:00:00"/>
    <s v="Ibuprofen"/>
    <x v="1"/>
    <s v="High"/>
    <s v="Under Treatment"/>
    <s v="High Risk"/>
    <x v="2"/>
  </r>
  <r>
    <x v="1346"/>
    <n v="18"/>
    <x v="1"/>
    <s v="AB+"/>
    <x v="5"/>
    <d v="2020-06-09T00:00:00"/>
    <x v="1339"/>
    <s v="Davidson-Shaw"/>
    <x v="0"/>
    <n v="28513.176012306401"/>
    <n v="416"/>
    <x v="2"/>
    <d v="2020-06-13T00:00:00"/>
    <s v="Aspirin"/>
    <x v="1"/>
    <s v="High"/>
    <s v="Under Treatment"/>
    <s v="High Risk"/>
    <x v="4"/>
  </r>
  <r>
    <x v="1347"/>
    <n v="85"/>
    <x v="1"/>
    <s v="AB+"/>
    <x v="4"/>
    <d v="2024-01-16T00:00:00"/>
    <x v="1340"/>
    <s v="Levy-Smith"/>
    <x v="4"/>
    <n v="24217.320709978801"/>
    <n v="255"/>
    <x v="2"/>
    <d v="2024-02-03T00:00:00"/>
    <s v="Penicillin"/>
    <x v="2"/>
    <s v="High"/>
    <s v="Under Treatment"/>
    <s v="High Risk"/>
    <x v="2"/>
  </r>
  <r>
    <x v="1348"/>
    <n v="36"/>
    <x v="0"/>
    <s v="O+"/>
    <x v="1"/>
    <d v="2020-03-13T00:00:00"/>
    <x v="1341"/>
    <s v="Wyatt and Kramer Porter,"/>
    <x v="4"/>
    <n v="47873.9676615805"/>
    <n v="253"/>
    <x v="2"/>
    <d v="2020-03-28T00:00:00"/>
    <s v="Lipitor"/>
    <x v="0"/>
    <s v="High"/>
    <s v="Under Treatment"/>
    <s v="High Risk"/>
    <x v="3"/>
  </r>
  <r>
    <x v="1349"/>
    <n v="36"/>
    <x v="1"/>
    <s v="B-"/>
    <x v="5"/>
    <d v="2024-03-28T00:00:00"/>
    <x v="1342"/>
    <s v="Clarke-King"/>
    <x v="0"/>
    <n v="30735.4786052856"/>
    <n v="166"/>
    <x v="2"/>
    <d v="2024-04-26T00:00:00"/>
    <s v="Penicillin"/>
    <x v="0"/>
    <s v="High"/>
    <s v="Under Treatment"/>
    <s v="High Risk"/>
    <x v="3"/>
  </r>
  <r>
    <x v="1350"/>
    <n v="58"/>
    <x v="1"/>
    <s v="A+"/>
    <x v="4"/>
    <d v="2020-09-30T00:00:00"/>
    <x v="1343"/>
    <s v="Mcdaniel PLC"/>
    <x v="1"/>
    <n v="35726.732852832298"/>
    <n v="300"/>
    <x v="1"/>
    <d v="2020-10-03T00:00:00"/>
    <s v="Aspirin"/>
    <x v="0"/>
    <s v="High"/>
    <s v="Under Treatment"/>
    <s v="High Risk"/>
    <x v="1"/>
  </r>
  <r>
    <x v="1351"/>
    <n v="82"/>
    <x v="0"/>
    <s v="O-"/>
    <x v="2"/>
    <d v="2020-08-16T00:00:00"/>
    <x v="1344"/>
    <s v="LLC Ramos"/>
    <x v="2"/>
    <n v="16385.4681815002"/>
    <n v="237"/>
    <x v="0"/>
    <d v="2020-08-20T00:00:00"/>
    <s v="Ibuprofen"/>
    <x v="2"/>
    <s v="High"/>
    <s v="Under Treatment"/>
    <s v="High Risk"/>
    <x v="2"/>
  </r>
  <r>
    <x v="1352"/>
    <n v="47"/>
    <x v="1"/>
    <s v="AB+"/>
    <x v="2"/>
    <d v="2020-11-05T00:00:00"/>
    <x v="1345"/>
    <s v="and Montgomery Day Pierce,"/>
    <x v="0"/>
    <n v="34468.359636655201"/>
    <n v="279"/>
    <x v="1"/>
    <d v="2020-11-30T00:00:00"/>
    <s v="Lipitor"/>
    <x v="2"/>
    <s v="High"/>
    <s v="Under Treatment"/>
    <s v="High Risk"/>
    <x v="3"/>
  </r>
  <r>
    <x v="1353"/>
    <n v="76"/>
    <x v="1"/>
    <s v="O-"/>
    <x v="4"/>
    <d v="2022-11-11T00:00:00"/>
    <x v="1346"/>
    <s v="Martin-Martinez"/>
    <x v="0"/>
    <n v="23370.746267666102"/>
    <n v="467"/>
    <x v="2"/>
    <d v="2022-12-06T00:00:00"/>
    <s v="Ibuprofen"/>
    <x v="1"/>
    <s v="High"/>
    <s v="Under Treatment"/>
    <s v="High Risk"/>
    <x v="2"/>
  </r>
  <r>
    <x v="1354"/>
    <n v="42"/>
    <x v="0"/>
    <s v="O+"/>
    <x v="0"/>
    <d v="2020-04-22T00:00:00"/>
    <x v="1347"/>
    <s v="Thomas Jones and Hill,"/>
    <x v="3"/>
    <n v="31914.053599236198"/>
    <n v="304"/>
    <x v="2"/>
    <d v="2020-05-15T00:00:00"/>
    <s v="Paracetamol"/>
    <x v="1"/>
    <s v="High"/>
    <s v="Under Treatment"/>
    <s v="High Risk"/>
    <x v="3"/>
  </r>
  <r>
    <x v="1355"/>
    <n v="29"/>
    <x v="1"/>
    <s v="O+"/>
    <x v="1"/>
    <d v="2019-12-30T00:00:00"/>
    <x v="1348"/>
    <s v="Hart and Winters, Giles"/>
    <x v="4"/>
    <n v="34517.820468894402"/>
    <n v="204"/>
    <x v="1"/>
    <d v="2020-01-18T00:00:00"/>
    <s v="Penicillin"/>
    <x v="1"/>
    <s v="High"/>
    <s v="Under Treatment"/>
    <s v="High Risk"/>
    <x v="0"/>
  </r>
  <r>
    <x v="1356"/>
    <n v="80"/>
    <x v="1"/>
    <s v="AB-"/>
    <x v="1"/>
    <d v="2022-08-31T00:00:00"/>
    <x v="1349"/>
    <s v="Collins-Tyler"/>
    <x v="0"/>
    <n v="6971.6327403324904"/>
    <n v="161"/>
    <x v="2"/>
    <d v="2022-09-09T00:00:00"/>
    <s v="Ibuprofen"/>
    <x v="1"/>
    <s v="Medium"/>
    <s v="Under Treatment"/>
    <s v="High Risk"/>
    <x v="2"/>
  </r>
  <r>
    <x v="1357"/>
    <n v="65"/>
    <x v="0"/>
    <s v="O+"/>
    <x v="4"/>
    <d v="2019-08-14T00:00:00"/>
    <x v="1350"/>
    <s v="Shaw-Blair"/>
    <x v="0"/>
    <n v="43577.682997729898"/>
    <n v="396"/>
    <x v="2"/>
    <d v="2019-09-11T00:00:00"/>
    <s v="Aspirin"/>
    <x v="0"/>
    <s v="High"/>
    <s v="Under Treatment"/>
    <s v="High Risk"/>
    <x v="1"/>
  </r>
  <r>
    <x v="1358"/>
    <n v="38"/>
    <x v="1"/>
    <s v="B+"/>
    <x v="4"/>
    <d v="2022-01-19T00:00:00"/>
    <x v="1351"/>
    <s v="Whitaker-Wright"/>
    <x v="2"/>
    <n v="27755.6343714424"/>
    <n v="468"/>
    <x v="2"/>
    <d v="2022-01-23T00:00:00"/>
    <s v="Lipitor"/>
    <x v="1"/>
    <s v="High"/>
    <s v="Under Treatment"/>
    <s v="High Risk"/>
    <x v="3"/>
  </r>
  <r>
    <x v="1359"/>
    <n v="45"/>
    <x v="0"/>
    <s v="O-"/>
    <x v="2"/>
    <d v="2024-05-01T00:00:00"/>
    <x v="1352"/>
    <s v="Smith, and Lowe Gross"/>
    <x v="0"/>
    <n v="20257.981249099299"/>
    <n v="134"/>
    <x v="1"/>
    <d v="2024-05-30T00:00:00"/>
    <s v="Lipitor"/>
    <x v="1"/>
    <s v="High"/>
    <s v="Under Treatment"/>
    <s v="High Risk"/>
    <x v="3"/>
  </r>
  <r>
    <x v="1360"/>
    <n v="18"/>
    <x v="1"/>
    <s v="B-"/>
    <x v="4"/>
    <d v="2023-03-08T00:00:00"/>
    <x v="1353"/>
    <s v="Carter-Johnson"/>
    <x v="4"/>
    <n v="10381.479358717401"/>
    <n v="438"/>
    <x v="1"/>
    <d v="2023-03-09T00:00:00"/>
    <s v="Lipitor"/>
    <x v="1"/>
    <s v="Medium"/>
    <s v="Under Treatment"/>
    <s v="High Risk"/>
    <x v="4"/>
  </r>
  <r>
    <x v="1361"/>
    <n v="84"/>
    <x v="0"/>
    <s v="AB-"/>
    <x v="0"/>
    <d v="2023-09-06T00:00:00"/>
    <x v="1354"/>
    <s v="Carter-Estrada"/>
    <x v="0"/>
    <n v="2091.7714939395501"/>
    <n v="159"/>
    <x v="1"/>
    <d v="2023-09-24T00:00:00"/>
    <s v="Penicillin"/>
    <x v="1"/>
    <s v="Low"/>
    <s v="Under Treatment"/>
    <s v="High Risk"/>
    <x v="2"/>
  </r>
  <r>
    <x v="1362"/>
    <n v="59"/>
    <x v="1"/>
    <s v="AB+"/>
    <x v="3"/>
    <d v="2023-03-30T00:00:00"/>
    <x v="1355"/>
    <s v="Williams-Garcia"/>
    <x v="3"/>
    <n v="40998.755402491202"/>
    <n v="163"/>
    <x v="2"/>
    <d v="2023-04-06T00:00:00"/>
    <s v="Aspirin"/>
    <x v="2"/>
    <s v="High"/>
    <s v="Under Treatment"/>
    <s v="High Risk"/>
    <x v="1"/>
  </r>
  <r>
    <x v="1363"/>
    <n v="77"/>
    <x v="0"/>
    <s v="B-"/>
    <x v="0"/>
    <d v="2023-02-07T00:00:00"/>
    <x v="1356"/>
    <s v="Newman-Barrera"/>
    <x v="4"/>
    <n v="38466.647768131399"/>
    <n v="312"/>
    <x v="1"/>
    <d v="2023-02-19T00:00:00"/>
    <s v="Paracetamol"/>
    <x v="0"/>
    <s v="High"/>
    <s v="Under Treatment"/>
    <s v="High Risk"/>
    <x v="2"/>
  </r>
  <r>
    <x v="1364"/>
    <n v="68"/>
    <x v="1"/>
    <s v="AB+"/>
    <x v="1"/>
    <d v="2022-02-22T00:00:00"/>
    <x v="1357"/>
    <s v="Reese-Benjamin"/>
    <x v="1"/>
    <n v="39205.2931369953"/>
    <n v="110"/>
    <x v="0"/>
    <d v="2022-03-04T00:00:00"/>
    <s v="Ibuprofen"/>
    <x v="0"/>
    <s v="High"/>
    <s v="Under Treatment"/>
    <s v="High Risk"/>
    <x v="2"/>
  </r>
  <r>
    <x v="1365"/>
    <n v="45"/>
    <x v="0"/>
    <s v="O-"/>
    <x v="2"/>
    <d v="2022-04-19T00:00:00"/>
    <x v="1358"/>
    <s v="Fernandez-Parrish"/>
    <x v="1"/>
    <n v="12781.956885363101"/>
    <n v="298"/>
    <x v="2"/>
    <d v="2022-04-30T00:00:00"/>
    <s v="Paracetamol"/>
    <x v="2"/>
    <s v="Medium"/>
    <s v="Under Treatment"/>
    <s v="High Risk"/>
    <x v="3"/>
  </r>
  <r>
    <x v="1366"/>
    <n v="84"/>
    <x v="0"/>
    <s v="A+"/>
    <x v="5"/>
    <d v="2022-05-24T00:00:00"/>
    <x v="1359"/>
    <s v="Davis, and Foster Stanley"/>
    <x v="3"/>
    <n v="17826.6140337738"/>
    <n v="276"/>
    <x v="0"/>
    <d v="2022-06-23T00:00:00"/>
    <s v="Lipitor"/>
    <x v="0"/>
    <s v="High"/>
    <s v="Under Treatment"/>
    <s v="High Risk"/>
    <x v="2"/>
  </r>
  <r>
    <x v="1367"/>
    <n v="69"/>
    <x v="0"/>
    <s v="B-"/>
    <x v="1"/>
    <d v="2019-06-12T00:00:00"/>
    <x v="1360"/>
    <s v="and Fitzgerald Wells Campbell,"/>
    <x v="0"/>
    <n v="47313.711475050099"/>
    <n v="116"/>
    <x v="0"/>
    <d v="2019-07-04T00:00:00"/>
    <s v="Lipitor"/>
    <x v="2"/>
    <s v="High"/>
    <s v="Under Treatment"/>
    <s v="High Risk"/>
    <x v="2"/>
  </r>
  <r>
    <x v="1368"/>
    <n v="70"/>
    <x v="1"/>
    <s v="AB+"/>
    <x v="3"/>
    <d v="2020-07-19T00:00:00"/>
    <x v="1361"/>
    <s v="Jimenez-Shaw"/>
    <x v="2"/>
    <n v="11001.998694363199"/>
    <n v="348"/>
    <x v="0"/>
    <d v="2020-08-11T00:00:00"/>
    <s v="Aspirin"/>
    <x v="1"/>
    <s v="Medium"/>
    <s v="Under Treatment"/>
    <s v="High Risk"/>
    <x v="2"/>
  </r>
  <r>
    <x v="1369"/>
    <n v="85"/>
    <x v="0"/>
    <s v="O-"/>
    <x v="5"/>
    <d v="2019-11-09T00:00:00"/>
    <x v="1362"/>
    <s v="Harvey-Cook"/>
    <x v="4"/>
    <n v="45773.948146267001"/>
    <n v="441"/>
    <x v="2"/>
    <d v="2019-12-09T00:00:00"/>
    <s v="Paracetamol"/>
    <x v="1"/>
    <s v="High"/>
    <s v="Under Treatment"/>
    <s v="High Risk"/>
    <x v="2"/>
  </r>
  <r>
    <x v="1370"/>
    <n v="47"/>
    <x v="0"/>
    <s v="AB+"/>
    <x v="3"/>
    <d v="2023-07-10T00:00:00"/>
    <x v="1363"/>
    <s v="Odonnell-Martin"/>
    <x v="1"/>
    <n v="1371.18317049497"/>
    <n v="169"/>
    <x v="2"/>
    <d v="2023-07-29T00:00:00"/>
    <s v="Paracetamol"/>
    <x v="1"/>
    <s v="Low"/>
    <s v="Under Treatment"/>
    <s v="High Risk"/>
    <x v="3"/>
  </r>
  <r>
    <x v="1371"/>
    <n v="39"/>
    <x v="0"/>
    <s v="A-"/>
    <x v="2"/>
    <d v="2020-02-18T00:00:00"/>
    <x v="1364"/>
    <s v="Smith and Fisher, Gonzalez"/>
    <x v="0"/>
    <n v="25197.804976146999"/>
    <n v="141"/>
    <x v="1"/>
    <d v="2020-03-14T00:00:00"/>
    <s v="Lipitor"/>
    <x v="2"/>
    <s v="High"/>
    <s v="Under Treatment"/>
    <s v="High Risk"/>
    <x v="3"/>
  </r>
  <r>
    <x v="1372"/>
    <n v="77"/>
    <x v="1"/>
    <s v="B-"/>
    <x v="5"/>
    <d v="2019-05-28T00:00:00"/>
    <x v="1365"/>
    <s v="LLC Long"/>
    <x v="4"/>
    <n v="18672.769403720598"/>
    <n v="352"/>
    <x v="2"/>
    <d v="2019-06-16T00:00:00"/>
    <s v="Aspirin"/>
    <x v="1"/>
    <s v="High"/>
    <s v="Under Treatment"/>
    <s v="High Risk"/>
    <x v="2"/>
  </r>
  <r>
    <x v="1373"/>
    <n v="69"/>
    <x v="1"/>
    <s v="B+"/>
    <x v="4"/>
    <d v="2020-01-15T00:00:00"/>
    <x v="1366"/>
    <s v="Kirk-Carlson"/>
    <x v="2"/>
    <n v="8843.25124193587"/>
    <n v="349"/>
    <x v="1"/>
    <d v="2020-01-26T00:00:00"/>
    <s v="Lipitor"/>
    <x v="0"/>
    <s v="Medium"/>
    <s v="Under Treatment"/>
    <s v="High Risk"/>
    <x v="2"/>
  </r>
  <r>
    <x v="1374"/>
    <n v="53"/>
    <x v="1"/>
    <s v="O+"/>
    <x v="5"/>
    <d v="2023-02-08T00:00:00"/>
    <x v="1367"/>
    <s v="and Lamb, Fernandez Gomez"/>
    <x v="3"/>
    <n v="27779.500991305598"/>
    <n v="402"/>
    <x v="0"/>
    <d v="2023-02-26T00:00:00"/>
    <s v="Ibuprofen"/>
    <x v="2"/>
    <s v="High"/>
    <s v="Under Treatment"/>
    <s v="High Risk"/>
    <x v="1"/>
  </r>
  <r>
    <x v="1375"/>
    <n v="51"/>
    <x v="1"/>
    <s v="O-"/>
    <x v="3"/>
    <d v="2021-01-22T00:00:00"/>
    <x v="1368"/>
    <s v="Bryant-Page"/>
    <x v="1"/>
    <n v="21208.015798785698"/>
    <n v="352"/>
    <x v="2"/>
    <d v="2021-02-17T00:00:00"/>
    <s v="Aspirin"/>
    <x v="2"/>
    <s v="High"/>
    <s v="Under Treatment"/>
    <s v="High Risk"/>
    <x v="1"/>
  </r>
  <r>
    <x v="1376"/>
    <n v="21"/>
    <x v="0"/>
    <s v="A-"/>
    <x v="5"/>
    <d v="2020-02-07T00:00:00"/>
    <x v="1369"/>
    <s v="PLC Fischer"/>
    <x v="4"/>
    <n v="44455.981189821498"/>
    <n v="120"/>
    <x v="1"/>
    <d v="2020-02-09T00:00:00"/>
    <s v="Penicillin"/>
    <x v="1"/>
    <s v="High"/>
    <s v="Under Treatment"/>
    <s v="High Risk"/>
    <x v="0"/>
  </r>
  <r>
    <x v="1377"/>
    <n v="83"/>
    <x v="1"/>
    <s v="AB-"/>
    <x v="4"/>
    <d v="2021-05-25T00:00:00"/>
    <x v="1370"/>
    <s v="Sons Hunt and"/>
    <x v="0"/>
    <n v="26435.256793702501"/>
    <n v="131"/>
    <x v="0"/>
    <d v="2021-06-23T00:00:00"/>
    <s v="Penicillin"/>
    <x v="1"/>
    <s v="High"/>
    <s v="Under Treatment"/>
    <s v="High Risk"/>
    <x v="2"/>
  </r>
  <r>
    <x v="1378"/>
    <n v="57"/>
    <x v="1"/>
    <s v="AB+"/>
    <x v="1"/>
    <d v="2022-06-23T00:00:00"/>
    <x v="1371"/>
    <s v="Inc Park"/>
    <x v="3"/>
    <n v="27292.275487086099"/>
    <n v="140"/>
    <x v="0"/>
    <d v="2022-07-08T00:00:00"/>
    <s v="Lipitor"/>
    <x v="0"/>
    <s v="High"/>
    <s v="Under Treatment"/>
    <s v="High Risk"/>
    <x v="1"/>
  </r>
  <r>
    <x v="1379"/>
    <n v="31"/>
    <x v="1"/>
    <s v="B+"/>
    <x v="3"/>
    <d v="2021-09-20T00:00:00"/>
    <x v="1372"/>
    <s v="Gilbert-Morales"/>
    <x v="0"/>
    <n v="30108.9412022621"/>
    <n v="158"/>
    <x v="0"/>
    <d v="2021-10-11T00:00:00"/>
    <s v="Lipitor"/>
    <x v="0"/>
    <s v="High"/>
    <s v="Under Treatment"/>
    <s v="High Risk"/>
    <x v="0"/>
  </r>
  <r>
    <x v="1380"/>
    <n v="68"/>
    <x v="0"/>
    <s v="AB-"/>
    <x v="0"/>
    <d v="2023-04-25T00:00:00"/>
    <x v="1373"/>
    <s v="LLC Blanchard"/>
    <x v="2"/>
    <n v="9540.6805001706707"/>
    <n v="222"/>
    <x v="1"/>
    <d v="2023-05-22T00:00:00"/>
    <s v="Lipitor"/>
    <x v="1"/>
    <s v="Medium"/>
    <s v="Under Treatment"/>
    <s v="High Risk"/>
    <x v="2"/>
  </r>
  <r>
    <x v="1381"/>
    <n v="49"/>
    <x v="1"/>
    <s v="B+"/>
    <x v="2"/>
    <d v="2019-11-24T00:00:00"/>
    <x v="1374"/>
    <s v="Day-Barrett"/>
    <x v="1"/>
    <n v="40130.261445374599"/>
    <n v="447"/>
    <x v="1"/>
    <d v="2019-12-18T00:00:00"/>
    <s v="Lipitor"/>
    <x v="2"/>
    <s v="High"/>
    <s v="Under Treatment"/>
    <s v="High Risk"/>
    <x v="3"/>
  </r>
  <r>
    <x v="1382"/>
    <n v="84"/>
    <x v="0"/>
    <s v="O+"/>
    <x v="0"/>
    <d v="2021-04-12T00:00:00"/>
    <x v="1375"/>
    <s v="Ltd Henry"/>
    <x v="1"/>
    <n v="36198.320489842001"/>
    <n v="406"/>
    <x v="0"/>
    <d v="2021-04-22T00:00:00"/>
    <s v="Penicillin"/>
    <x v="2"/>
    <s v="High"/>
    <s v="Under Treatment"/>
    <s v="High Risk"/>
    <x v="2"/>
  </r>
  <r>
    <x v="1383"/>
    <n v="69"/>
    <x v="0"/>
    <s v="A-"/>
    <x v="3"/>
    <d v="2020-11-17T00:00:00"/>
    <x v="1376"/>
    <s v="Garcia and Stone Hamilton,"/>
    <x v="4"/>
    <n v="46067.274143618"/>
    <n v="297"/>
    <x v="1"/>
    <d v="2020-12-06T00:00:00"/>
    <s v="Paracetamol"/>
    <x v="0"/>
    <s v="High"/>
    <s v="Under Treatment"/>
    <s v="High Risk"/>
    <x v="2"/>
  </r>
  <r>
    <x v="1384"/>
    <n v="68"/>
    <x v="1"/>
    <s v="B-"/>
    <x v="0"/>
    <d v="2022-04-11T00:00:00"/>
    <x v="1377"/>
    <s v="Camacho, and Jones Young"/>
    <x v="1"/>
    <n v="22442.442850759599"/>
    <n v="172"/>
    <x v="2"/>
    <d v="2022-05-05T00:00:00"/>
    <s v="Ibuprofen"/>
    <x v="0"/>
    <s v="High"/>
    <s v="Under Treatment"/>
    <s v="High Risk"/>
    <x v="2"/>
  </r>
  <r>
    <x v="1385"/>
    <n v="72"/>
    <x v="0"/>
    <s v="AB-"/>
    <x v="1"/>
    <d v="2022-12-23T00:00:00"/>
    <x v="1378"/>
    <s v="Rodriguez and Taylor Sanchez,"/>
    <x v="3"/>
    <n v="32679.282472369599"/>
    <n v="382"/>
    <x v="2"/>
    <d v="2023-01-10T00:00:00"/>
    <s v="Aspirin"/>
    <x v="0"/>
    <s v="High"/>
    <s v="Under Treatment"/>
    <s v="High Risk"/>
    <x v="2"/>
  </r>
  <r>
    <x v="1386"/>
    <n v="36"/>
    <x v="0"/>
    <s v="AB+"/>
    <x v="3"/>
    <d v="2020-11-28T00:00:00"/>
    <x v="1379"/>
    <s v="Dorsey-Black"/>
    <x v="4"/>
    <n v="38630.956589326401"/>
    <n v="173"/>
    <x v="0"/>
    <d v="2020-12-06T00:00:00"/>
    <s v="Penicillin"/>
    <x v="2"/>
    <s v="High"/>
    <s v="Under Treatment"/>
    <s v="High Risk"/>
    <x v="3"/>
  </r>
  <r>
    <x v="1387"/>
    <n v="78"/>
    <x v="1"/>
    <s v="O-"/>
    <x v="1"/>
    <d v="2021-04-07T00:00:00"/>
    <x v="1380"/>
    <s v="Fernandez-Vasquez"/>
    <x v="2"/>
    <n v="19336.594677598001"/>
    <n v="231"/>
    <x v="1"/>
    <d v="2021-04-20T00:00:00"/>
    <s v="Ibuprofen"/>
    <x v="2"/>
    <s v="High"/>
    <s v="Under Treatment"/>
    <s v="High Risk"/>
    <x v="2"/>
  </r>
  <r>
    <x v="1388"/>
    <n v="62"/>
    <x v="0"/>
    <s v="O+"/>
    <x v="2"/>
    <d v="2024-02-04T00:00:00"/>
    <x v="1381"/>
    <s v="and Ramirez Richards, Lyons"/>
    <x v="0"/>
    <n v="23079.885703635198"/>
    <n v="164"/>
    <x v="2"/>
    <d v="2024-02-22T00:00:00"/>
    <s v="Aspirin"/>
    <x v="2"/>
    <s v="High"/>
    <s v="Under Treatment"/>
    <s v="High Risk"/>
    <x v="1"/>
  </r>
  <r>
    <x v="1389"/>
    <n v="39"/>
    <x v="0"/>
    <s v="B-"/>
    <x v="0"/>
    <d v="2022-03-25T00:00:00"/>
    <x v="1382"/>
    <s v="Simpson and Sons"/>
    <x v="4"/>
    <n v="8052.8298733749398"/>
    <n v="233"/>
    <x v="1"/>
    <d v="2022-04-15T00:00:00"/>
    <s v="Penicillin"/>
    <x v="1"/>
    <s v="Medium"/>
    <s v="Under Treatment"/>
    <s v="High Risk"/>
    <x v="3"/>
  </r>
  <r>
    <x v="1390"/>
    <n v="79"/>
    <x v="0"/>
    <s v="O+"/>
    <x v="0"/>
    <d v="2020-12-12T00:00:00"/>
    <x v="1383"/>
    <s v="Kane Stevens, and Harris"/>
    <x v="1"/>
    <n v="40396.592390298603"/>
    <n v="132"/>
    <x v="2"/>
    <d v="2021-01-04T00:00:00"/>
    <s v="Lipitor"/>
    <x v="2"/>
    <s v="High"/>
    <s v="Under Treatment"/>
    <s v="High Risk"/>
    <x v="2"/>
  </r>
  <r>
    <x v="1391"/>
    <n v="62"/>
    <x v="0"/>
    <s v="AB-"/>
    <x v="5"/>
    <d v="2019-07-29T00:00:00"/>
    <x v="1384"/>
    <s v="LLC Gardner"/>
    <x v="2"/>
    <n v="9938.8192674080801"/>
    <n v="138"/>
    <x v="1"/>
    <d v="2019-08-19T00:00:00"/>
    <s v="Ibuprofen"/>
    <x v="2"/>
    <s v="Medium"/>
    <s v="Under Treatment"/>
    <s v="High Risk"/>
    <x v="1"/>
  </r>
  <r>
    <x v="1392"/>
    <n v="30"/>
    <x v="0"/>
    <s v="A-"/>
    <x v="4"/>
    <d v="2022-07-26T00:00:00"/>
    <x v="1385"/>
    <s v="Watson-Pugh"/>
    <x v="2"/>
    <n v="40606.792224705699"/>
    <n v="244"/>
    <x v="1"/>
    <d v="2022-07-28T00:00:00"/>
    <s v="Aspirin"/>
    <x v="2"/>
    <s v="High"/>
    <s v="Under Treatment"/>
    <s v="High Risk"/>
    <x v="0"/>
  </r>
  <r>
    <x v="1393"/>
    <n v="65"/>
    <x v="1"/>
    <s v="B+"/>
    <x v="5"/>
    <d v="2019-10-11T00:00:00"/>
    <x v="1386"/>
    <s v="Mills-Smith"/>
    <x v="0"/>
    <n v="34220.973554600001"/>
    <n v="394"/>
    <x v="2"/>
    <d v="2019-10-15T00:00:00"/>
    <s v="Paracetamol"/>
    <x v="2"/>
    <s v="High"/>
    <s v="Under Treatment"/>
    <s v="High Risk"/>
    <x v="1"/>
  </r>
  <r>
    <x v="1394"/>
    <n v="73"/>
    <x v="0"/>
    <s v="A-"/>
    <x v="4"/>
    <d v="2020-02-09T00:00:00"/>
    <x v="1387"/>
    <s v="Blake-Davis"/>
    <x v="1"/>
    <n v="13445.561321008599"/>
    <n v="410"/>
    <x v="0"/>
    <d v="2020-02-16T00:00:00"/>
    <s v="Ibuprofen"/>
    <x v="2"/>
    <s v="Medium"/>
    <s v="Under Treatment"/>
    <s v="High Risk"/>
    <x v="2"/>
  </r>
  <r>
    <x v="1395"/>
    <n v="75"/>
    <x v="1"/>
    <s v="O+"/>
    <x v="0"/>
    <d v="2020-10-12T00:00:00"/>
    <x v="1388"/>
    <s v="Harrison Johnson Miller, and"/>
    <x v="1"/>
    <n v="7556.5139964661303"/>
    <n v="174"/>
    <x v="1"/>
    <d v="2020-11-03T00:00:00"/>
    <s v="Lipitor"/>
    <x v="2"/>
    <s v="Medium"/>
    <s v="Under Treatment"/>
    <s v="High Risk"/>
    <x v="2"/>
  </r>
  <r>
    <x v="1396"/>
    <n v="74"/>
    <x v="0"/>
    <s v="AB+"/>
    <x v="5"/>
    <d v="2022-01-02T00:00:00"/>
    <x v="1389"/>
    <s v="Williams-Peterson"/>
    <x v="4"/>
    <n v="14522.5503310038"/>
    <n v="384"/>
    <x v="0"/>
    <d v="2022-01-10T00:00:00"/>
    <s v="Ibuprofen"/>
    <x v="0"/>
    <s v="Medium"/>
    <s v="Under Treatment"/>
    <s v="High Risk"/>
    <x v="2"/>
  </r>
  <r>
    <x v="1397"/>
    <n v="38"/>
    <x v="0"/>
    <s v="O+"/>
    <x v="0"/>
    <d v="2022-04-07T00:00:00"/>
    <x v="1390"/>
    <s v="Preston and Wilson Arnold,"/>
    <x v="3"/>
    <n v="33999.2663495995"/>
    <n v="104"/>
    <x v="1"/>
    <d v="2022-04-16T00:00:00"/>
    <s v="Aspirin"/>
    <x v="0"/>
    <s v="High"/>
    <s v="Under Treatment"/>
    <s v="High Risk"/>
    <x v="3"/>
  </r>
  <r>
    <x v="1398"/>
    <n v="82"/>
    <x v="0"/>
    <s v="AB+"/>
    <x v="1"/>
    <d v="2019-09-12T00:00:00"/>
    <x v="1391"/>
    <s v="Ortiz-Smith"/>
    <x v="4"/>
    <n v="36980.8757258763"/>
    <n v="278"/>
    <x v="2"/>
    <d v="2019-10-10T00:00:00"/>
    <s v="Ibuprofen"/>
    <x v="0"/>
    <s v="High"/>
    <s v="Under Treatment"/>
    <s v="High Risk"/>
    <x v="2"/>
  </r>
  <r>
    <x v="1399"/>
    <n v="23"/>
    <x v="0"/>
    <s v="AB+"/>
    <x v="2"/>
    <d v="2022-12-06T00:00:00"/>
    <x v="1392"/>
    <s v="Bell, and Rodriguez Gutierrez"/>
    <x v="4"/>
    <n v="48558.883276052104"/>
    <n v="220"/>
    <x v="1"/>
    <d v="2022-12-08T00:00:00"/>
    <s v="Ibuprofen"/>
    <x v="1"/>
    <s v="High"/>
    <s v="Under Treatment"/>
    <s v="High Risk"/>
    <x v="0"/>
  </r>
  <r>
    <x v="1400"/>
    <n v="65"/>
    <x v="0"/>
    <s v="B+"/>
    <x v="5"/>
    <d v="2021-01-29T00:00:00"/>
    <x v="1393"/>
    <s v="and West Sons"/>
    <x v="0"/>
    <n v="33875.657873095901"/>
    <n v="425"/>
    <x v="0"/>
    <d v="2021-02-10T00:00:00"/>
    <s v="Ibuprofen"/>
    <x v="2"/>
    <s v="High"/>
    <s v="Under Treatment"/>
    <s v="High Risk"/>
    <x v="1"/>
  </r>
  <r>
    <x v="1401"/>
    <n v="40"/>
    <x v="1"/>
    <s v="A-"/>
    <x v="1"/>
    <d v="2021-09-07T00:00:00"/>
    <x v="1394"/>
    <s v="Johnson Inc"/>
    <x v="4"/>
    <n v="30134.496049836798"/>
    <n v="173"/>
    <x v="0"/>
    <d v="2021-10-01T00:00:00"/>
    <s v="Paracetamol"/>
    <x v="2"/>
    <s v="High"/>
    <s v="Under Treatment"/>
    <s v="High Risk"/>
    <x v="3"/>
  </r>
  <r>
    <x v="1402"/>
    <n v="63"/>
    <x v="1"/>
    <s v="AB+"/>
    <x v="3"/>
    <d v="2020-11-14T00:00:00"/>
    <x v="1395"/>
    <s v="Obrien-Gallagher"/>
    <x v="3"/>
    <n v="2530.2396880156102"/>
    <n v="468"/>
    <x v="2"/>
    <d v="2020-11-21T00:00:00"/>
    <s v="Ibuprofen"/>
    <x v="1"/>
    <s v="Low"/>
    <s v="Under Treatment"/>
    <s v="High Risk"/>
    <x v="1"/>
  </r>
  <r>
    <x v="1403"/>
    <n v="29"/>
    <x v="1"/>
    <s v="O-"/>
    <x v="3"/>
    <d v="2023-02-22T00:00:00"/>
    <x v="1396"/>
    <s v="LLC Jimenez"/>
    <x v="0"/>
    <n v="1038.3428238915801"/>
    <n v="484"/>
    <x v="2"/>
    <d v="2023-03-24T00:00:00"/>
    <s v="Aspirin"/>
    <x v="1"/>
    <s v="Low"/>
    <s v="Under Treatment"/>
    <s v="High Risk"/>
    <x v="0"/>
  </r>
  <r>
    <x v="1404"/>
    <n v="39"/>
    <x v="0"/>
    <s v="B-"/>
    <x v="1"/>
    <d v="2023-01-11T00:00:00"/>
    <x v="1397"/>
    <s v="Quinn LLC"/>
    <x v="4"/>
    <n v="44470.456939166797"/>
    <n v="480"/>
    <x v="0"/>
    <d v="2023-02-03T00:00:00"/>
    <s v="Aspirin"/>
    <x v="0"/>
    <s v="High"/>
    <s v="Under Treatment"/>
    <s v="High Risk"/>
    <x v="3"/>
  </r>
  <r>
    <x v="1405"/>
    <n v="65"/>
    <x v="0"/>
    <s v="AB+"/>
    <x v="3"/>
    <d v="2022-06-19T00:00:00"/>
    <x v="1398"/>
    <s v="and Graham Higgins, Bell"/>
    <x v="0"/>
    <n v="22281.7736142184"/>
    <n v="317"/>
    <x v="1"/>
    <d v="2022-06-29T00:00:00"/>
    <s v="Ibuprofen"/>
    <x v="0"/>
    <s v="High"/>
    <s v="Under Treatment"/>
    <s v="High Risk"/>
    <x v="1"/>
  </r>
  <r>
    <x v="1406"/>
    <n v="76"/>
    <x v="0"/>
    <s v="B-"/>
    <x v="0"/>
    <d v="2020-09-06T00:00:00"/>
    <x v="1399"/>
    <s v="and Blankenship Robbins Turner,"/>
    <x v="0"/>
    <n v="9729.3303175077508"/>
    <n v="413"/>
    <x v="2"/>
    <d v="2020-09-18T00:00:00"/>
    <s v="Aspirin"/>
    <x v="1"/>
    <s v="Medium"/>
    <s v="Under Treatment"/>
    <s v="High Risk"/>
    <x v="2"/>
  </r>
  <r>
    <x v="1407"/>
    <n v="84"/>
    <x v="1"/>
    <s v="O-"/>
    <x v="3"/>
    <d v="2022-07-12T00:00:00"/>
    <x v="1400"/>
    <s v="Robertson-Kaiser"/>
    <x v="0"/>
    <n v="47750.021468631203"/>
    <n v="443"/>
    <x v="0"/>
    <d v="2022-08-06T00:00:00"/>
    <s v="Aspirin"/>
    <x v="0"/>
    <s v="High"/>
    <s v="Under Treatment"/>
    <s v="High Risk"/>
    <x v="2"/>
  </r>
  <r>
    <x v="1408"/>
    <n v="76"/>
    <x v="1"/>
    <s v="O+"/>
    <x v="0"/>
    <d v="2022-03-03T00:00:00"/>
    <x v="1401"/>
    <s v="Moore, Gallegos and Smith"/>
    <x v="3"/>
    <n v="14023.101874113399"/>
    <n v="355"/>
    <x v="2"/>
    <d v="2022-03-16T00:00:00"/>
    <s v="Penicillin"/>
    <x v="1"/>
    <s v="Medium"/>
    <s v="Under Treatment"/>
    <s v="High Risk"/>
    <x v="2"/>
  </r>
  <r>
    <x v="1409"/>
    <n v="63"/>
    <x v="1"/>
    <s v="B-"/>
    <x v="2"/>
    <d v="2021-08-22T00:00:00"/>
    <x v="1402"/>
    <s v="Rivera-Holland"/>
    <x v="4"/>
    <n v="4520.4753302878098"/>
    <n v="243"/>
    <x v="2"/>
    <d v="2021-09-11T00:00:00"/>
    <s v="Ibuprofen"/>
    <x v="2"/>
    <s v="Low"/>
    <s v="Under Treatment"/>
    <s v="High Risk"/>
    <x v="1"/>
  </r>
  <r>
    <x v="1410"/>
    <n v="65"/>
    <x v="0"/>
    <s v="A+"/>
    <x v="5"/>
    <d v="2020-02-02T00:00:00"/>
    <x v="1403"/>
    <s v="Villegas-Mccoy"/>
    <x v="0"/>
    <n v="7693.3059088011096"/>
    <n v="470"/>
    <x v="2"/>
    <d v="2020-02-12T00:00:00"/>
    <s v="Ibuprofen"/>
    <x v="0"/>
    <s v="Medium"/>
    <s v="Under Treatment"/>
    <s v="High Risk"/>
    <x v="1"/>
  </r>
  <r>
    <x v="1411"/>
    <n v="72"/>
    <x v="1"/>
    <s v="A+"/>
    <x v="3"/>
    <d v="2021-07-31T00:00:00"/>
    <x v="1404"/>
    <s v="Hansen-Travis"/>
    <x v="2"/>
    <n v="28834.073348153601"/>
    <n v="487"/>
    <x v="2"/>
    <d v="2021-08-11T00:00:00"/>
    <s v="Penicillin"/>
    <x v="2"/>
    <s v="High"/>
    <s v="Under Treatment"/>
    <s v="High Risk"/>
    <x v="2"/>
  </r>
  <r>
    <x v="1412"/>
    <n v="42"/>
    <x v="1"/>
    <s v="B-"/>
    <x v="1"/>
    <d v="2021-01-15T00:00:00"/>
    <x v="1405"/>
    <s v="Sons Parker and"/>
    <x v="1"/>
    <n v="33587.372086234398"/>
    <n v="232"/>
    <x v="2"/>
    <d v="2021-02-01T00:00:00"/>
    <s v="Paracetamol"/>
    <x v="1"/>
    <s v="High"/>
    <s v="Under Treatment"/>
    <s v="High Risk"/>
    <x v="3"/>
  </r>
  <r>
    <x v="1413"/>
    <n v="22"/>
    <x v="1"/>
    <s v="O-"/>
    <x v="0"/>
    <d v="2022-10-20T00:00:00"/>
    <x v="1406"/>
    <s v="and Reed Williams, Hernandez"/>
    <x v="2"/>
    <n v="49693.3691113268"/>
    <n v="191"/>
    <x v="1"/>
    <d v="2022-10-27T00:00:00"/>
    <s v="Lipitor"/>
    <x v="2"/>
    <s v="High"/>
    <s v="Under Treatment"/>
    <s v="High Risk"/>
    <x v="0"/>
  </r>
  <r>
    <x v="1414"/>
    <n v="20"/>
    <x v="1"/>
    <s v="O-"/>
    <x v="5"/>
    <d v="2022-05-03T00:00:00"/>
    <x v="1407"/>
    <s v="and Murphy Williams, Reyes"/>
    <x v="2"/>
    <n v="12499.5218822602"/>
    <n v="455"/>
    <x v="0"/>
    <d v="2022-05-16T00:00:00"/>
    <s v="Aspirin"/>
    <x v="2"/>
    <s v="Medium"/>
    <s v="Under Treatment"/>
    <s v="High Risk"/>
    <x v="0"/>
  </r>
  <r>
    <x v="1415"/>
    <n v="52"/>
    <x v="1"/>
    <s v="AB+"/>
    <x v="5"/>
    <d v="2024-05-07T00:00:00"/>
    <x v="1408"/>
    <s v="Little PLC"/>
    <x v="2"/>
    <n v="14755.3328347812"/>
    <n v="374"/>
    <x v="0"/>
    <d v="2024-05-12T00:00:00"/>
    <s v="Paracetamol"/>
    <x v="1"/>
    <s v="Medium"/>
    <s v="Under Treatment"/>
    <s v="High Risk"/>
    <x v="1"/>
  </r>
  <r>
    <x v="1416"/>
    <n v="33"/>
    <x v="0"/>
    <s v="O+"/>
    <x v="5"/>
    <d v="2023-04-02T00:00:00"/>
    <x v="1409"/>
    <s v="PLC Rodriguez"/>
    <x v="0"/>
    <n v="15663.988539783501"/>
    <n v="496"/>
    <x v="2"/>
    <d v="2023-04-13T00:00:00"/>
    <s v="Aspirin"/>
    <x v="1"/>
    <s v="High"/>
    <s v="Under Treatment"/>
    <s v="High Risk"/>
    <x v="0"/>
  </r>
  <r>
    <x v="1417"/>
    <n v="80"/>
    <x v="0"/>
    <s v="B+"/>
    <x v="2"/>
    <d v="2020-09-29T00:00:00"/>
    <x v="1410"/>
    <s v="Inc Meadows"/>
    <x v="1"/>
    <n v="47581.418202550703"/>
    <n v="134"/>
    <x v="1"/>
    <d v="2020-10-11T00:00:00"/>
    <s v="Paracetamol"/>
    <x v="2"/>
    <s v="High"/>
    <s v="Under Treatment"/>
    <s v="High Risk"/>
    <x v="2"/>
  </r>
  <r>
    <x v="1418"/>
    <n v="73"/>
    <x v="0"/>
    <s v="O+"/>
    <x v="5"/>
    <d v="2023-04-18T00:00:00"/>
    <x v="1411"/>
    <s v="Mcgee Nguyen, and Hatfield"/>
    <x v="2"/>
    <n v="34257.894852998601"/>
    <n v="313"/>
    <x v="2"/>
    <d v="2023-05-09T00:00:00"/>
    <s v="Aspirin"/>
    <x v="1"/>
    <s v="High"/>
    <s v="Under Treatment"/>
    <s v="High Risk"/>
    <x v="2"/>
  </r>
  <r>
    <x v="1419"/>
    <n v="66"/>
    <x v="0"/>
    <s v="A+"/>
    <x v="3"/>
    <d v="2024-02-15T00:00:00"/>
    <x v="265"/>
    <s v="Watson Mitchell Garcia, and"/>
    <x v="1"/>
    <n v="42744.314621145997"/>
    <n v="244"/>
    <x v="2"/>
    <d v="2024-02-23T00:00:00"/>
    <s v="Paracetamol"/>
    <x v="2"/>
    <s v="High"/>
    <s v="Under Treatment"/>
    <s v="High Risk"/>
    <x v="2"/>
  </r>
  <r>
    <x v="1420"/>
    <n v="85"/>
    <x v="0"/>
    <s v="AB+"/>
    <x v="3"/>
    <d v="2021-12-25T00:00:00"/>
    <x v="1412"/>
    <s v="Bennett Inc"/>
    <x v="2"/>
    <n v="48253.729975183502"/>
    <n v="289"/>
    <x v="2"/>
    <d v="2022-01-12T00:00:00"/>
    <s v="Penicillin"/>
    <x v="0"/>
    <s v="High"/>
    <s v="Under Treatment"/>
    <s v="High Risk"/>
    <x v="2"/>
  </r>
  <r>
    <x v="1421"/>
    <n v="82"/>
    <x v="1"/>
    <s v="AB+"/>
    <x v="4"/>
    <d v="2020-11-10T00:00:00"/>
    <x v="1413"/>
    <s v="Johns-Patel"/>
    <x v="2"/>
    <n v="37089.581890155998"/>
    <n v="430"/>
    <x v="0"/>
    <d v="2020-12-02T00:00:00"/>
    <s v="Aspirin"/>
    <x v="2"/>
    <s v="High"/>
    <s v="Under Treatment"/>
    <s v="High Risk"/>
    <x v="2"/>
  </r>
  <r>
    <x v="1422"/>
    <n v="72"/>
    <x v="1"/>
    <s v="O+"/>
    <x v="2"/>
    <d v="2020-12-26T00:00:00"/>
    <x v="1414"/>
    <s v="Thompson-Barnett"/>
    <x v="2"/>
    <n v="17734.260954569902"/>
    <n v="393"/>
    <x v="2"/>
    <d v="2021-01-14T00:00:00"/>
    <s v="Ibuprofen"/>
    <x v="0"/>
    <s v="High"/>
    <s v="Under Treatment"/>
    <s v="High Risk"/>
    <x v="2"/>
  </r>
  <r>
    <x v="1423"/>
    <n v="40"/>
    <x v="0"/>
    <s v="B+"/>
    <x v="0"/>
    <d v="2021-12-16T00:00:00"/>
    <x v="1415"/>
    <s v="Townsend, and Kent Garcia"/>
    <x v="3"/>
    <n v="10366.323960973499"/>
    <n v="375"/>
    <x v="1"/>
    <d v="2021-12-21T00:00:00"/>
    <s v="Aspirin"/>
    <x v="1"/>
    <s v="Medium"/>
    <s v="Under Treatment"/>
    <s v="High Risk"/>
    <x v="3"/>
  </r>
  <r>
    <x v="1424"/>
    <n v="36"/>
    <x v="1"/>
    <s v="A-"/>
    <x v="4"/>
    <d v="2021-04-03T00:00:00"/>
    <x v="1416"/>
    <s v="Ltd Rivera"/>
    <x v="4"/>
    <n v="16037.022848451799"/>
    <n v="252"/>
    <x v="0"/>
    <d v="2021-04-04T00:00:00"/>
    <s v="Lipitor"/>
    <x v="0"/>
    <s v="High"/>
    <s v="Under Treatment"/>
    <s v="High Risk"/>
    <x v="3"/>
  </r>
  <r>
    <x v="1425"/>
    <n v="32"/>
    <x v="0"/>
    <s v="O+"/>
    <x v="4"/>
    <d v="2021-02-02T00:00:00"/>
    <x v="1417"/>
    <s v="LLC Shah"/>
    <x v="2"/>
    <n v="45483.112335555597"/>
    <n v="364"/>
    <x v="0"/>
    <d v="2021-02-22T00:00:00"/>
    <s v="Aspirin"/>
    <x v="1"/>
    <s v="High"/>
    <s v="Under Treatment"/>
    <s v="High Risk"/>
    <x v="0"/>
  </r>
  <r>
    <x v="1426"/>
    <n v="31"/>
    <x v="1"/>
    <s v="O-"/>
    <x v="3"/>
    <d v="2019-07-15T00:00:00"/>
    <x v="1418"/>
    <s v="Andersen-Jones"/>
    <x v="1"/>
    <n v="9613.6932648196307"/>
    <n v="184"/>
    <x v="1"/>
    <d v="2019-08-07T00:00:00"/>
    <s v="Lipitor"/>
    <x v="2"/>
    <s v="Medium"/>
    <s v="Under Treatment"/>
    <s v="High Risk"/>
    <x v="0"/>
  </r>
  <r>
    <x v="1427"/>
    <n v="23"/>
    <x v="1"/>
    <s v="O+"/>
    <x v="1"/>
    <d v="2021-02-26T00:00:00"/>
    <x v="1419"/>
    <s v="Pearson-Nguyen"/>
    <x v="4"/>
    <n v="19953.038163535901"/>
    <n v="184"/>
    <x v="0"/>
    <d v="2021-03-24T00:00:00"/>
    <s v="Aspirin"/>
    <x v="1"/>
    <s v="High"/>
    <s v="Under Treatment"/>
    <s v="High Risk"/>
    <x v="0"/>
  </r>
  <r>
    <x v="1428"/>
    <n v="27"/>
    <x v="1"/>
    <s v="O-"/>
    <x v="1"/>
    <d v="2023-10-18T00:00:00"/>
    <x v="1420"/>
    <s v="and Brown Hughes, Avery"/>
    <x v="4"/>
    <n v="39341.559067803799"/>
    <n v="497"/>
    <x v="0"/>
    <d v="2023-11-01T00:00:00"/>
    <s v="Aspirin"/>
    <x v="2"/>
    <s v="High"/>
    <s v="Under Treatment"/>
    <s v="High Risk"/>
    <x v="0"/>
  </r>
  <r>
    <x v="1429"/>
    <n v="38"/>
    <x v="1"/>
    <s v="A-"/>
    <x v="3"/>
    <d v="2019-10-24T00:00:00"/>
    <x v="1421"/>
    <s v="Hernandez, Jones Garrett and"/>
    <x v="4"/>
    <n v="4577.4655193713998"/>
    <n v="469"/>
    <x v="1"/>
    <d v="2019-10-25T00:00:00"/>
    <s v="Lipitor"/>
    <x v="1"/>
    <s v="Low"/>
    <s v="Under Treatment"/>
    <s v="High Risk"/>
    <x v="3"/>
  </r>
  <r>
    <x v="1430"/>
    <n v="79"/>
    <x v="0"/>
    <s v="AB-"/>
    <x v="0"/>
    <d v="2021-08-14T00:00:00"/>
    <x v="1422"/>
    <s v="Miller-Rodriguez"/>
    <x v="4"/>
    <n v="8804.3531608244793"/>
    <n v="451"/>
    <x v="1"/>
    <d v="2021-08-19T00:00:00"/>
    <s v="Aspirin"/>
    <x v="0"/>
    <s v="Medium"/>
    <s v="Under Treatment"/>
    <s v="High Risk"/>
    <x v="2"/>
  </r>
  <r>
    <x v="1431"/>
    <n v="19"/>
    <x v="0"/>
    <s v="A+"/>
    <x v="5"/>
    <d v="2021-05-24T00:00:00"/>
    <x v="1423"/>
    <s v="Martinez-Martin"/>
    <x v="1"/>
    <n v="23088.4337435856"/>
    <n v="104"/>
    <x v="0"/>
    <d v="2021-05-31T00:00:00"/>
    <s v="Aspirin"/>
    <x v="0"/>
    <s v="High"/>
    <s v="Under Treatment"/>
    <s v="High Risk"/>
    <x v="0"/>
  </r>
  <r>
    <x v="1432"/>
    <n v="20"/>
    <x v="0"/>
    <s v="A+"/>
    <x v="3"/>
    <d v="2021-09-27T00:00:00"/>
    <x v="1424"/>
    <s v="Skinner-Sanford"/>
    <x v="0"/>
    <n v="10768.498004749899"/>
    <n v="112"/>
    <x v="1"/>
    <d v="2021-10-18T00:00:00"/>
    <s v="Lipitor"/>
    <x v="2"/>
    <s v="Medium"/>
    <s v="Under Treatment"/>
    <s v="High Risk"/>
    <x v="0"/>
  </r>
  <r>
    <x v="1433"/>
    <n v="76"/>
    <x v="0"/>
    <s v="O+"/>
    <x v="1"/>
    <d v="2022-11-24T00:00:00"/>
    <x v="1425"/>
    <s v="Stewart Sons and"/>
    <x v="3"/>
    <n v="49002.650662926899"/>
    <n v="363"/>
    <x v="2"/>
    <d v="2022-11-28T00:00:00"/>
    <s v="Paracetamol"/>
    <x v="2"/>
    <s v="High"/>
    <s v="Under Treatment"/>
    <s v="High Risk"/>
    <x v="2"/>
  </r>
  <r>
    <x v="1434"/>
    <n v="30"/>
    <x v="0"/>
    <s v="O-"/>
    <x v="0"/>
    <d v="2020-06-08T00:00:00"/>
    <x v="1426"/>
    <s v="Sons Rogers and"/>
    <x v="2"/>
    <n v="31326.187642242599"/>
    <n v="264"/>
    <x v="0"/>
    <d v="2020-06-20T00:00:00"/>
    <s v="Paracetamol"/>
    <x v="1"/>
    <s v="High"/>
    <s v="Under Treatment"/>
    <s v="High Risk"/>
    <x v="0"/>
  </r>
  <r>
    <x v="1435"/>
    <n v="72"/>
    <x v="1"/>
    <s v="O+"/>
    <x v="3"/>
    <d v="2021-04-19T00:00:00"/>
    <x v="1427"/>
    <s v="Williams-Valdez"/>
    <x v="0"/>
    <n v="47798.145801527098"/>
    <n v="210"/>
    <x v="1"/>
    <d v="2021-05-13T00:00:00"/>
    <s v="Paracetamol"/>
    <x v="0"/>
    <s v="High"/>
    <s v="Under Treatment"/>
    <s v="High Risk"/>
    <x v="2"/>
  </r>
  <r>
    <x v="1436"/>
    <n v="30"/>
    <x v="0"/>
    <s v="B+"/>
    <x v="1"/>
    <d v="2023-05-26T00:00:00"/>
    <x v="1428"/>
    <s v="Lawrence, Lopez Dunlap and"/>
    <x v="2"/>
    <n v="26176.0891095857"/>
    <n v="328"/>
    <x v="0"/>
    <d v="2023-06-01T00:00:00"/>
    <s v="Paracetamol"/>
    <x v="2"/>
    <s v="High"/>
    <s v="Under Treatment"/>
    <s v="High Risk"/>
    <x v="0"/>
  </r>
  <r>
    <x v="1437"/>
    <n v="39"/>
    <x v="1"/>
    <s v="AB+"/>
    <x v="3"/>
    <d v="2023-09-18T00:00:00"/>
    <x v="1429"/>
    <s v="Patrick, and Tyler Arnold"/>
    <x v="4"/>
    <n v="16436.789131713202"/>
    <n v="499"/>
    <x v="2"/>
    <d v="2023-09-24T00:00:00"/>
    <s v="Paracetamol"/>
    <x v="0"/>
    <s v="High"/>
    <s v="Under Treatment"/>
    <s v="High Risk"/>
    <x v="3"/>
  </r>
  <r>
    <x v="1438"/>
    <n v="21"/>
    <x v="1"/>
    <s v="AB-"/>
    <x v="0"/>
    <d v="2019-10-29T00:00:00"/>
    <x v="1430"/>
    <s v="Hawkins-Watkins"/>
    <x v="3"/>
    <n v="22266.813529937499"/>
    <n v="218"/>
    <x v="1"/>
    <d v="2019-11-26T00:00:00"/>
    <s v="Penicillin"/>
    <x v="0"/>
    <s v="High"/>
    <s v="Under Treatment"/>
    <s v="High Risk"/>
    <x v="0"/>
  </r>
  <r>
    <x v="1439"/>
    <n v="22"/>
    <x v="0"/>
    <s v="A+"/>
    <x v="1"/>
    <d v="2023-02-13T00:00:00"/>
    <x v="1431"/>
    <s v="Hayden and Miller, Schneider"/>
    <x v="3"/>
    <n v="23900.295114571301"/>
    <n v="209"/>
    <x v="2"/>
    <d v="2023-02-23T00:00:00"/>
    <s v="Ibuprofen"/>
    <x v="1"/>
    <s v="High"/>
    <s v="Under Treatment"/>
    <s v="High Risk"/>
    <x v="0"/>
  </r>
  <r>
    <x v="1440"/>
    <n v="85"/>
    <x v="1"/>
    <s v="B+"/>
    <x v="0"/>
    <d v="2023-12-04T00:00:00"/>
    <x v="1432"/>
    <s v="Wiggins Inc"/>
    <x v="0"/>
    <n v="48833.259052875597"/>
    <n v="455"/>
    <x v="0"/>
    <d v="2023-12-28T00:00:00"/>
    <s v="Lipitor"/>
    <x v="2"/>
    <s v="High"/>
    <s v="Under Treatment"/>
    <s v="High Risk"/>
    <x v="2"/>
  </r>
  <r>
    <x v="1441"/>
    <n v="62"/>
    <x v="1"/>
    <s v="A-"/>
    <x v="4"/>
    <d v="2023-02-21T00:00:00"/>
    <x v="1433"/>
    <s v="Molina-Bowman"/>
    <x v="3"/>
    <n v="31804.4920704777"/>
    <n v="116"/>
    <x v="0"/>
    <d v="2023-03-02T00:00:00"/>
    <s v="Ibuprofen"/>
    <x v="1"/>
    <s v="High"/>
    <s v="Under Treatment"/>
    <s v="High Risk"/>
    <x v="1"/>
  </r>
  <r>
    <x v="1442"/>
    <n v="71"/>
    <x v="0"/>
    <s v="AB-"/>
    <x v="1"/>
    <d v="2020-05-21T00:00:00"/>
    <x v="1434"/>
    <s v="Acevedo-Henderson"/>
    <x v="3"/>
    <n v="13030.3139252581"/>
    <n v="263"/>
    <x v="1"/>
    <d v="2020-05-24T00:00:00"/>
    <s v="Paracetamol"/>
    <x v="0"/>
    <s v="Medium"/>
    <s v="Under Treatment"/>
    <s v="High Risk"/>
    <x v="2"/>
  </r>
  <r>
    <x v="1443"/>
    <n v="37"/>
    <x v="1"/>
    <s v="AB+"/>
    <x v="2"/>
    <d v="2023-07-08T00:00:00"/>
    <x v="1435"/>
    <s v="Roberts-White"/>
    <x v="2"/>
    <n v="20521.538114102299"/>
    <n v="327"/>
    <x v="0"/>
    <d v="2023-07-17T00:00:00"/>
    <s v="Paracetamol"/>
    <x v="2"/>
    <s v="High"/>
    <s v="Under Treatment"/>
    <s v="High Risk"/>
    <x v="3"/>
  </r>
  <r>
    <x v="1444"/>
    <n v="38"/>
    <x v="0"/>
    <s v="B-"/>
    <x v="5"/>
    <d v="2020-03-06T00:00:00"/>
    <x v="1436"/>
    <s v="Flynn, and Lee Mcclain"/>
    <x v="0"/>
    <n v="26255.9226979083"/>
    <n v="352"/>
    <x v="0"/>
    <d v="2020-03-25T00:00:00"/>
    <s v="Lipitor"/>
    <x v="2"/>
    <s v="High"/>
    <s v="Under Treatment"/>
    <s v="High Risk"/>
    <x v="3"/>
  </r>
  <r>
    <x v="1445"/>
    <n v="26"/>
    <x v="1"/>
    <s v="AB+"/>
    <x v="5"/>
    <d v="2023-10-27T00:00:00"/>
    <x v="1437"/>
    <s v="Morgan-Obrien"/>
    <x v="2"/>
    <n v="44653.289981836802"/>
    <n v="491"/>
    <x v="0"/>
    <d v="2023-10-29T00:00:00"/>
    <s v="Aspirin"/>
    <x v="1"/>
    <s v="High"/>
    <s v="Under Treatment"/>
    <s v="High Risk"/>
    <x v="0"/>
  </r>
  <r>
    <x v="1446"/>
    <n v="80"/>
    <x v="1"/>
    <s v="O-"/>
    <x v="2"/>
    <d v="2020-09-11T00:00:00"/>
    <x v="1438"/>
    <s v="Spencer-Rhodes"/>
    <x v="1"/>
    <n v="14517.128784512201"/>
    <n v="234"/>
    <x v="1"/>
    <d v="2020-09-28T00:00:00"/>
    <s v="Aspirin"/>
    <x v="0"/>
    <s v="Medium"/>
    <s v="Under Treatment"/>
    <s v="High Risk"/>
    <x v="2"/>
  </r>
  <r>
    <x v="1447"/>
    <n v="77"/>
    <x v="0"/>
    <s v="A+"/>
    <x v="5"/>
    <d v="2020-01-10T00:00:00"/>
    <x v="1439"/>
    <s v="Walker and Ross Washington,"/>
    <x v="2"/>
    <n v="37524.957267661899"/>
    <n v="303"/>
    <x v="0"/>
    <d v="2020-01-13T00:00:00"/>
    <s v="Paracetamol"/>
    <x v="1"/>
    <s v="High"/>
    <s v="Under Treatment"/>
    <s v="High Risk"/>
    <x v="2"/>
  </r>
  <r>
    <x v="1448"/>
    <n v="49"/>
    <x v="0"/>
    <s v="A-"/>
    <x v="2"/>
    <d v="2022-07-14T00:00:00"/>
    <x v="1440"/>
    <s v="Carroll Lewis Weiss, and"/>
    <x v="2"/>
    <n v="25462.7131433916"/>
    <n v="394"/>
    <x v="2"/>
    <d v="2022-07-20T00:00:00"/>
    <s v="Aspirin"/>
    <x v="0"/>
    <s v="High"/>
    <s v="Under Treatment"/>
    <s v="High Risk"/>
    <x v="3"/>
  </r>
  <r>
    <x v="1449"/>
    <n v="52"/>
    <x v="1"/>
    <s v="A-"/>
    <x v="4"/>
    <d v="2024-02-11T00:00:00"/>
    <x v="1441"/>
    <s v="Sons and Contreras"/>
    <x v="3"/>
    <n v="8201.6426818540695"/>
    <n v="208"/>
    <x v="2"/>
    <d v="2024-02-16T00:00:00"/>
    <s v="Aspirin"/>
    <x v="0"/>
    <s v="Medium"/>
    <s v="Under Treatment"/>
    <s v="High Risk"/>
    <x v="1"/>
  </r>
  <r>
    <x v="1450"/>
    <n v="74"/>
    <x v="1"/>
    <s v="B-"/>
    <x v="3"/>
    <d v="2023-01-04T00:00:00"/>
    <x v="1442"/>
    <s v="Boyd LLC"/>
    <x v="3"/>
    <n v="40557.834938381297"/>
    <n v="113"/>
    <x v="1"/>
    <d v="2023-01-19T00:00:00"/>
    <s v="Ibuprofen"/>
    <x v="0"/>
    <s v="High"/>
    <s v="Under Treatment"/>
    <s v="High Risk"/>
    <x v="2"/>
  </r>
  <r>
    <x v="1451"/>
    <n v="78"/>
    <x v="0"/>
    <s v="AB+"/>
    <x v="5"/>
    <d v="2021-08-11T00:00:00"/>
    <x v="1443"/>
    <s v="Jones Walters Cannon, and"/>
    <x v="1"/>
    <n v="6328.0783486005503"/>
    <n v="478"/>
    <x v="1"/>
    <d v="2021-09-05T00:00:00"/>
    <s v="Lipitor"/>
    <x v="0"/>
    <s v="Medium"/>
    <s v="Under Treatment"/>
    <s v="High Risk"/>
    <x v="2"/>
  </r>
  <r>
    <x v="1452"/>
    <n v="26"/>
    <x v="1"/>
    <s v="A-"/>
    <x v="3"/>
    <d v="2020-05-02T00:00:00"/>
    <x v="1428"/>
    <s v="and Sims Sons"/>
    <x v="3"/>
    <n v="29319.343812919102"/>
    <n v="413"/>
    <x v="2"/>
    <d v="2020-05-30T00:00:00"/>
    <s v="Paracetamol"/>
    <x v="0"/>
    <s v="High"/>
    <s v="Under Treatment"/>
    <s v="High Risk"/>
    <x v="0"/>
  </r>
  <r>
    <x v="1453"/>
    <n v="82"/>
    <x v="0"/>
    <s v="O+"/>
    <x v="5"/>
    <d v="2019-06-22T00:00:00"/>
    <x v="1444"/>
    <s v="Group Velasquez"/>
    <x v="0"/>
    <n v="1793.23889252104"/>
    <n v="317"/>
    <x v="1"/>
    <d v="2019-07-11T00:00:00"/>
    <s v="Ibuprofen"/>
    <x v="0"/>
    <s v="Low"/>
    <s v="Under Treatment"/>
    <s v="High Risk"/>
    <x v="2"/>
  </r>
  <r>
    <x v="1454"/>
    <n v="74"/>
    <x v="0"/>
    <s v="A-"/>
    <x v="5"/>
    <d v="2023-03-11T00:00:00"/>
    <x v="1445"/>
    <s v="Everett, Higgins and Roach"/>
    <x v="3"/>
    <n v="19522.997101143999"/>
    <n v="439"/>
    <x v="2"/>
    <d v="2023-03-22T00:00:00"/>
    <s v="Aspirin"/>
    <x v="1"/>
    <s v="High"/>
    <s v="Under Treatment"/>
    <s v="High Risk"/>
    <x v="2"/>
  </r>
  <r>
    <x v="1455"/>
    <n v="27"/>
    <x v="1"/>
    <s v="B+"/>
    <x v="1"/>
    <d v="2023-03-13T00:00:00"/>
    <x v="1446"/>
    <s v="Mitchell-Garcia"/>
    <x v="4"/>
    <n v="22957.003366227898"/>
    <n v="197"/>
    <x v="1"/>
    <d v="2023-04-10T00:00:00"/>
    <s v="Aspirin"/>
    <x v="1"/>
    <s v="High"/>
    <s v="Under Treatment"/>
    <s v="High Risk"/>
    <x v="0"/>
  </r>
  <r>
    <x v="1456"/>
    <n v="80"/>
    <x v="1"/>
    <s v="AB-"/>
    <x v="4"/>
    <d v="2020-12-28T00:00:00"/>
    <x v="1447"/>
    <s v="Floyd-Neal"/>
    <x v="2"/>
    <n v="22518.903433253301"/>
    <n v="382"/>
    <x v="1"/>
    <d v="2021-01-21T00:00:00"/>
    <s v="Paracetamol"/>
    <x v="2"/>
    <s v="High"/>
    <s v="Under Treatment"/>
    <s v="High Risk"/>
    <x v="2"/>
  </r>
  <r>
    <x v="1457"/>
    <n v="76"/>
    <x v="1"/>
    <s v="O-"/>
    <x v="3"/>
    <d v="2021-11-04T00:00:00"/>
    <x v="1448"/>
    <s v="Inc Watkins"/>
    <x v="2"/>
    <n v="7309.7420629560102"/>
    <n v="300"/>
    <x v="1"/>
    <d v="2021-11-13T00:00:00"/>
    <s v="Lipitor"/>
    <x v="2"/>
    <s v="Medium"/>
    <s v="Under Treatment"/>
    <s v="High Risk"/>
    <x v="2"/>
  </r>
  <r>
    <x v="1458"/>
    <n v="29"/>
    <x v="0"/>
    <s v="O+"/>
    <x v="4"/>
    <d v="2022-03-17T00:00:00"/>
    <x v="1449"/>
    <s v="Cameron Inc"/>
    <x v="4"/>
    <n v="33506.662108738601"/>
    <n v="272"/>
    <x v="2"/>
    <d v="2022-04-09T00:00:00"/>
    <s v="Lipitor"/>
    <x v="0"/>
    <s v="High"/>
    <s v="Under Treatment"/>
    <s v="High Risk"/>
    <x v="0"/>
  </r>
  <r>
    <x v="1459"/>
    <n v="50"/>
    <x v="1"/>
    <s v="AB+"/>
    <x v="5"/>
    <d v="2022-04-26T00:00:00"/>
    <x v="1450"/>
    <s v="Walker and Wells, Caldwell"/>
    <x v="2"/>
    <n v="30267.471801397201"/>
    <n v="217"/>
    <x v="2"/>
    <d v="2022-05-16T00:00:00"/>
    <s v="Paracetamol"/>
    <x v="0"/>
    <s v="High"/>
    <s v="Under Treatment"/>
    <s v="High Risk"/>
    <x v="3"/>
  </r>
  <r>
    <x v="1460"/>
    <n v="50"/>
    <x v="1"/>
    <s v="AB+"/>
    <x v="4"/>
    <d v="2019-12-18T00:00:00"/>
    <x v="1451"/>
    <s v="Evans-Powell"/>
    <x v="2"/>
    <n v="33728.2852641278"/>
    <n v="167"/>
    <x v="2"/>
    <d v="2020-01-09T00:00:00"/>
    <s v="Lipitor"/>
    <x v="1"/>
    <s v="High"/>
    <s v="Under Treatment"/>
    <s v="High Risk"/>
    <x v="3"/>
  </r>
  <r>
    <x v="1461"/>
    <n v="55"/>
    <x v="0"/>
    <s v="O-"/>
    <x v="2"/>
    <d v="2022-05-02T00:00:00"/>
    <x v="1452"/>
    <s v="Brewer Ltd"/>
    <x v="4"/>
    <n v="30239.397134818701"/>
    <n v="321"/>
    <x v="2"/>
    <d v="2022-05-26T00:00:00"/>
    <s v="Ibuprofen"/>
    <x v="1"/>
    <s v="High"/>
    <s v="Under Treatment"/>
    <s v="High Risk"/>
    <x v="1"/>
  </r>
  <r>
    <x v="1462"/>
    <n v="75"/>
    <x v="0"/>
    <s v="A-"/>
    <x v="4"/>
    <d v="2020-11-09T00:00:00"/>
    <x v="1453"/>
    <s v="Sandoval, and Green Downs"/>
    <x v="1"/>
    <n v="37116.360559449902"/>
    <n v="189"/>
    <x v="2"/>
    <d v="2020-12-04T00:00:00"/>
    <s v="Lipitor"/>
    <x v="0"/>
    <s v="High"/>
    <s v="Under Treatment"/>
    <s v="High Risk"/>
    <x v="2"/>
  </r>
  <r>
    <x v="1463"/>
    <n v="30"/>
    <x v="1"/>
    <s v="O+"/>
    <x v="2"/>
    <d v="2023-11-24T00:00:00"/>
    <x v="1454"/>
    <s v="Martinez-Alexander"/>
    <x v="4"/>
    <n v="44320.557872259596"/>
    <n v="380"/>
    <x v="0"/>
    <d v="2023-11-27T00:00:00"/>
    <s v="Penicillin"/>
    <x v="0"/>
    <s v="High"/>
    <s v="Under Treatment"/>
    <s v="High Risk"/>
    <x v="0"/>
  </r>
  <r>
    <x v="1464"/>
    <n v="61"/>
    <x v="1"/>
    <s v="O-"/>
    <x v="4"/>
    <d v="2022-03-09T00:00:00"/>
    <x v="1259"/>
    <s v="Mathews Cruz and Roth,"/>
    <x v="0"/>
    <n v="46441.577504033601"/>
    <n v="188"/>
    <x v="1"/>
    <d v="2022-03-10T00:00:00"/>
    <s v="Lipitor"/>
    <x v="2"/>
    <s v="High"/>
    <s v="Under Treatment"/>
    <s v="High Risk"/>
    <x v="1"/>
  </r>
  <r>
    <x v="1465"/>
    <n v="27"/>
    <x v="0"/>
    <s v="A+"/>
    <x v="2"/>
    <d v="2021-02-16T00:00:00"/>
    <x v="1455"/>
    <s v="Flores-Davis"/>
    <x v="0"/>
    <n v="28523.2969664419"/>
    <n v="427"/>
    <x v="2"/>
    <d v="2021-02-28T00:00:00"/>
    <s v="Lipitor"/>
    <x v="2"/>
    <s v="High"/>
    <s v="Under Treatment"/>
    <s v="High Risk"/>
    <x v="0"/>
  </r>
  <r>
    <x v="1466"/>
    <n v="47"/>
    <x v="1"/>
    <s v="AB+"/>
    <x v="5"/>
    <d v="2022-08-25T00:00:00"/>
    <x v="1456"/>
    <s v="Blair LLC"/>
    <x v="3"/>
    <n v="22713.767432255499"/>
    <n v="165"/>
    <x v="0"/>
    <d v="2022-09-07T00:00:00"/>
    <s v="Penicillin"/>
    <x v="2"/>
    <s v="High"/>
    <s v="Under Treatment"/>
    <s v="High Risk"/>
    <x v="3"/>
  </r>
  <r>
    <x v="1467"/>
    <n v="77"/>
    <x v="0"/>
    <s v="O-"/>
    <x v="2"/>
    <d v="2021-08-18T00:00:00"/>
    <x v="1457"/>
    <s v="Miller, Stein Hicks and"/>
    <x v="4"/>
    <n v="22218.783892355201"/>
    <n v="184"/>
    <x v="2"/>
    <d v="2021-08-29T00:00:00"/>
    <s v="Lipitor"/>
    <x v="1"/>
    <s v="High"/>
    <s v="Under Treatment"/>
    <s v="High Risk"/>
    <x v="2"/>
  </r>
  <r>
    <x v="1468"/>
    <n v="20"/>
    <x v="0"/>
    <s v="B-"/>
    <x v="3"/>
    <d v="2020-01-06T00:00:00"/>
    <x v="1458"/>
    <s v="and Graves, Roth Jackson"/>
    <x v="3"/>
    <n v="24037.871297335099"/>
    <n v="383"/>
    <x v="2"/>
    <d v="2020-01-20T00:00:00"/>
    <s v="Ibuprofen"/>
    <x v="0"/>
    <s v="High"/>
    <s v="Under Treatment"/>
    <s v="High Risk"/>
    <x v="0"/>
  </r>
  <r>
    <x v="1469"/>
    <n v="42"/>
    <x v="0"/>
    <s v="O-"/>
    <x v="3"/>
    <d v="2022-02-24T00:00:00"/>
    <x v="1459"/>
    <s v="Parker LLC"/>
    <x v="1"/>
    <n v="41262.6110222649"/>
    <n v="261"/>
    <x v="1"/>
    <d v="2022-03-05T00:00:00"/>
    <s v="Paracetamol"/>
    <x v="2"/>
    <s v="High"/>
    <s v="Under Treatment"/>
    <s v="High Risk"/>
    <x v="3"/>
  </r>
  <r>
    <x v="1470"/>
    <n v="44"/>
    <x v="1"/>
    <s v="A-"/>
    <x v="5"/>
    <d v="2020-06-15T00:00:00"/>
    <x v="1460"/>
    <s v="Dickerson and Duncan, Wright"/>
    <x v="2"/>
    <n v="2918.35235320316"/>
    <n v="366"/>
    <x v="2"/>
    <d v="2020-06-27T00:00:00"/>
    <s v="Paracetamol"/>
    <x v="0"/>
    <s v="Low"/>
    <s v="Under Treatment"/>
    <s v="High Risk"/>
    <x v="3"/>
  </r>
  <r>
    <x v="1471"/>
    <n v="44"/>
    <x v="1"/>
    <s v="A+"/>
    <x v="3"/>
    <d v="2019-08-22T00:00:00"/>
    <x v="1461"/>
    <s v="Pope-Turner"/>
    <x v="3"/>
    <n v="9009.2539000044908"/>
    <n v="206"/>
    <x v="2"/>
    <d v="2019-09-07T00:00:00"/>
    <s v="Aspirin"/>
    <x v="1"/>
    <s v="Medium"/>
    <s v="Under Treatment"/>
    <s v="High Risk"/>
    <x v="3"/>
  </r>
  <r>
    <x v="1472"/>
    <n v="80"/>
    <x v="1"/>
    <s v="O+"/>
    <x v="4"/>
    <d v="2023-11-26T00:00:00"/>
    <x v="970"/>
    <s v="Ltd Fox"/>
    <x v="4"/>
    <n v="32757.841510976199"/>
    <n v="147"/>
    <x v="0"/>
    <d v="2023-12-09T00:00:00"/>
    <s v="Paracetamol"/>
    <x v="0"/>
    <s v="High"/>
    <s v="Under Treatment"/>
    <s v="High Risk"/>
    <x v="2"/>
  </r>
  <r>
    <x v="1473"/>
    <n v="28"/>
    <x v="1"/>
    <s v="B+"/>
    <x v="2"/>
    <d v="2019-12-11T00:00:00"/>
    <x v="1462"/>
    <s v="Howard-Davis"/>
    <x v="2"/>
    <n v="50325.557008357202"/>
    <n v="244"/>
    <x v="2"/>
    <d v="2020-01-10T00:00:00"/>
    <s v="Aspirin"/>
    <x v="2"/>
    <s v="High"/>
    <s v="Under Treatment"/>
    <s v="High Risk"/>
    <x v="0"/>
  </r>
  <r>
    <x v="1474"/>
    <n v="59"/>
    <x v="1"/>
    <s v="O+"/>
    <x v="2"/>
    <d v="2021-01-31T00:00:00"/>
    <x v="1463"/>
    <s v="Martin-Schmidt"/>
    <x v="4"/>
    <n v="39384.154948357398"/>
    <n v="333"/>
    <x v="1"/>
    <d v="2021-02-17T00:00:00"/>
    <s v="Ibuprofen"/>
    <x v="2"/>
    <s v="High"/>
    <s v="Under Treatment"/>
    <s v="High Risk"/>
    <x v="1"/>
  </r>
  <r>
    <x v="1475"/>
    <n v="61"/>
    <x v="1"/>
    <s v="AB+"/>
    <x v="4"/>
    <d v="2019-09-14T00:00:00"/>
    <x v="1464"/>
    <s v="Cruz PLC"/>
    <x v="0"/>
    <n v="32423.724830910302"/>
    <n v="119"/>
    <x v="1"/>
    <d v="2019-10-03T00:00:00"/>
    <s v="Penicillin"/>
    <x v="2"/>
    <s v="High"/>
    <s v="Under Treatment"/>
    <s v="High Risk"/>
    <x v="1"/>
  </r>
  <r>
    <x v="1476"/>
    <n v="79"/>
    <x v="1"/>
    <s v="O-"/>
    <x v="3"/>
    <d v="2021-03-03T00:00:00"/>
    <x v="1465"/>
    <s v="Miller-Vega"/>
    <x v="4"/>
    <n v="22394.6896030973"/>
    <n v="495"/>
    <x v="2"/>
    <d v="2021-03-06T00:00:00"/>
    <s v="Paracetamol"/>
    <x v="0"/>
    <s v="High"/>
    <s v="Under Treatment"/>
    <s v="High Risk"/>
    <x v="2"/>
  </r>
  <r>
    <x v="1477"/>
    <n v="60"/>
    <x v="1"/>
    <s v="O-"/>
    <x v="3"/>
    <d v="2021-06-07T00:00:00"/>
    <x v="1466"/>
    <s v="Davis-Mcpherson"/>
    <x v="2"/>
    <n v="46469.863677120004"/>
    <n v="468"/>
    <x v="1"/>
    <d v="2021-07-01T00:00:00"/>
    <s v="Penicillin"/>
    <x v="1"/>
    <s v="High"/>
    <s v="Under Treatment"/>
    <s v="High Risk"/>
    <x v="1"/>
  </r>
  <r>
    <x v="1478"/>
    <n v="23"/>
    <x v="0"/>
    <s v="AB+"/>
    <x v="1"/>
    <d v="2023-05-04T00:00:00"/>
    <x v="441"/>
    <s v="Armstrong-Fox"/>
    <x v="3"/>
    <n v="41130.194389982396"/>
    <n v="268"/>
    <x v="0"/>
    <d v="2023-05-14T00:00:00"/>
    <s v="Ibuprofen"/>
    <x v="2"/>
    <s v="High"/>
    <s v="Under Treatment"/>
    <s v="High Risk"/>
    <x v="0"/>
  </r>
  <r>
    <x v="1479"/>
    <n v="54"/>
    <x v="0"/>
    <s v="B+"/>
    <x v="4"/>
    <d v="2022-06-27T00:00:00"/>
    <x v="1467"/>
    <s v="White Berry, Palmer and"/>
    <x v="2"/>
    <n v="7649.1470893084397"/>
    <n v="457"/>
    <x v="0"/>
    <d v="2022-07-09T00:00:00"/>
    <s v="Paracetamol"/>
    <x v="2"/>
    <s v="Medium"/>
    <s v="Under Treatment"/>
    <s v="High Risk"/>
    <x v="1"/>
  </r>
  <r>
    <x v="1480"/>
    <n v="56"/>
    <x v="1"/>
    <s v="A-"/>
    <x v="1"/>
    <d v="2024-02-28T00:00:00"/>
    <x v="1468"/>
    <s v="Sons Butler and"/>
    <x v="3"/>
    <n v="14189.170785480401"/>
    <n v="384"/>
    <x v="0"/>
    <d v="2024-03-12T00:00:00"/>
    <s v="Aspirin"/>
    <x v="1"/>
    <s v="Medium"/>
    <s v="Under Treatment"/>
    <s v="High Risk"/>
    <x v="1"/>
  </r>
  <r>
    <x v="1481"/>
    <n v="29"/>
    <x v="0"/>
    <s v="A+"/>
    <x v="5"/>
    <d v="2020-02-01T00:00:00"/>
    <x v="1469"/>
    <s v="Jennings Jensen and Waters,"/>
    <x v="2"/>
    <n v="38273.069689337397"/>
    <n v="382"/>
    <x v="2"/>
    <d v="2020-02-06T00:00:00"/>
    <s v="Penicillin"/>
    <x v="1"/>
    <s v="High"/>
    <s v="Under Treatment"/>
    <s v="High Risk"/>
    <x v="0"/>
  </r>
  <r>
    <x v="1482"/>
    <n v="85"/>
    <x v="1"/>
    <s v="O+"/>
    <x v="5"/>
    <d v="2022-05-09T00:00:00"/>
    <x v="1470"/>
    <s v="Gomez-Gilbert"/>
    <x v="2"/>
    <n v="46039.746410895103"/>
    <n v="318"/>
    <x v="0"/>
    <d v="2022-05-18T00:00:00"/>
    <s v="Ibuprofen"/>
    <x v="1"/>
    <s v="High"/>
    <s v="Under Treatment"/>
    <s v="High Risk"/>
    <x v="2"/>
  </r>
  <r>
    <x v="1483"/>
    <n v="73"/>
    <x v="0"/>
    <s v="O+"/>
    <x v="1"/>
    <d v="2021-06-01T00:00:00"/>
    <x v="1471"/>
    <s v="LLC Knight"/>
    <x v="4"/>
    <n v="33863.788182012198"/>
    <n v="303"/>
    <x v="2"/>
    <d v="2021-06-29T00:00:00"/>
    <s v="Ibuprofen"/>
    <x v="2"/>
    <s v="High"/>
    <s v="Under Treatment"/>
    <s v="High Risk"/>
    <x v="2"/>
  </r>
  <r>
    <x v="1484"/>
    <n v="61"/>
    <x v="0"/>
    <s v="B+"/>
    <x v="1"/>
    <d v="2019-10-02T00:00:00"/>
    <x v="1472"/>
    <s v="Mann-Soto"/>
    <x v="3"/>
    <n v="32825.417337744097"/>
    <n v="383"/>
    <x v="0"/>
    <d v="2019-10-07T00:00:00"/>
    <s v="Penicillin"/>
    <x v="1"/>
    <s v="High"/>
    <s v="Under Treatment"/>
    <s v="High Risk"/>
    <x v="1"/>
  </r>
  <r>
    <x v="1485"/>
    <n v="37"/>
    <x v="0"/>
    <s v="AB+"/>
    <x v="2"/>
    <d v="2020-04-23T00:00:00"/>
    <x v="1473"/>
    <s v="Lopez-Flowers"/>
    <x v="1"/>
    <n v="38693.986203444802"/>
    <n v="230"/>
    <x v="1"/>
    <d v="2020-05-07T00:00:00"/>
    <s v="Lipitor"/>
    <x v="2"/>
    <s v="High"/>
    <s v="Under Treatment"/>
    <s v="High Risk"/>
    <x v="3"/>
  </r>
  <r>
    <x v="1486"/>
    <n v="23"/>
    <x v="0"/>
    <s v="AB-"/>
    <x v="4"/>
    <d v="2023-04-10T00:00:00"/>
    <x v="1474"/>
    <s v="Sons and Powell"/>
    <x v="3"/>
    <n v="43013.506084869798"/>
    <n v="281"/>
    <x v="0"/>
    <d v="2023-04-26T00:00:00"/>
    <s v="Aspirin"/>
    <x v="2"/>
    <s v="High"/>
    <s v="Under Treatment"/>
    <s v="High Risk"/>
    <x v="0"/>
  </r>
  <r>
    <x v="1487"/>
    <n v="24"/>
    <x v="1"/>
    <s v="AB-"/>
    <x v="3"/>
    <d v="2023-11-02T00:00:00"/>
    <x v="1475"/>
    <s v="Davis-Rivera"/>
    <x v="0"/>
    <n v="30721.126423224701"/>
    <n v="256"/>
    <x v="1"/>
    <d v="2023-11-06T00:00:00"/>
    <s v="Paracetamol"/>
    <x v="1"/>
    <s v="High"/>
    <s v="Under Treatment"/>
    <s v="High Risk"/>
    <x v="0"/>
  </r>
  <r>
    <x v="1488"/>
    <n v="36"/>
    <x v="0"/>
    <s v="O-"/>
    <x v="4"/>
    <d v="2020-07-29T00:00:00"/>
    <x v="1476"/>
    <s v="Henry-Osborne"/>
    <x v="0"/>
    <n v="24629.484564964601"/>
    <n v="399"/>
    <x v="1"/>
    <d v="2020-08-16T00:00:00"/>
    <s v="Ibuprofen"/>
    <x v="2"/>
    <s v="High"/>
    <s v="Under Treatment"/>
    <s v="High Risk"/>
    <x v="3"/>
  </r>
  <r>
    <x v="1489"/>
    <n v="28"/>
    <x v="1"/>
    <s v="A-"/>
    <x v="4"/>
    <d v="2020-12-10T00:00:00"/>
    <x v="1477"/>
    <s v="Torres Inc"/>
    <x v="0"/>
    <n v="19579.3263982139"/>
    <n v="206"/>
    <x v="1"/>
    <d v="2021-01-08T00:00:00"/>
    <s v="Ibuprofen"/>
    <x v="0"/>
    <s v="High"/>
    <s v="Under Treatment"/>
    <s v="High Risk"/>
    <x v="0"/>
  </r>
  <r>
    <x v="1490"/>
    <n v="70"/>
    <x v="0"/>
    <s v="A+"/>
    <x v="2"/>
    <d v="2022-10-25T00:00:00"/>
    <x v="1478"/>
    <s v="Gutierrez, Taylor and Mason"/>
    <x v="0"/>
    <n v="9539.2563115365992"/>
    <n v="392"/>
    <x v="1"/>
    <d v="2022-11-01T00:00:00"/>
    <s v="Ibuprofen"/>
    <x v="2"/>
    <s v="Medium"/>
    <s v="Under Treatment"/>
    <s v="High Risk"/>
    <x v="2"/>
  </r>
  <r>
    <x v="1491"/>
    <n v="25"/>
    <x v="0"/>
    <s v="O+"/>
    <x v="0"/>
    <d v="2020-04-24T00:00:00"/>
    <x v="1479"/>
    <s v="Oneill-Sharp"/>
    <x v="3"/>
    <n v="31329.480596277899"/>
    <n v="279"/>
    <x v="0"/>
    <d v="2020-04-30T00:00:00"/>
    <s v="Ibuprofen"/>
    <x v="0"/>
    <s v="High"/>
    <s v="Under Treatment"/>
    <s v="High Risk"/>
    <x v="0"/>
  </r>
  <r>
    <x v="1492"/>
    <n v="43"/>
    <x v="1"/>
    <s v="O-"/>
    <x v="3"/>
    <d v="2024-04-27T00:00:00"/>
    <x v="1480"/>
    <s v="Jones LLC"/>
    <x v="2"/>
    <n v="23704.8178350577"/>
    <n v="352"/>
    <x v="1"/>
    <d v="2024-05-26T00:00:00"/>
    <s v="Paracetamol"/>
    <x v="2"/>
    <s v="High"/>
    <s v="Under Treatment"/>
    <s v="High Risk"/>
    <x v="3"/>
  </r>
  <r>
    <x v="1493"/>
    <n v="40"/>
    <x v="0"/>
    <s v="B+"/>
    <x v="2"/>
    <d v="2021-12-31T00:00:00"/>
    <x v="1481"/>
    <s v="Myers Edwards, and Chandler"/>
    <x v="3"/>
    <n v="17563.4079109905"/>
    <n v="122"/>
    <x v="2"/>
    <d v="2022-01-01T00:00:00"/>
    <s v="Aspirin"/>
    <x v="0"/>
    <s v="High"/>
    <s v="Under Treatment"/>
    <s v="High Risk"/>
    <x v="3"/>
  </r>
  <r>
    <x v="1494"/>
    <n v="43"/>
    <x v="1"/>
    <s v="AB+"/>
    <x v="3"/>
    <d v="2023-05-06T00:00:00"/>
    <x v="1482"/>
    <s v="Aguilar-Howard"/>
    <x v="4"/>
    <n v="24049.260563089199"/>
    <n v="444"/>
    <x v="2"/>
    <d v="2023-05-09T00:00:00"/>
    <s v="Aspirin"/>
    <x v="2"/>
    <s v="High"/>
    <s v="Under Treatment"/>
    <s v="High Risk"/>
    <x v="3"/>
  </r>
  <r>
    <x v="1495"/>
    <n v="19"/>
    <x v="0"/>
    <s v="O+"/>
    <x v="0"/>
    <d v="2020-02-05T00:00:00"/>
    <x v="1483"/>
    <s v="Townsend Taylor Khan, and"/>
    <x v="0"/>
    <n v="42444.665944458997"/>
    <n v="346"/>
    <x v="1"/>
    <d v="2020-02-16T00:00:00"/>
    <s v="Ibuprofen"/>
    <x v="2"/>
    <s v="High"/>
    <s v="Under Treatment"/>
    <s v="High Risk"/>
    <x v="0"/>
  </r>
  <r>
    <x v="1496"/>
    <n v="22"/>
    <x v="0"/>
    <s v="O-"/>
    <x v="4"/>
    <d v="2021-06-24T00:00:00"/>
    <x v="1125"/>
    <s v="and Ward Smith, Villanueva"/>
    <x v="3"/>
    <n v="46188.618481951802"/>
    <n v="234"/>
    <x v="0"/>
    <d v="2021-07-20T00:00:00"/>
    <s v="Paracetamol"/>
    <x v="2"/>
    <s v="High"/>
    <s v="Under Treatment"/>
    <s v="High Risk"/>
    <x v="0"/>
  </r>
  <r>
    <x v="1497"/>
    <n v="19"/>
    <x v="1"/>
    <s v="A-"/>
    <x v="2"/>
    <d v="2022-12-17T00:00:00"/>
    <x v="1484"/>
    <s v="Smith-Wilson"/>
    <x v="2"/>
    <n v="14680.378213243999"/>
    <n v="318"/>
    <x v="1"/>
    <d v="2022-12-20T00:00:00"/>
    <s v="Paracetamol"/>
    <x v="2"/>
    <s v="Medium"/>
    <s v="Under Treatment"/>
    <s v="High Risk"/>
    <x v="0"/>
  </r>
  <r>
    <x v="1498"/>
    <n v="36"/>
    <x v="0"/>
    <s v="O+"/>
    <x v="5"/>
    <d v="2019-08-21T00:00:00"/>
    <x v="1485"/>
    <s v="Ltd Thomas"/>
    <x v="3"/>
    <n v="11077.240275126"/>
    <n v="416"/>
    <x v="0"/>
    <d v="2019-09-15T00:00:00"/>
    <s v="Ibuprofen"/>
    <x v="2"/>
    <s v="Medium"/>
    <s v="Under Treatment"/>
    <s v="High Risk"/>
    <x v="3"/>
  </r>
  <r>
    <x v="1499"/>
    <n v="20"/>
    <x v="1"/>
    <s v="O-"/>
    <x v="5"/>
    <d v="2024-01-02T00:00:00"/>
    <x v="1486"/>
    <s v="Sons Hanson and"/>
    <x v="4"/>
    <n v="29874.1057019939"/>
    <n v="389"/>
    <x v="2"/>
    <d v="2024-02-01T00:00:00"/>
    <s v="Penicillin"/>
    <x v="0"/>
    <s v="High"/>
    <s v="Under Treatment"/>
    <s v="High Risk"/>
    <x v="0"/>
  </r>
  <r>
    <x v="1500"/>
    <n v="78"/>
    <x v="0"/>
    <s v="A+"/>
    <x v="2"/>
    <d v="2023-12-08T00:00:00"/>
    <x v="1487"/>
    <s v="Hernandez Montoya, and Escobar"/>
    <x v="1"/>
    <n v="11872.8299837988"/>
    <n v="113"/>
    <x v="2"/>
    <d v="2024-01-07T00:00:00"/>
    <s v="Lipitor"/>
    <x v="0"/>
    <s v="Medium"/>
    <s v="Under Treatment"/>
    <s v="High Risk"/>
    <x v="2"/>
  </r>
  <r>
    <x v="1501"/>
    <n v="30"/>
    <x v="1"/>
    <s v="A+"/>
    <x v="0"/>
    <d v="2023-05-13T00:00:00"/>
    <x v="1488"/>
    <s v="White and Smith Villegas,"/>
    <x v="0"/>
    <n v="20270.529175469699"/>
    <n v="270"/>
    <x v="0"/>
    <d v="2023-05-25T00:00:00"/>
    <s v="Ibuprofen"/>
    <x v="2"/>
    <s v="High"/>
    <s v="Under Treatment"/>
    <s v="High Risk"/>
    <x v="0"/>
  </r>
  <r>
    <x v="1502"/>
    <n v="80"/>
    <x v="0"/>
    <s v="B+"/>
    <x v="0"/>
    <d v="2023-03-17T00:00:00"/>
    <x v="1489"/>
    <s v="Hernandez, and Taylor Smith"/>
    <x v="2"/>
    <n v="9715.9429502356907"/>
    <n v="142"/>
    <x v="0"/>
    <d v="2023-04-01T00:00:00"/>
    <s v="Aspirin"/>
    <x v="0"/>
    <s v="Medium"/>
    <s v="Under Treatment"/>
    <s v="High Risk"/>
    <x v="2"/>
  </r>
  <r>
    <x v="1503"/>
    <n v="74"/>
    <x v="0"/>
    <s v="B+"/>
    <x v="2"/>
    <d v="2023-12-03T00:00:00"/>
    <x v="1490"/>
    <s v="and Hoover Long, Johnson"/>
    <x v="3"/>
    <n v="3086.8644054653901"/>
    <n v="226"/>
    <x v="2"/>
    <d v="2023-12-30T00:00:00"/>
    <s v="Penicillin"/>
    <x v="1"/>
    <s v="Low"/>
    <s v="Under Treatment"/>
    <s v="High Risk"/>
    <x v="2"/>
  </r>
  <r>
    <x v="1504"/>
    <n v="31"/>
    <x v="0"/>
    <s v="A+"/>
    <x v="5"/>
    <d v="2019-10-04T00:00:00"/>
    <x v="1491"/>
    <s v="Griffin Espinoza, Berg and"/>
    <x v="2"/>
    <n v="29129.221058396801"/>
    <n v="164"/>
    <x v="0"/>
    <d v="2019-10-14T00:00:00"/>
    <s v="Aspirin"/>
    <x v="1"/>
    <s v="High"/>
    <s v="Under Treatment"/>
    <s v="High Risk"/>
    <x v="0"/>
  </r>
  <r>
    <x v="1505"/>
    <n v="26"/>
    <x v="1"/>
    <s v="AB-"/>
    <x v="2"/>
    <d v="2022-09-30T00:00:00"/>
    <x v="1492"/>
    <s v="Rosales-Haynes"/>
    <x v="3"/>
    <n v="41322.6311053994"/>
    <n v="493"/>
    <x v="1"/>
    <d v="2022-10-03T00:00:00"/>
    <s v="Aspirin"/>
    <x v="2"/>
    <s v="High"/>
    <s v="Under Treatment"/>
    <s v="High Risk"/>
    <x v="0"/>
  </r>
  <r>
    <x v="1506"/>
    <n v="61"/>
    <x v="0"/>
    <s v="B-"/>
    <x v="4"/>
    <d v="2022-11-10T00:00:00"/>
    <x v="1493"/>
    <s v="Erickson and Sons"/>
    <x v="0"/>
    <n v="36078.389164218199"/>
    <n v="342"/>
    <x v="1"/>
    <d v="2022-11-29T00:00:00"/>
    <s v="Lipitor"/>
    <x v="0"/>
    <s v="High"/>
    <s v="Under Treatment"/>
    <s v="High Risk"/>
    <x v="1"/>
  </r>
  <r>
    <x v="1507"/>
    <n v="69"/>
    <x v="0"/>
    <s v="B+"/>
    <x v="4"/>
    <d v="2020-07-26T00:00:00"/>
    <x v="1494"/>
    <s v="Benson-Johnson"/>
    <x v="1"/>
    <n v="23061.346161141599"/>
    <n v="327"/>
    <x v="0"/>
    <d v="2020-08-08T00:00:00"/>
    <s v="Paracetamol"/>
    <x v="2"/>
    <s v="High"/>
    <s v="Under Treatment"/>
    <s v="High Risk"/>
    <x v="2"/>
  </r>
  <r>
    <x v="1508"/>
    <n v="45"/>
    <x v="0"/>
    <s v="A-"/>
    <x v="2"/>
    <d v="2021-10-09T00:00:00"/>
    <x v="1495"/>
    <s v="Hester, Thomas Richards and"/>
    <x v="2"/>
    <n v="47122.778248420997"/>
    <n v="194"/>
    <x v="0"/>
    <d v="2021-10-31T00:00:00"/>
    <s v="Aspirin"/>
    <x v="2"/>
    <s v="High"/>
    <s v="Under Treatment"/>
    <s v="High Risk"/>
    <x v="3"/>
  </r>
  <r>
    <x v="1509"/>
    <n v="85"/>
    <x v="1"/>
    <s v="A+"/>
    <x v="1"/>
    <d v="2020-02-22T00:00:00"/>
    <x v="1496"/>
    <s v="Ltd Torres"/>
    <x v="2"/>
    <n v="4208.7079350272497"/>
    <n v="394"/>
    <x v="0"/>
    <d v="2020-03-07T00:00:00"/>
    <s v="Penicillin"/>
    <x v="0"/>
    <s v="Low"/>
    <s v="Under Treatment"/>
    <s v="High Risk"/>
    <x v="2"/>
  </r>
  <r>
    <x v="1510"/>
    <n v="35"/>
    <x v="0"/>
    <s v="O-"/>
    <x v="3"/>
    <d v="2022-11-14T00:00:00"/>
    <x v="1497"/>
    <s v="Sampson and Sons"/>
    <x v="0"/>
    <n v="42816.260658032203"/>
    <n v="267"/>
    <x v="1"/>
    <d v="2022-12-03T00:00:00"/>
    <s v="Penicillin"/>
    <x v="0"/>
    <s v="High"/>
    <s v="Under Treatment"/>
    <s v="High Risk"/>
    <x v="0"/>
  </r>
  <r>
    <x v="1511"/>
    <n v="22"/>
    <x v="0"/>
    <s v="AB+"/>
    <x v="3"/>
    <d v="2022-08-02T00:00:00"/>
    <x v="1498"/>
    <s v="and Lee Rodriguez Morris,"/>
    <x v="1"/>
    <n v="18047.551004616798"/>
    <n v="251"/>
    <x v="0"/>
    <d v="2022-08-17T00:00:00"/>
    <s v="Penicillin"/>
    <x v="0"/>
    <s v="High"/>
    <s v="Under Treatment"/>
    <s v="High Risk"/>
    <x v="0"/>
  </r>
  <r>
    <x v="1512"/>
    <n v="47"/>
    <x v="0"/>
    <s v="B+"/>
    <x v="5"/>
    <d v="2021-01-04T00:00:00"/>
    <x v="1499"/>
    <s v="Thompson-Hays"/>
    <x v="0"/>
    <n v="47202.935523774402"/>
    <n v="466"/>
    <x v="1"/>
    <d v="2021-01-30T00:00:00"/>
    <s v="Ibuprofen"/>
    <x v="1"/>
    <s v="High"/>
    <s v="Under Treatment"/>
    <s v="High Risk"/>
    <x v="3"/>
  </r>
  <r>
    <x v="1513"/>
    <n v="20"/>
    <x v="0"/>
    <s v="A+"/>
    <x v="0"/>
    <d v="2022-01-14T00:00:00"/>
    <x v="1500"/>
    <s v="David and Byrd Alexander,"/>
    <x v="4"/>
    <n v="6293.24605008651"/>
    <n v="159"/>
    <x v="2"/>
    <d v="2022-01-16T00:00:00"/>
    <s v="Ibuprofen"/>
    <x v="2"/>
    <s v="Medium"/>
    <s v="Under Treatment"/>
    <s v="High Risk"/>
    <x v="0"/>
  </r>
  <r>
    <x v="1514"/>
    <n v="38"/>
    <x v="0"/>
    <s v="B+"/>
    <x v="3"/>
    <d v="2019-07-07T00:00:00"/>
    <x v="1501"/>
    <s v="Diaz Chaney Russell, and"/>
    <x v="4"/>
    <n v="3503.1059921344199"/>
    <n v="166"/>
    <x v="1"/>
    <d v="2019-08-04T00:00:00"/>
    <s v="Aspirin"/>
    <x v="2"/>
    <s v="Low"/>
    <s v="Under Treatment"/>
    <s v="High Risk"/>
    <x v="3"/>
  </r>
  <r>
    <x v="1515"/>
    <n v="23"/>
    <x v="1"/>
    <s v="O+"/>
    <x v="5"/>
    <d v="2021-04-13T00:00:00"/>
    <x v="1502"/>
    <s v="and Melton, Lee Williams"/>
    <x v="4"/>
    <n v="47504.707030294703"/>
    <n v="463"/>
    <x v="0"/>
    <d v="2021-04-23T00:00:00"/>
    <s v="Aspirin"/>
    <x v="1"/>
    <s v="High"/>
    <s v="Under Treatment"/>
    <s v="High Risk"/>
    <x v="0"/>
  </r>
  <r>
    <x v="1516"/>
    <n v="73"/>
    <x v="0"/>
    <s v="B-"/>
    <x v="2"/>
    <d v="2022-12-05T00:00:00"/>
    <x v="1503"/>
    <s v="Davis-Lee"/>
    <x v="3"/>
    <n v="8572.0693557923696"/>
    <n v="166"/>
    <x v="0"/>
    <d v="2022-12-25T00:00:00"/>
    <s v="Ibuprofen"/>
    <x v="2"/>
    <s v="Medium"/>
    <s v="Under Treatment"/>
    <s v="High Risk"/>
    <x v="2"/>
  </r>
  <r>
    <x v="1517"/>
    <n v="56"/>
    <x v="0"/>
    <s v="B-"/>
    <x v="3"/>
    <d v="2023-09-28T00:00:00"/>
    <x v="1504"/>
    <s v="Hawkins-Campbell"/>
    <x v="2"/>
    <n v="24821.521318903298"/>
    <n v="262"/>
    <x v="2"/>
    <d v="2023-10-08T00:00:00"/>
    <s v="Lipitor"/>
    <x v="2"/>
    <s v="High"/>
    <s v="Under Treatment"/>
    <s v="High Risk"/>
    <x v="1"/>
  </r>
  <r>
    <x v="1518"/>
    <n v="69"/>
    <x v="0"/>
    <s v="O+"/>
    <x v="1"/>
    <d v="2021-08-05T00:00:00"/>
    <x v="1505"/>
    <s v="Graham Nelson Shelton, and"/>
    <x v="1"/>
    <n v="7109.5757426607797"/>
    <n v="205"/>
    <x v="2"/>
    <d v="2021-08-31T00:00:00"/>
    <s v="Aspirin"/>
    <x v="2"/>
    <s v="Medium"/>
    <s v="Under Treatment"/>
    <s v="High Risk"/>
    <x v="2"/>
  </r>
  <r>
    <x v="1519"/>
    <n v="19"/>
    <x v="1"/>
    <s v="B-"/>
    <x v="1"/>
    <d v="2023-12-02T00:00:00"/>
    <x v="1506"/>
    <s v="Inc Taylor"/>
    <x v="4"/>
    <n v="21859.539607676699"/>
    <n v="269"/>
    <x v="0"/>
    <d v="2023-12-18T00:00:00"/>
    <s v="Lipitor"/>
    <x v="1"/>
    <s v="High"/>
    <s v="Under Treatment"/>
    <s v="High Risk"/>
    <x v="0"/>
  </r>
  <r>
    <x v="1520"/>
    <n v="45"/>
    <x v="0"/>
    <s v="A-"/>
    <x v="3"/>
    <d v="2022-03-02T00:00:00"/>
    <x v="1507"/>
    <s v="Garcia-Newman"/>
    <x v="3"/>
    <n v="20408.8008975214"/>
    <n v="306"/>
    <x v="2"/>
    <d v="2022-03-20T00:00:00"/>
    <s v="Ibuprofen"/>
    <x v="0"/>
    <s v="High"/>
    <s v="Under Treatment"/>
    <s v="High Risk"/>
    <x v="3"/>
  </r>
  <r>
    <x v="1521"/>
    <n v="53"/>
    <x v="1"/>
    <s v="O-"/>
    <x v="1"/>
    <d v="2023-05-11T00:00:00"/>
    <x v="1508"/>
    <s v="Miller-Lambert"/>
    <x v="1"/>
    <n v="4611.5069017064798"/>
    <n v="281"/>
    <x v="0"/>
    <d v="2023-05-25T00:00:00"/>
    <s v="Paracetamol"/>
    <x v="1"/>
    <s v="Low"/>
    <s v="Under Treatment"/>
    <s v="High Risk"/>
    <x v="1"/>
  </r>
  <r>
    <x v="1522"/>
    <n v="85"/>
    <x v="0"/>
    <s v="B-"/>
    <x v="2"/>
    <d v="2021-02-15T00:00:00"/>
    <x v="1509"/>
    <s v="Garcia Obrien, Casey and"/>
    <x v="2"/>
    <n v="17860.213441035499"/>
    <n v="374"/>
    <x v="1"/>
    <d v="2021-02-24T00:00:00"/>
    <s v="Lipitor"/>
    <x v="0"/>
    <s v="High"/>
    <s v="Under Treatment"/>
    <s v="High Risk"/>
    <x v="2"/>
  </r>
  <r>
    <x v="1523"/>
    <n v="51"/>
    <x v="1"/>
    <s v="B+"/>
    <x v="3"/>
    <d v="2019-08-17T00:00:00"/>
    <x v="162"/>
    <s v="English Ltd"/>
    <x v="1"/>
    <n v="38582.511052882401"/>
    <n v="156"/>
    <x v="1"/>
    <d v="2019-08-19T00:00:00"/>
    <s v="Lipitor"/>
    <x v="0"/>
    <s v="High"/>
    <s v="Under Treatment"/>
    <s v="High Risk"/>
    <x v="1"/>
  </r>
  <r>
    <x v="1524"/>
    <n v="26"/>
    <x v="1"/>
    <s v="O-"/>
    <x v="2"/>
    <d v="2021-09-18T00:00:00"/>
    <x v="1510"/>
    <s v="Mitchell Sanders, and Beasley"/>
    <x v="3"/>
    <n v="43000.470630415999"/>
    <n v="412"/>
    <x v="0"/>
    <d v="2021-09-19T00:00:00"/>
    <s v="Penicillin"/>
    <x v="2"/>
    <s v="High"/>
    <s v="Under Treatment"/>
    <s v="High Risk"/>
    <x v="0"/>
  </r>
  <r>
    <x v="1525"/>
    <n v="41"/>
    <x v="1"/>
    <s v="A+"/>
    <x v="5"/>
    <d v="2020-06-21T00:00:00"/>
    <x v="1511"/>
    <s v="and Morris Davis, Soto"/>
    <x v="3"/>
    <n v="46057.541668598598"/>
    <n v="225"/>
    <x v="1"/>
    <d v="2020-06-27T00:00:00"/>
    <s v="Paracetamol"/>
    <x v="2"/>
    <s v="High"/>
    <s v="Under Treatment"/>
    <s v="High Risk"/>
    <x v="3"/>
  </r>
  <r>
    <x v="1526"/>
    <n v="22"/>
    <x v="0"/>
    <s v="AB+"/>
    <x v="1"/>
    <d v="2022-08-04T00:00:00"/>
    <x v="1512"/>
    <s v="and Allen Conley Rhodes,"/>
    <x v="1"/>
    <n v="10749.765037617701"/>
    <n v="234"/>
    <x v="2"/>
    <d v="2022-08-19T00:00:00"/>
    <s v="Penicillin"/>
    <x v="1"/>
    <s v="Medium"/>
    <s v="Under Treatment"/>
    <s v="High Risk"/>
    <x v="0"/>
  </r>
  <r>
    <x v="1527"/>
    <n v="69"/>
    <x v="0"/>
    <s v="O-"/>
    <x v="3"/>
    <d v="2024-03-08T00:00:00"/>
    <x v="1513"/>
    <s v="Williams-Cruz"/>
    <x v="0"/>
    <n v="35617.810490672797"/>
    <n v="346"/>
    <x v="1"/>
    <d v="2024-04-05T00:00:00"/>
    <s v="Ibuprofen"/>
    <x v="1"/>
    <s v="High"/>
    <s v="Under Treatment"/>
    <s v="High Risk"/>
    <x v="2"/>
  </r>
  <r>
    <x v="1528"/>
    <n v="55"/>
    <x v="1"/>
    <s v="A-"/>
    <x v="1"/>
    <d v="2019-12-03T00:00:00"/>
    <x v="1514"/>
    <s v="Wilkinson Stark Smith, and"/>
    <x v="3"/>
    <n v="39882.584554767702"/>
    <n v="162"/>
    <x v="2"/>
    <d v="2019-12-05T00:00:00"/>
    <s v="Ibuprofen"/>
    <x v="2"/>
    <s v="High"/>
    <s v="Under Treatment"/>
    <s v="High Risk"/>
    <x v="1"/>
  </r>
  <r>
    <x v="1529"/>
    <n v="30"/>
    <x v="1"/>
    <s v="B+"/>
    <x v="5"/>
    <d v="2022-04-09T00:00:00"/>
    <x v="1515"/>
    <s v="King LLC"/>
    <x v="0"/>
    <n v="10684.9329478745"/>
    <n v="403"/>
    <x v="0"/>
    <d v="2022-04-21T00:00:00"/>
    <s v="Penicillin"/>
    <x v="0"/>
    <s v="Medium"/>
    <s v="Under Treatment"/>
    <s v="High Risk"/>
    <x v="0"/>
  </r>
  <r>
    <x v="1530"/>
    <n v="36"/>
    <x v="1"/>
    <s v="B-"/>
    <x v="1"/>
    <d v="2024-03-26T00:00:00"/>
    <x v="1516"/>
    <s v="Campbell-Bridges"/>
    <x v="4"/>
    <n v="49611.4559188403"/>
    <n v="187"/>
    <x v="2"/>
    <d v="2024-04-18T00:00:00"/>
    <s v="Aspirin"/>
    <x v="1"/>
    <s v="High"/>
    <s v="Under Treatment"/>
    <s v="High Risk"/>
    <x v="3"/>
  </r>
  <r>
    <x v="1531"/>
    <n v="67"/>
    <x v="1"/>
    <s v="O+"/>
    <x v="2"/>
    <d v="2022-01-12T00:00:00"/>
    <x v="1517"/>
    <s v="Group Harris"/>
    <x v="1"/>
    <n v="48094.251205209897"/>
    <n v="370"/>
    <x v="2"/>
    <d v="2022-02-08T00:00:00"/>
    <s v="Penicillin"/>
    <x v="0"/>
    <s v="High"/>
    <s v="Under Treatment"/>
    <s v="High Risk"/>
    <x v="2"/>
  </r>
  <r>
    <x v="1532"/>
    <n v="40"/>
    <x v="1"/>
    <s v="A+"/>
    <x v="4"/>
    <d v="2022-01-27T00:00:00"/>
    <x v="1518"/>
    <s v="Inc Frazier"/>
    <x v="4"/>
    <n v="18329.658600203202"/>
    <n v="346"/>
    <x v="0"/>
    <d v="2022-02-23T00:00:00"/>
    <s v="Lipitor"/>
    <x v="1"/>
    <s v="High"/>
    <s v="Under Treatment"/>
    <s v="High Risk"/>
    <x v="3"/>
  </r>
  <r>
    <x v="1533"/>
    <n v="37"/>
    <x v="1"/>
    <s v="AB-"/>
    <x v="2"/>
    <d v="2023-09-15T00:00:00"/>
    <x v="1519"/>
    <s v="Jones LLC"/>
    <x v="1"/>
    <n v="32521.057620464398"/>
    <n v="376"/>
    <x v="2"/>
    <d v="2023-10-03T00:00:00"/>
    <s v="Paracetamol"/>
    <x v="2"/>
    <s v="High"/>
    <s v="Under Treatment"/>
    <s v="High Risk"/>
    <x v="3"/>
  </r>
  <r>
    <x v="1534"/>
    <n v="70"/>
    <x v="0"/>
    <s v="A-"/>
    <x v="0"/>
    <d v="2019-12-01T00:00:00"/>
    <x v="1520"/>
    <s v="Group Cook"/>
    <x v="2"/>
    <n v="19551.832453277199"/>
    <n v="380"/>
    <x v="1"/>
    <d v="2019-12-30T00:00:00"/>
    <s v="Lipitor"/>
    <x v="1"/>
    <s v="High"/>
    <s v="Under Treatment"/>
    <s v="High Risk"/>
    <x v="2"/>
  </r>
  <r>
    <x v="1535"/>
    <n v="34"/>
    <x v="0"/>
    <s v="B-"/>
    <x v="0"/>
    <d v="2021-02-19T00:00:00"/>
    <x v="1521"/>
    <s v="LLC Ross"/>
    <x v="4"/>
    <n v="35156.937199846798"/>
    <n v="291"/>
    <x v="2"/>
    <d v="2021-03-02T00:00:00"/>
    <s v="Paracetamol"/>
    <x v="1"/>
    <s v="High"/>
    <s v="Under Treatment"/>
    <s v="High Risk"/>
    <x v="0"/>
  </r>
  <r>
    <x v="1536"/>
    <n v="29"/>
    <x v="0"/>
    <s v="AB+"/>
    <x v="5"/>
    <d v="2020-02-21T00:00:00"/>
    <x v="1522"/>
    <s v="Castro-Moore"/>
    <x v="0"/>
    <n v="46996.404453976102"/>
    <n v="479"/>
    <x v="1"/>
    <d v="2020-03-08T00:00:00"/>
    <s v="Lipitor"/>
    <x v="2"/>
    <s v="High"/>
    <s v="Under Treatment"/>
    <s v="High Risk"/>
    <x v="0"/>
  </r>
  <r>
    <x v="1537"/>
    <n v="48"/>
    <x v="0"/>
    <s v="AB+"/>
    <x v="1"/>
    <d v="2021-09-24T00:00:00"/>
    <x v="1523"/>
    <s v="Brown LLC"/>
    <x v="0"/>
    <n v="25092.552062679399"/>
    <n v="263"/>
    <x v="2"/>
    <d v="2021-10-18T00:00:00"/>
    <s v="Aspirin"/>
    <x v="2"/>
    <s v="High"/>
    <s v="Under Treatment"/>
    <s v="High Risk"/>
    <x v="3"/>
  </r>
  <r>
    <x v="1538"/>
    <n v="37"/>
    <x v="0"/>
    <s v="AB-"/>
    <x v="2"/>
    <d v="2023-12-10T00:00:00"/>
    <x v="1524"/>
    <s v="Fritz Gonzalez, Rodgers and"/>
    <x v="1"/>
    <n v="36334.230095239502"/>
    <n v="450"/>
    <x v="0"/>
    <d v="2023-12-25T00:00:00"/>
    <s v="Lipitor"/>
    <x v="0"/>
    <s v="High"/>
    <s v="Under Treatment"/>
    <s v="High Risk"/>
    <x v="3"/>
  </r>
  <r>
    <x v="1539"/>
    <n v="50"/>
    <x v="0"/>
    <s v="B-"/>
    <x v="2"/>
    <d v="2021-05-21T00:00:00"/>
    <x v="1525"/>
    <s v="Moon Inc"/>
    <x v="3"/>
    <n v="5297.6728903615003"/>
    <n v="210"/>
    <x v="2"/>
    <d v="2021-05-31T00:00:00"/>
    <s v="Lipitor"/>
    <x v="0"/>
    <s v="Medium"/>
    <s v="Under Treatment"/>
    <s v="High Risk"/>
    <x v="3"/>
  </r>
  <r>
    <x v="1540"/>
    <n v="66"/>
    <x v="1"/>
    <s v="O-"/>
    <x v="0"/>
    <d v="2020-09-14T00:00:00"/>
    <x v="1526"/>
    <s v="Hayden, Zamora Riley and"/>
    <x v="0"/>
    <n v="40326.858543745198"/>
    <n v="199"/>
    <x v="1"/>
    <d v="2020-09-30T00:00:00"/>
    <s v="Paracetamol"/>
    <x v="1"/>
    <s v="High"/>
    <s v="Under Treatment"/>
    <s v="High Risk"/>
    <x v="2"/>
  </r>
  <r>
    <x v="1541"/>
    <n v="81"/>
    <x v="1"/>
    <s v="O-"/>
    <x v="5"/>
    <d v="2023-06-21T00:00:00"/>
    <x v="1527"/>
    <s v="Avila Washington, Burton and"/>
    <x v="0"/>
    <n v="36156.671337586398"/>
    <n v="387"/>
    <x v="1"/>
    <d v="2023-07-09T00:00:00"/>
    <s v="Penicillin"/>
    <x v="1"/>
    <s v="High"/>
    <s v="Under Treatment"/>
    <s v="High Risk"/>
    <x v="2"/>
  </r>
  <r>
    <x v="1542"/>
    <n v="41"/>
    <x v="0"/>
    <s v="O+"/>
    <x v="0"/>
    <d v="2020-04-11T00:00:00"/>
    <x v="1528"/>
    <s v="Ltd Martinez"/>
    <x v="1"/>
    <n v="34723.9922385721"/>
    <n v="466"/>
    <x v="2"/>
    <d v="2020-05-07T00:00:00"/>
    <s v="Aspirin"/>
    <x v="0"/>
    <s v="High"/>
    <s v="Under Treatment"/>
    <s v="High Risk"/>
    <x v="3"/>
  </r>
  <r>
    <x v="1543"/>
    <n v="79"/>
    <x v="0"/>
    <s v="B+"/>
    <x v="0"/>
    <d v="2021-07-26T00:00:00"/>
    <x v="1529"/>
    <s v="Ltd Herring"/>
    <x v="3"/>
    <n v="6575.9429170746198"/>
    <n v="346"/>
    <x v="1"/>
    <d v="2021-08-02T00:00:00"/>
    <s v="Paracetamol"/>
    <x v="0"/>
    <s v="Medium"/>
    <s v="Under Treatment"/>
    <s v="High Risk"/>
    <x v="2"/>
  </r>
  <r>
    <x v="1544"/>
    <n v="49"/>
    <x v="0"/>
    <s v="O+"/>
    <x v="2"/>
    <d v="2022-06-28T00:00:00"/>
    <x v="1530"/>
    <s v="Dickerson-Gordon"/>
    <x v="1"/>
    <n v="36144.213808815199"/>
    <n v="181"/>
    <x v="0"/>
    <d v="2022-07-10T00:00:00"/>
    <s v="Aspirin"/>
    <x v="2"/>
    <s v="High"/>
    <s v="Under Treatment"/>
    <s v="High Risk"/>
    <x v="3"/>
  </r>
  <r>
    <x v="1545"/>
    <n v="49"/>
    <x v="0"/>
    <s v="O+"/>
    <x v="5"/>
    <d v="2020-03-24T00:00:00"/>
    <x v="1531"/>
    <s v="Group Morales"/>
    <x v="2"/>
    <n v="37613.323098200199"/>
    <n v="186"/>
    <x v="2"/>
    <d v="2020-04-06T00:00:00"/>
    <s v="Aspirin"/>
    <x v="1"/>
    <s v="High"/>
    <s v="Under Treatment"/>
    <s v="High Risk"/>
    <x v="3"/>
  </r>
  <r>
    <x v="1546"/>
    <n v="31"/>
    <x v="1"/>
    <s v="AB+"/>
    <x v="2"/>
    <d v="2019-07-11T00:00:00"/>
    <x v="1532"/>
    <s v="Cruz-Smith"/>
    <x v="3"/>
    <n v="32503.301786416301"/>
    <n v="182"/>
    <x v="2"/>
    <d v="2019-08-06T00:00:00"/>
    <s v="Ibuprofen"/>
    <x v="0"/>
    <s v="High"/>
    <s v="Under Treatment"/>
    <s v="High Risk"/>
    <x v="0"/>
  </r>
  <r>
    <x v="1547"/>
    <n v="65"/>
    <x v="0"/>
    <s v="A-"/>
    <x v="5"/>
    <d v="2023-07-03T00:00:00"/>
    <x v="1533"/>
    <s v="Parker and Walter Cook,"/>
    <x v="0"/>
    <n v="15229.692076573399"/>
    <n v="209"/>
    <x v="1"/>
    <d v="2023-07-12T00:00:00"/>
    <s v="Ibuprofen"/>
    <x v="1"/>
    <s v="High"/>
    <s v="Under Treatment"/>
    <s v="High Risk"/>
    <x v="1"/>
  </r>
  <r>
    <x v="1548"/>
    <n v="38"/>
    <x v="0"/>
    <s v="AB-"/>
    <x v="3"/>
    <d v="2019-06-20T00:00:00"/>
    <x v="1534"/>
    <s v="Morgan, Levy and Mitchell"/>
    <x v="1"/>
    <n v="40744.694761452403"/>
    <n v="354"/>
    <x v="0"/>
    <d v="2019-07-17T00:00:00"/>
    <s v="Paracetamol"/>
    <x v="0"/>
    <s v="High"/>
    <s v="Under Treatment"/>
    <s v="High Risk"/>
    <x v="3"/>
  </r>
  <r>
    <x v="1549"/>
    <n v="41"/>
    <x v="1"/>
    <s v="A-"/>
    <x v="1"/>
    <d v="2022-09-11T00:00:00"/>
    <x v="1535"/>
    <s v="Nolan-Kelley"/>
    <x v="0"/>
    <n v="45259.845731791102"/>
    <n v="175"/>
    <x v="0"/>
    <d v="2022-09-16T00:00:00"/>
    <s v="Aspirin"/>
    <x v="2"/>
    <s v="High"/>
    <s v="Under Treatment"/>
    <s v="High Risk"/>
    <x v="3"/>
  </r>
  <r>
    <x v="1550"/>
    <n v="28"/>
    <x v="1"/>
    <s v="B-"/>
    <x v="4"/>
    <d v="2020-10-28T00:00:00"/>
    <x v="1536"/>
    <s v="Robinson-Stevens"/>
    <x v="0"/>
    <n v="18808.6153000171"/>
    <n v="489"/>
    <x v="1"/>
    <d v="2020-11-16T00:00:00"/>
    <s v="Penicillin"/>
    <x v="1"/>
    <s v="High"/>
    <s v="Under Treatment"/>
    <s v="High Risk"/>
    <x v="0"/>
  </r>
  <r>
    <x v="1551"/>
    <n v="19"/>
    <x v="1"/>
    <s v="A+"/>
    <x v="0"/>
    <d v="2022-02-20T00:00:00"/>
    <x v="1537"/>
    <s v="Sons and Heath"/>
    <x v="1"/>
    <n v="40052.413208068698"/>
    <n v="413"/>
    <x v="1"/>
    <d v="2022-03-01T00:00:00"/>
    <s v="Paracetamol"/>
    <x v="0"/>
    <s v="High"/>
    <s v="Under Treatment"/>
    <s v="High Risk"/>
    <x v="0"/>
  </r>
  <r>
    <x v="1552"/>
    <n v="58"/>
    <x v="1"/>
    <s v="B-"/>
    <x v="3"/>
    <d v="2022-11-27T00:00:00"/>
    <x v="1538"/>
    <s v="Clark and Cuevas, Davis"/>
    <x v="2"/>
    <n v="36000.702340057898"/>
    <n v="360"/>
    <x v="2"/>
    <d v="2022-12-18T00:00:00"/>
    <s v="Paracetamol"/>
    <x v="2"/>
    <s v="High"/>
    <s v="Under Treatment"/>
    <s v="High Risk"/>
    <x v="1"/>
  </r>
  <r>
    <x v="1553"/>
    <n v="28"/>
    <x v="0"/>
    <s v="A-"/>
    <x v="3"/>
    <d v="2020-02-26T00:00:00"/>
    <x v="1224"/>
    <s v="Singh-Turner"/>
    <x v="2"/>
    <n v="15688.363993962301"/>
    <n v="422"/>
    <x v="2"/>
    <d v="2020-03-16T00:00:00"/>
    <s v="Penicillin"/>
    <x v="2"/>
    <s v="High"/>
    <s v="Under Treatment"/>
    <s v="High Risk"/>
    <x v="0"/>
  </r>
  <r>
    <x v="1554"/>
    <n v="76"/>
    <x v="1"/>
    <s v="A-"/>
    <x v="0"/>
    <d v="2023-07-26T00:00:00"/>
    <x v="1539"/>
    <s v="and Figueroa Robinson, Casey"/>
    <x v="1"/>
    <n v="31948.2694877059"/>
    <n v="164"/>
    <x v="0"/>
    <d v="2023-08-14T00:00:00"/>
    <s v="Paracetamol"/>
    <x v="2"/>
    <s v="High"/>
    <s v="Under Treatment"/>
    <s v="High Risk"/>
    <x v="2"/>
  </r>
  <r>
    <x v="1555"/>
    <n v="57"/>
    <x v="0"/>
    <s v="B+"/>
    <x v="1"/>
    <d v="2023-11-14T00:00:00"/>
    <x v="1540"/>
    <s v="PLC Thomas"/>
    <x v="4"/>
    <n v="7040.68578523818"/>
    <n v="379"/>
    <x v="0"/>
    <d v="2023-11-18T00:00:00"/>
    <s v="Aspirin"/>
    <x v="2"/>
    <s v="Medium"/>
    <s v="Under Treatment"/>
    <s v="High Risk"/>
    <x v="1"/>
  </r>
  <r>
    <x v="1556"/>
    <n v="65"/>
    <x v="1"/>
    <s v="A-"/>
    <x v="4"/>
    <d v="2024-04-23T00:00:00"/>
    <x v="1541"/>
    <s v="Osborn-Park"/>
    <x v="2"/>
    <n v="39524.108624984998"/>
    <n v="302"/>
    <x v="1"/>
    <d v="2024-05-15T00:00:00"/>
    <s v="Lipitor"/>
    <x v="0"/>
    <s v="High"/>
    <s v="Under Treatment"/>
    <s v="High Risk"/>
    <x v="1"/>
  </r>
  <r>
    <x v="1557"/>
    <n v="65"/>
    <x v="0"/>
    <s v="O-"/>
    <x v="3"/>
    <d v="2021-05-02T00:00:00"/>
    <x v="1542"/>
    <s v="Thomas-Jones"/>
    <x v="1"/>
    <n v="30459.3791289898"/>
    <n v="418"/>
    <x v="0"/>
    <d v="2021-05-24T00:00:00"/>
    <s v="Aspirin"/>
    <x v="0"/>
    <s v="High"/>
    <s v="Under Treatment"/>
    <s v="High Risk"/>
    <x v="1"/>
  </r>
  <r>
    <x v="1558"/>
    <n v="33"/>
    <x v="0"/>
    <s v="A-"/>
    <x v="3"/>
    <d v="2021-08-29T00:00:00"/>
    <x v="1543"/>
    <s v="LLC Howard"/>
    <x v="0"/>
    <n v="19828.202760812899"/>
    <n v="287"/>
    <x v="1"/>
    <d v="2021-09-05T00:00:00"/>
    <s v="Lipitor"/>
    <x v="2"/>
    <s v="High"/>
    <s v="Under Treatment"/>
    <s v="High Risk"/>
    <x v="0"/>
  </r>
  <r>
    <x v="1559"/>
    <n v="71"/>
    <x v="0"/>
    <s v="AB-"/>
    <x v="4"/>
    <d v="2020-12-24T00:00:00"/>
    <x v="1544"/>
    <s v="Lynch Inc"/>
    <x v="2"/>
    <n v="15644.578162601099"/>
    <n v="327"/>
    <x v="2"/>
    <d v="2021-01-10T00:00:00"/>
    <s v="Lipitor"/>
    <x v="1"/>
    <s v="High"/>
    <s v="Under Treatment"/>
    <s v="High Risk"/>
    <x v="2"/>
  </r>
  <r>
    <x v="1560"/>
    <n v="75"/>
    <x v="1"/>
    <s v="AB+"/>
    <x v="0"/>
    <d v="2022-12-14T00:00:00"/>
    <x v="1545"/>
    <s v="Griffin Williams, Harding and"/>
    <x v="2"/>
    <n v="19406.3582183156"/>
    <n v="103"/>
    <x v="0"/>
    <d v="2022-12-20T00:00:00"/>
    <s v="Ibuprofen"/>
    <x v="1"/>
    <s v="High"/>
    <s v="Under Treatment"/>
    <s v="High Risk"/>
    <x v="2"/>
  </r>
  <r>
    <x v="1561"/>
    <n v="31"/>
    <x v="1"/>
    <s v="A-"/>
    <x v="3"/>
    <d v="2021-11-23T00:00:00"/>
    <x v="1546"/>
    <s v="Cox-Smith"/>
    <x v="0"/>
    <n v="23602.765606777899"/>
    <n v="333"/>
    <x v="0"/>
    <d v="2021-12-06T00:00:00"/>
    <s v="Aspirin"/>
    <x v="0"/>
    <s v="High"/>
    <s v="Under Treatment"/>
    <s v="High Risk"/>
    <x v="0"/>
  </r>
  <r>
    <x v="1562"/>
    <n v="76"/>
    <x v="1"/>
    <s v="A+"/>
    <x v="4"/>
    <d v="2020-09-27T00:00:00"/>
    <x v="1547"/>
    <s v="Ford-Goodwin"/>
    <x v="4"/>
    <n v="48263.391430971002"/>
    <n v="316"/>
    <x v="1"/>
    <d v="2020-10-20T00:00:00"/>
    <s v="Lipitor"/>
    <x v="1"/>
    <s v="High"/>
    <s v="Under Treatment"/>
    <s v="High Risk"/>
    <x v="2"/>
  </r>
  <r>
    <x v="1563"/>
    <n v="83"/>
    <x v="0"/>
    <s v="A-"/>
    <x v="4"/>
    <d v="2019-07-25T00:00:00"/>
    <x v="1548"/>
    <s v="Jones LLC"/>
    <x v="0"/>
    <n v="1456.26186052957"/>
    <n v="470"/>
    <x v="1"/>
    <d v="2019-08-13T00:00:00"/>
    <s v="Aspirin"/>
    <x v="2"/>
    <s v="Low"/>
    <s v="Under Treatment"/>
    <s v="High Risk"/>
    <x v="2"/>
  </r>
  <r>
    <x v="1564"/>
    <n v="28"/>
    <x v="1"/>
    <s v="B-"/>
    <x v="3"/>
    <d v="2020-04-29T00:00:00"/>
    <x v="1549"/>
    <s v="Lester LLC"/>
    <x v="1"/>
    <n v="9727.2859848276403"/>
    <n v="208"/>
    <x v="2"/>
    <d v="2020-05-11T00:00:00"/>
    <s v="Aspirin"/>
    <x v="2"/>
    <s v="Medium"/>
    <s v="Under Treatment"/>
    <s v="High Risk"/>
    <x v="0"/>
  </r>
  <r>
    <x v="1565"/>
    <n v="44"/>
    <x v="1"/>
    <s v="O+"/>
    <x v="3"/>
    <d v="2021-03-29T00:00:00"/>
    <x v="1550"/>
    <s v="Schmidt-Simmons"/>
    <x v="4"/>
    <n v="3419.169850282"/>
    <n v="129"/>
    <x v="1"/>
    <d v="2021-04-12T00:00:00"/>
    <s v="Ibuprofen"/>
    <x v="2"/>
    <s v="Low"/>
    <s v="Under Treatment"/>
    <s v="High Risk"/>
    <x v="3"/>
  </r>
  <r>
    <x v="1566"/>
    <n v="20"/>
    <x v="1"/>
    <s v="AB-"/>
    <x v="3"/>
    <d v="2020-12-13T00:00:00"/>
    <x v="1551"/>
    <s v="and Mathis, Garcia Bell"/>
    <x v="2"/>
    <n v="12132.8276982814"/>
    <n v="393"/>
    <x v="2"/>
    <d v="2020-12-18T00:00:00"/>
    <s v="Penicillin"/>
    <x v="2"/>
    <s v="Medium"/>
    <s v="Under Treatment"/>
    <s v="High Risk"/>
    <x v="0"/>
  </r>
  <r>
    <x v="1567"/>
    <n v="66"/>
    <x v="0"/>
    <s v="A-"/>
    <x v="1"/>
    <d v="2020-06-24T00:00:00"/>
    <x v="1552"/>
    <s v="Escobar, and Ward Lawson"/>
    <x v="1"/>
    <n v="20763.578313283699"/>
    <n v="280"/>
    <x v="0"/>
    <d v="2020-07-01T00:00:00"/>
    <s v="Lipitor"/>
    <x v="1"/>
    <s v="High"/>
    <s v="Under Treatment"/>
    <s v="High Risk"/>
    <x v="2"/>
  </r>
  <r>
    <x v="1568"/>
    <n v="43"/>
    <x v="0"/>
    <s v="O+"/>
    <x v="1"/>
    <d v="2020-01-29T00:00:00"/>
    <x v="1553"/>
    <s v="LLC Anderson"/>
    <x v="1"/>
    <n v="39598.871930128"/>
    <n v="370"/>
    <x v="2"/>
    <d v="2020-02-11T00:00:00"/>
    <s v="Lipitor"/>
    <x v="2"/>
    <s v="High"/>
    <s v="Under Treatment"/>
    <s v="High Risk"/>
    <x v="3"/>
  </r>
  <r>
    <x v="1569"/>
    <n v="56"/>
    <x v="1"/>
    <s v="A+"/>
    <x v="2"/>
    <d v="2022-08-24T00:00:00"/>
    <x v="1554"/>
    <s v="Cochran-Sutton"/>
    <x v="3"/>
    <n v="33115.8155498817"/>
    <n v="471"/>
    <x v="2"/>
    <d v="2022-09-03T00:00:00"/>
    <s v="Ibuprofen"/>
    <x v="1"/>
    <s v="High"/>
    <s v="Under Treatment"/>
    <s v="High Risk"/>
    <x v="1"/>
  </r>
  <r>
    <x v="1570"/>
    <n v="55"/>
    <x v="0"/>
    <s v="O+"/>
    <x v="3"/>
    <d v="2020-01-08T00:00:00"/>
    <x v="1555"/>
    <s v="Hamilton-Dudley"/>
    <x v="0"/>
    <n v="19523.853571694799"/>
    <n v="362"/>
    <x v="2"/>
    <d v="2020-02-04T00:00:00"/>
    <s v="Ibuprofen"/>
    <x v="1"/>
    <s v="High"/>
    <s v="Under Treatment"/>
    <s v="High Risk"/>
    <x v="1"/>
  </r>
  <r>
    <x v="1571"/>
    <n v="38"/>
    <x v="1"/>
    <s v="O-"/>
    <x v="5"/>
    <d v="2023-11-29T00:00:00"/>
    <x v="1556"/>
    <s v="Austin Group"/>
    <x v="3"/>
    <n v="44105.966075750097"/>
    <n v="268"/>
    <x v="2"/>
    <d v="2023-12-05T00:00:00"/>
    <s v="Lipitor"/>
    <x v="0"/>
    <s v="High"/>
    <s v="Under Treatment"/>
    <s v="High Risk"/>
    <x v="3"/>
  </r>
  <r>
    <x v="1572"/>
    <n v="22"/>
    <x v="0"/>
    <s v="AB-"/>
    <x v="5"/>
    <d v="2021-02-18T00:00:00"/>
    <x v="1557"/>
    <s v="LLC Daniels"/>
    <x v="2"/>
    <n v="43879.060722524096"/>
    <n v="463"/>
    <x v="0"/>
    <d v="2021-02-27T00:00:00"/>
    <s v="Lipitor"/>
    <x v="2"/>
    <s v="High"/>
    <s v="Under Treatment"/>
    <s v="High Risk"/>
    <x v="0"/>
  </r>
  <r>
    <x v="1573"/>
    <n v="29"/>
    <x v="1"/>
    <s v="O+"/>
    <x v="0"/>
    <d v="2023-05-07T00:00:00"/>
    <x v="1558"/>
    <s v="Sullivan and Young Gonzalez,"/>
    <x v="2"/>
    <n v="2176.1181459631298"/>
    <n v="259"/>
    <x v="1"/>
    <d v="2023-05-11T00:00:00"/>
    <s v="Ibuprofen"/>
    <x v="1"/>
    <s v="Low"/>
    <s v="Under Treatment"/>
    <s v="High Risk"/>
    <x v="0"/>
  </r>
  <r>
    <x v="1574"/>
    <n v="45"/>
    <x v="0"/>
    <s v="B+"/>
    <x v="1"/>
    <d v="2021-04-25T00:00:00"/>
    <x v="1559"/>
    <s v="Jones Stone, Randolph and"/>
    <x v="1"/>
    <n v="23188.920429630001"/>
    <n v="260"/>
    <x v="2"/>
    <d v="2021-05-09T00:00:00"/>
    <s v="Aspirin"/>
    <x v="0"/>
    <s v="High"/>
    <s v="Under Treatment"/>
    <s v="High Risk"/>
    <x v="3"/>
  </r>
  <r>
    <x v="1575"/>
    <n v="65"/>
    <x v="1"/>
    <s v="AB+"/>
    <x v="4"/>
    <d v="2023-02-18T00:00:00"/>
    <x v="1560"/>
    <s v="Lewis Washington and Walker,"/>
    <x v="3"/>
    <n v="35096.873609564696"/>
    <n v="102"/>
    <x v="0"/>
    <d v="2023-02-28T00:00:00"/>
    <s v="Lipitor"/>
    <x v="1"/>
    <s v="High"/>
    <s v="Under Treatment"/>
    <s v="High Risk"/>
    <x v="1"/>
  </r>
  <r>
    <x v="1576"/>
    <n v="69"/>
    <x v="0"/>
    <s v="A+"/>
    <x v="4"/>
    <d v="2023-11-03T00:00:00"/>
    <x v="1561"/>
    <s v="Campos-Johnson"/>
    <x v="1"/>
    <n v="37863.276747212003"/>
    <n v="219"/>
    <x v="1"/>
    <d v="2023-11-29T00:00:00"/>
    <s v="Lipitor"/>
    <x v="0"/>
    <s v="High"/>
    <s v="Under Treatment"/>
    <s v="High Risk"/>
    <x v="2"/>
  </r>
  <r>
    <x v="1577"/>
    <n v="43"/>
    <x v="0"/>
    <s v="AB-"/>
    <x v="0"/>
    <d v="2022-02-10T00:00:00"/>
    <x v="1562"/>
    <s v="Robinson and Hoover Rhodes,"/>
    <x v="4"/>
    <n v="16928.966212910698"/>
    <n v="418"/>
    <x v="2"/>
    <d v="2022-02-25T00:00:00"/>
    <s v="Aspirin"/>
    <x v="2"/>
    <s v="High"/>
    <s v="Under Treatment"/>
    <s v="High Risk"/>
    <x v="3"/>
  </r>
  <r>
    <x v="1578"/>
    <n v="32"/>
    <x v="1"/>
    <s v="B-"/>
    <x v="5"/>
    <d v="2021-03-30T00:00:00"/>
    <x v="632"/>
    <s v="Woods Ltd"/>
    <x v="4"/>
    <n v="33422.960797070999"/>
    <n v="225"/>
    <x v="1"/>
    <d v="2021-04-04T00:00:00"/>
    <s v="Aspirin"/>
    <x v="2"/>
    <s v="High"/>
    <s v="Under Treatment"/>
    <s v="High Risk"/>
    <x v="0"/>
  </r>
  <r>
    <x v="1579"/>
    <n v="20"/>
    <x v="0"/>
    <s v="AB+"/>
    <x v="1"/>
    <d v="2019-07-23T00:00:00"/>
    <x v="1563"/>
    <s v="Duncan-Howell"/>
    <x v="4"/>
    <n v="17678.3619375044"/>
    <n v="208"/>
    <x v="2"/>
    <d v="2019-07-29T00:00:00"/>
    <s v="Aspirin"/>
    <x v="0"/>
    <s v="High"/>
    <s v="Under Treatment"/>
    <s v="High Risk"/>
    <x v="0"/>
  </r>
  <r>
    <x v="1580"/>
    <n v="76"/>
    <x v="1"/>
    <s v="B+"/>
    <x v="1"/>
    <d v="2020-07-18T00:00:00"/>
    <x v="1564"/>
    <s v="Robertson-Richards"/>
    <x v="4"/>
    <n v="28222.728924578802"/>
    <n v="222"/>
    <x v="0"/>
    <d v="2020-08-08T00:00:00"/>
    <s v="Penicillin"/>
    <x v="0"/>
    <s v="High"/>
    <s v="Under Treatment"/>
    <s v="High Risk"/>
    <x v="2"/>
  </r>
  <r>
    <x v="1581"/>
    <n v="56"/>
    <x v="1"/>
    <s v="B+"/>
    <x v="3"/>
    <d v="2022-08-18T00:00:00"/>
    <x v="1565"/>
    <s v="Mcmahon, Smith and Crawford"/>
    <x v="0"/>
    <n v="21736.1708239658"/>
    <n v="345"/>
    <x v="2"/>
    <d v="2022-08-23T00:00:00"/>
    <s v="Aspirin"/>
    <x v="1"/>
    <s v="High"/>
    <s v="Under Treatment"/>
    <s v="High Risk"/>
    <x v="1"/>
  </r>
  <r>
    <x v="1582"/>
    <n v="56"/>
    <x v="1"/>
    <s v="AB+"/>
    <x v="4"/>
    <d v="2020-11-24T00:00:00"/>
    <x v="1566"/>
    <s v="Morris Lewis, and Fletcher"/>
    <x v="4"/>
    <n v="19410.964441424399"/>
    <n v="195"/>
    <x v="2"/>
    <d v="2020-12-04T00:00:00"/>
    <s v="Ibuprofen"/>
    <x v="0"/>
    <s v="High"/>
    <s v="Under Treatment"/>
    <s v="High Risk"/>
    <x v="1"/>
  </r>
  <r>
    <x v="1583"/>
    <n v="18"/>
    <x v="1"/>
    <s v="O+"/>
    <x v="5"/>
    <d v="2024-05-04T00:00:00"/>
    <x v="1567"/>
    <s v="Rodriguez-Bell"/>
    <x v="2"/>
    <n v="41167.105417891697"/>
    <n v="435"/>
    <x v="2"/>
    <d v="2024-05-09T00:00:00"/>
    <s v="Penicillin"/>
    <x v="0"/>
    <s v="High"/>
    <s v="Under Treatment"/>
    <s v="High Risk"/>
    <x v="4"/>
  </r>
  <r>
    <x v="1584"/>
    <n v="31"/>
    <x v="0"/>
    <s v="B+"/>
    <x v="3"/>
    <d v="2023-03-12T00:00:00"/>
    <x v="362"/>
    <s v="King Group"/>
    <x v="2"/>
    <n v="37912.244036017699"/>
    <n v="264"/>
    <x v="2"/>
    <d v="2023-03-23T00:00:00"/>
    <s v="Paracetamol"/>
    <x v="1"/>
    <s v="High"/>
    <s v="Under Treatment"/>
    <s v="High Risk"/>
    <x v="0"/>
  </r>
  <r>
    <x v="1585"/>
    <n v="30"/>
    <x v="1"/>
    <s v="AB-"/>
    <x v="0"/>
    <d v="2020-09-21T00:00:00"/>
    <x v="1568"/>
    <s v="Wilson Young, Ballard and"/>
    <x v="3"/>
    <n v="4434.1380976789096"/>
    <n v="250"/>
    <x v="2"/>
    <d v="2020-09-27T00:00:00"/>
    <s v="Penicillin"/>
    <x v="0"/>
    <s v="Low"/>
    <s v="Under Treatment"/>
    <s v="High Risk"/>
    <x v="0"/>
  </r>
  <r>
    <x v="1586"/>
    <n v="31"/>
    <x v="1"/>
    <s v="A+"/>
    <x v="1"/>
    <d v="2020-07-28T00:00:00"/>
    <x v="1569"/>
    <s v="Cunningham-Li"/>
    <x v="3"/>
    <n v="38479.560037346397"/>
    <n v="250"/>
    <x v="2"/>
    <d v="2020-08-01T00:00:00"/>
    <s v="Penicillin"/>
    <x v="1"/>
    <s v="High"/>
    <s v="Under Treatment"/>
    <s v="High Risk"/>
    <x v="0"/>
  </r>
  <r>
    <x v="1587"/>
    <n v="72"/>
    <x v="0"/>
    <s v="O+"/>
    <x v="1"/>
    <d v="2022-07-09T00:00:00"/>
    <x v="1570"/>
    <s v="Whitney Inc"/>
    <x v="4"/>
    <n v="6034.2950120948399"/>
    <n v="352"/>
    <x v="0"/>
    <d v="2022-07-16T00:00:00"/>
    <s v="Lipitor"/>
    <x v="2"/>
    <s v="Medium"/>
    <s v="Under Treatment"/>
    <s v="High Risk"/>
    <x v="2"/>
  </r>
  <r>
    <x v="1588"/>
    <n v="83"/>
    <x v="1"/>
    <s v="AB+"/>
    <x v="4"/>
    <d v="2023-05-29T00:00:00"/>
    <x v="1571"/>
    <s v="Chambers-Smith"/>
    <x v="0"/>
    <n v="25223.471741565299"/>
    <n v="266"/>
    <x v="0"/>
    <d v="2023-06-09T00:00:00"/>
    <s v="Penicillin"/>
    <x v="0"/>
    <s v="High"/>
    <s v="Under Treatment"/>
    <s v="High Risk"/>
    <x v="2"/>
  </r>
  <r>
    <x v="1589"/>
    <n v="24"/>
    <x v="0"/>
    <s v="O+"/>
    <x v="0"/>
    <d v="2020-11-01T00:00:00"/>
    <x v="1572"/>
    <s v="Molina-Jones"/>
    <x v="1"/>
    <n v="7343.5873560876398"/>
    <n v="303"/>
    <x v="2"/>
    <d v="2020-11-27T00:00:00"/>
    <s v="Penicillin"/>
    <x v="2"/>
    <s v="Medium"/>
    <s v="Under Treatment"/>
    <s v="High Risk"/>
    <x v="0"/>
  </r>
  <r>
    <x v="1590"/>
    <n v="18"/>
    <x v="1"/>
    <s v="B+"/>
    <x v="4"/>
    <d v="2023-08-20T00:00:00"/>
    <x v="1573"/>
    <s v="Reyes-Delacruz"/>
    <x v="3"/>
    <n v="43278.396993048198"/>
    <n v="379"/>
    <x v="0"/>
    <d v="2023-09-10T00:00:00"/>
    <s v="Penicillin"/>
    <x v="0"/>
    <s v="High"/>
    <s v="Under Treatment"/>
    <s v="High Risk"/>
    <x v="4"/>
  </r>
  <r>
    <x v="1591"/>
    <n v="76"/>
    <x v="1"/>
    <s v="AB-"/>
    <x v="0"/>
    <d v="2020-05-28T00:00:00"/>
    <x v="1574"/>
    <s v="Group Wilson"/>
    <x v="0"/>
    <n v="48823.585393152003"/>
    <n v="195"/>
    <x v="1"/>
    <d v="2020-06-20T00:00:00"/>
    <s v="Lipitor"/>
    <x v="1"/>
    <s v="High"/>
    <s v="Under Treatment"/>
    <s v="High Risk"/>
    <x v="2"/>
  </r>
  <r>
    <x v="1592"/>
    <n v="41"/>
    <x v="0"/>
    <s v="A-"/>
    <x v="0"/>
    <d v="2024-04-28T00:00:00"/>
    <x v="1575"/>
    <s v="LLC Reed"/>
    <x v="3"/>
    <n v="38205.084909237499"/>
    <n v="265"/>
    <x v="2"/>
    <d v="2024-05-01T00:00:00"/>
    <s v="Ibuprofen"/>
    <x v="2"/>
    <s v="High"/>
    <s v="Under Treatment"/>
    <s v="High Risk"/>
    <x v="3"/>
  </r>
  <r>
    <x v="1593"/>
    <n v="37"/>
    <x v="1"/>
    <s v="AB+"/>
    <x v="5"/>
    <d v="2023-03-29T00:00:00"/>
    <x v="1576"/>
    <s v="and Contreras Lewis, Flores"/>
    <x v="4"/>
    <n v="27898.605005564699"/>
    <n v="328"/>
    <x v="1"/>
    <d v="2023-04-16T00:00:00"/>
    <s v="Penicillin"/>
    <x v="1"/>
    <s v="High"/>
    <s v="Under Treatment"/>
    <s v="High Risk"/>
    <x v="3"/>
  </r>
  <r>
    <x v="1594"/>
    <n v="72"/>
    <x v="0"/>
    <s v="B-"/>
    <x v="1"/>
    <d v="2022-02-23T00:00:00"/>
    <x v="1577"/>
    <s v="White, Decker Freeman and"/>
    <x v="0"/>
    <n v="41786.911732694003"/>
    <n v="359"/>
    <x v="0"/>
    <d v="2022-03-15T00:00:00"/>
    <s v="Aspirin"/>
    <x v="2"/>
    <s v="High"/>
    <s v="Under Treatment"/>
    <s v="High Risk"/>
    <x v="2"/>
  </r>
  <r>
    <x v="1595"/>
    <n v="53"/>
    <x v="1"/>
    <s v="B+"/>
    <x v="0"/>
    <d v="2021-11-20T00:00:00"/>
    <x v="1578"/>
    <s v="LLC Matthews"/>
    <x v="0"/>
    <n v="28014.394118701999"/>
    <n v="111"/>
    <x v="2"/>
    <d v="2021-12-13T00:00:00"/>
    <s v="Ibuprofen"/>
    <x v="1"/>
    <s v="High"/>
    <s v="Under Treatment"/>
    <s v="High Risk"/>
    <x v="1"/>
  </r>
  <r>
    <x v="1596"/>
    <n v="76"/>
    <x v="1"/>
    <s v="O+"/>
    <x v="2"/>
    <d v="2023-03-18T00:00:00"/>
    <x v="1579"/>
    <s v="Fuller Brown and Blevins,"/>
    <x v="4"/>
    <n v="11857.5801329651"/>
    <n v="291"/>
    <x v="0"/>
    <d v="2023-04-06T00:00:00"/>
    <s v="Ibuprofen"/>
    <x v="1"/>
    <s v="Medium"/>
    <s v="Under Treatment"/>
    <s v="High Risk"/>
    <x v="2"/>
  </r>
  <r>
    <x v="1597"/>
    <n v="84"/>
    <x v="0"/>
    <s v="A+"/>
    <x v="1"/>
    <d v="2023-10-09T00:00:00"/>
    <x v="1580"/>
    <s v="Winters-Middleton"/>
    <x v="0"/>
    <n v="39038.248861168096"/>
    <n v="363"/>
    <x v="1"/>
    <d v="2023-11-08T00:00:00"/>
    <s v="Ibuprofen"/>
    <x v="1"/>
    <s v="High"/>
    <s v="Under Treatment"/>
    <s v="High Risk"/>
    <x v="2"/>
  </r>
  <r>
    <x v="1598"/>
    <n v="18"/>
    <x v="1"/>
    <s v="AB-"/>
    <x v="2"/>
    <d v="2020-12-20T00:00:00"/>
    <x v="1581"/>
    <s v="Bell and Archer, Jimenez"/>
    <x v="3"/>
    <n v="10896.1748362701"/>
    <n v="158"/>
    <x v="1"/>
    <d v="2021-01-04T00:00:00"/>
    <s v="Lipitor"/>
    <x v="1"/>
    <s v="Medium"/>
    <s v="Under Treatment"/>
    <s v="High Risk"/>
    <x v="4"/>
  </r>
  <r>
    <x v="1599"/>
    <n v="71"/>
    <x v="1"/>
    <s v="B+"/>
    <x v="0"/>
    <d v="2021-05-18T00:00:00"/>
    <x v="1582"/>
    <s v="Lara PLC"/>
    <x v="0"/>
    <n v="45376.708852327203"/>
    <n v="325"/>
    <x v="2"/>
    <d v="2021-06-01T00:00:00"/>
    <s v="Paracetamol"/>
    <x v="1"/>
    <s v="High"/>
    <s v="Under Treatment"/>
    <s v="High Risk"/>
    <x v="2"/>
  </r>
  <r>
    <x v="1600"/>
    <n v="50"/>
    <x v="0"/>
    <s v="B-"/>
    <x v="0"/>
    <d v="2019-10-01T00:00:00"/>
    <x v="1583"/>
    <s v="Mckenzie PLC"/>
    <x v="4"/>
    <n v="32524.952658964601"/>
    <n v="496"/>
    <x v="2"/>
    <d v="2019-10-13T00:00:00"/>
    <s v="Lipitor"/>
    <x v="0"/>
    <s v="High"/>
    <s v="Under Treatment"/>
    <s v="High Risk"/>
    <x v="3"/>
  </r>
  <r>
    <x v="1601"/>
    <n v="63"/>
    <x v="1"/>
    <s v="O-"/>
    <x v="2"/>
    <d v="2019-05-27T00:00:00"/>
    <x v="1584"/>
    <s v="Reyes-Farley"/>
    <x v="4"/>
    <n v="42564.761196594598"/>
    <n v="496"/>
    <x v="2"/>
    <d v="2019-06-12T00:00:00"/>
    <s v="Ibuprofen"/>
    <x v="0"/>
    <s v="High"/>
    <s v="Under Treatment"/>
    <s v="High Risk"/>
    <x v="1"/>
  </r>
  <r>
    <x v="1602"/>
    <n v="26"/>
    <x v="0"/>
    <s v="B-"/>
    <x v="0"/>
    <d v="2023-03-14T00:00:00"/>
    <x v="1585"/>
    <s v="Harrison Foster and Daniel,"/>
    <x v="0"/>
    <n v="25416.332602473802"/>
    <n v="401"/>
    <x v="2"/>
    <d v="2023-03-15T00:00:00"/>
    <s v="Penicillin"/>
    <x v="2"/>
    <s v="High"/>
    <s v="Under Treatment"/>
    <s v="High Risk"/>
    <x v="0"/>
  </r>
  <r>
    <x v="1603"/>
    <n v="38"/>
    <x v="0"/>
    <s v="O+"/>
    <x v="3"/>
    <d v="2019-12-24T00:00:00"/>
    <x v="1586"/>
    <s v="Lee-Moran"/>
    <x v="3"/>
    <n v="21098.866874322499"/>
    <n v="235"/>
    <x v="1"/>
    <d v="2020-01-01T00:00:00"/>
    <s v="Lipitor"/>
    <x v="2"/>
    <s v="High"/>
    <s v="Under Treatment"/>
    <s v="High Risk"/>
    <x v="3"/>
  </r>
  <r>
    <x v="1604"/>
    <n v="25"/>
    <x v="0"/>
    <s v="AB+"/>
    <x v="3"/>
    <d v="2019-08-04T00:00:00"/>
    <x v="1587"/>
    <s v="Inc Tate"/>
    <x v="0"/>
    <n v="15909.058669416099"/>
    <n v="101"/>
    <x v="1"/>
    <d v="2019-08-28T00:00:00"/>
    <s v="Aspirin"/>
    <x v="2"/>
    <s v="High"/>
    <s v="Under Treatment"/>
    <s v="High Risk"/>
    <x v="0"/>
  </r>
  <r>
    <x v="1605"/>
    <n v="71"/>
    <x v="1"/>
    <s v="AB-"/>
    <x v="1"/>
    <d v="2021-06-06T00:00:00"/>
    <x v="1588"/>
    <s v="and Anthony, Valdez Tapia"/>
    <x v="4"/>
    <n v="43526.016303054603"/>
    <n v="181"/>
    <x v="2"/>
    <d v="2021-06-19T00:00:00"/>
    <s v="Aspirin"/>
    <x v="1"/>
    <s v="High"/>
    <s v="Under Treatment"/>
    <s v="High Risk"/>
    <x v="2"/>
  </r>
  <r>
    <x v="1606"/>
    <n v="21"/>
    <x v="0"/>
    <s v="B-"/>
    <x v="2"/>
    <d v="2023-12-09T00:00:00"/>
    <x v="1589"/>
    <s v="and Orozco Greene, Decker"/>
    <x v="2"/>
    <n v="7067.2177202957"/>
    <n v="363"/>
    <x v="0"/>
    <d v="2023-12-11T00:00:00"/>
    <s v="Paracetamol"/>
    <x v="0"/>
    <s v="Medium"/>
    <s v="Under Treatment"/>
    <s v="High Risk"/>
    <x v="0"/>
  </r>
  <r>
    <x v="1607"/>
    <n v="28"/>
    <x v="0"/>
    <s v="A+"/>
    <x v="4"/>
    <d v="2019-12-07T00:00:00"/>
    <x v="1590"/>
    <s v="and Holloway, Collins Marsh"/>
    <x v="0"/>
    <n v="7081.8473437647599"/>
    <n v="388"/>
    <x v="0"/>
    <d v="2019-12-09T00:00:00"/>
    <s v="Penicillin"/>
    <x v="0"/>
    <s v="Medium"/>
    <s v="Under Treatment"/>
    <s v="High Risk"/>
    <x v="0"/>
  </r>
  <r>
    <x v="1608"/>
    <n v="76"/>
    <x v="0"/>
    <s v="AB+"/>
    <x v="3"/>
    <d v="2021-07-02T00:00:00"/>
    <x v="1591"/>
    <s v="Hunt-White"/>
    <x v="4"/>
    <n v="34231.593180765303"/>
    <n v="317"/>
    <x v="0"/>
    <d v="2021-07-16T00:00:00"/>
    <s v="Ibuprofen"/>
    <x v="2"/>
    <s v="High"/>
    <s v="Under Treatment"/>
    <s v="High Risk"/>
    <x v="2"/>
  </r>
  <r>
    <x v="1609"/>
    <n v="80"/>
    <x v="1"/>
    <s v="AB-"/>
    <x v="2"/>
    <d v="2020-06-10T00:00:00"/>
    <x v="1592"/>
    <s v="PLC Schmitt"/>
    <x v="0"/>
    <n v="9418.0971989573009"/>
    <n v="291"/>
    <x v="1"/>
    <d v="2020-06-19T00:00:00"/>
    <s v="Paracetamol"/>
    <x v="0"/>
    <s v="Medium"/>
    <s v="Under Treatment"/>
    <s v="High Risk"/>
    <x v="2"/>
  </r>
  <r>
    <x v="1610"/>
    <n v="70"/>
    <x v="1"/>
    <s v="O+"/>
    <x v="3"/>
    <d v="2019-11-07T00:00:00"/>
    <x v="1593"/>
    <s v="Brooks Ltd"/>
    <x v="2"/>
    <n v="31884.5197203553"/>
    <n v="489"/>
    <x v="1"/>
    <d v="2019-11-24T00:00:00"/>
    <s v="Penicillin"/>
    <x v="0"/>
    <s v="High"/>
    <s v="Under Treatment"/>
    <s v="High Risk"/>
    <x v="2"/>
  </r>
  <r>
    <x v="1611"/>
    <n v="54"/>
    <x v="1"/>
    <s v="AB-"/>
    <x v="5"/>
    <d v="2019-10-15T00:00:00"/>
    <x v="1594"/>
    <s v="Sons Franklin and"/>
    <x v="2"/>
    <n v="35071.944148943803"/>
    <n v="370"/>
    <x v="1"/>
    <d v="2019-11-05T00:00:00"/>
    <s v="Ibuprofen"/>
    <x v="2"/>
    <s v="High"/>
    <s v="Under Treatment"/>
    <s v="High Risk"/>
    <x v="1"/>
  </r>
  <r>
    <x v="1612"/>
    <n v="43"/>
    <x v="1"/>
    <s v="B+"/>
    <x v="1"/>
    <d v="2023-12-14T00:00:00"/>
    <x v="1595"/>
    <s v="Martinez Group"/>
    <x v="1"/>
    <n v="44951.979600430503"/>
    <n v="469"/>
    <x v="1"/>
    <d v="2023-12-17T00:00:00"/>
    <s v="Ibuprofen"/>
    <x v="0"/>
    <s v="High"/>
    <s v="Under Treatment"/>
    <s v="High Risk"/>
    <x v="3"/>
  </r>
  <r>
    <x v="1613"/>
    <n v="44"/>
    <x v="0"/>
    <s v="A-"/>
    <x v="5"/>
    <d v="2020-10-21T00:00:00"/>
    <x v="1596"/>
    <s v="Ltd Rodriguez"/>
    <x v="3"/>
    <n v="42220.857304228302"/>
    <n v="223"/>
    <x v="0"/>
    <d v="2020-11-17T00:00:00"/>
    <s v="Penicillin"/>
    <x v="2"/>
    <s v="High"/>
    <s v="Under Treatment"/>
    <s v="High Risk"/>
    <x v="3"/>
  </r>
  <r>
    <x v="1614"/>
    <n v="24"/>
    <x v="1"/>
    <s v="AB+"/>
    <x v="5"/>
    <d v="2020-05-01T00:00:00"/>
    <x v="1597"/>
    <s v="Moore-Rodriguez"/>
    <x v="1"/>
    <n v="10417.2208174559"/>
    <n v="335"/>
    <x v="1"/>
    <d v="2020-05-14T00:00:00"/>
    <s v="Ibuprofen"/>
    <x v="0"/>
    <s v="Medium"/>
    <s v="Under Treatment"/>
    <s v="High Risk"/>
    <x v="0"/>
  </r>
  <r>
    <x v="1615"/>
    <n v="80"/>
    <x v="0"/>
    <s v="O+"/>
    <x v="4"/>
    <d v="2020-05-09T00:00:00"/>
    <x v="1598"/>
    <s v="Molina Reyes and White,"/>
    <x v="3"/>
    <n v="41633.135590151498"/>
    <n v="304"/>
    <x v="1"/>
    <d v="2020-05-13T00:00:00"/>
    <s v="Paracetamol"/>
    <x v="2"/>
    <s v="High"/>
    <s v="Under Treatment"/>
    <s v="High Risk"/>
    <x v="2"/>
  </r>
  <r>
    <x v="1616"/>
    <n v="60"/>
    <x v="0"/>
    <s v="B-"/>
    <x v="3"/>
    <d v="2023-10-25T00:00:00"/>
    <x v="1599"/>
    <s v="Park Wells, and Hudson"/>
    <x v="3"/>
    <n v="29837.5930376096"/>
    <n v="364"/>
    <x v="0"/>
    <d v="2023-11-04T00:00:00"/>
    <s v="Aspirin"/>
    <x v="2"/>
    <s v="High"/>
    <s v="Under Treatment"/>
    <s v="High Risk"/>
    <x v="1"/>
  </r>
  <r>
    <x v="1617"/>
    <n v="55"/>
    <x v="1"/>
    <s v="B+"/>
    <x v="0"/>
    <d v="2023-08-02T00:00:00"/>
    <x v="1600"/>
    <s v="Sherman and Hardy, Johns"/>
    <x v="1"/>
    <n v="28425.919492977999"/>
    <n v="402"/>
    <x v="2"/>
    <d v="2023-08-23T00:00:00"/>
    <s v="Lipitor"/>
    <x v="1"/>
    <s v="High"/>
    <s v="Under Treatment"/>
    <s v="High Risk"/>
    <x v="1"/>
  </r>
  <r>
    <x v="1618"/>
    <n v="78"/>
    <x v="1"/>
    <s v="B-"/>
    <x v="2"/>
    <d v="2022-02-06T00:00:00"/>
    <x v="1601"/>
    <s v="PLC Thompson"/>
    <x v="4"/>
    <n v="35370.178194728403"/>
    <n v="393"/>
    <x v="0"/>
    <d v="2022-02-28T00:00:00"/>
    <s v="Lipitor"/>
    <x v="0"/>
    <s v="High"/>
    <s v="Under Treatment"/>
    <s v="High Risk"/>
    <x v="2"/>
  </r>
  <r>
    <x v="1619"/>
    <n v="32"/>
    <x v="1"/>
    <s v="O+"/>
    <x v="0"/>
    <d v="2022-03-14T00:00:00"/>
    <x v="1602"/>
    <s v="Inc Nelson"/>
    <x v="4"/>
    <n v="48416.2033578314"/>
    <n v="323"/>
    <x v="0"/>
    <d v="2022-04-13T00:00:00"/>
    <s v="Ibuprofen"/>
    <x v="2"/>
    <s v="High"/>
    <s v="Under Treatment"/>
    <s v="High Risk"/>
    <x v="0"/>
  </r>
  <r>
    <x v="1620"/>
    <n v="68"/>
    <x v="1"/>
    <s v="O-"/>
    <x v="5"/>
    <d v="2021-03-18T00:00:00"/>
    <x v="1603"/>
    <s v="Freeman-Hunter"/>
    <x v="4"/>
    <n v="29414.686006225798"/>
    <n v="249"/>
    <x v="1"/>
    <d v="2021-03-25T00:00:00"/>
    <s v="Lipitor"/>
    <x v="0"/>
    <s v="High"/>
    <s v="Under Treatment"/>
    <s v="High Risk"/>
    <x v="2"/>
  </r>
  <r>
    <x v="1621"/>
    <n v="32"/>
    <x v="1"/>
    <s v="O+"/>
    <x v="2"/>
    <d v="2022-11-26T00:00:00"/>
    <x v="1604"/>
    <s v="Miller and Tate, Rubio"/>
    <x v="0"/>
    <n v="47683.116117700003"/>
    <n v="249"/>
    <x v="1"/>
    <d v="2022-12-15T00:00:00"/>
    <s v="Ibuprofen"/>
    <x v="1"/>
    <s v="High"/>
    <s v="Under Treatment"/>
    <s v="High Risk"/>
    <x v="0"/>
  </r>
  <r>
    <x v="1622"/>
    <n v="60"/>
    <x v="1"/>
    <s v="AB-"/>
    <x v="5"/>
    <d v="2021-06-22T00:00:00"/>
    <x v="1605"/>
    <s v="Gonzalez Mason Wilson, and"/>
    <x v="2"/>
    <n v="50075.128541503902"/>
    <n v="349"/>
    <x v="0"/>
    <d v="2021-07-09T00:00:00"/>
    <s v="Paracetamol"/>
    <x v="1"/>
    <s v="High"/>
    <s v="Under Treatment"/>
    <s v="High Risk"/>
    <x v="1"/>
  </r>
  <r>
    <x v="1623"/>
    <n v="71"/>
    <x v="0"/>
    <s v="A-"/>
    <x v="4"/>
    <d v="2022-11-22T00:00:00"/>
    <x v="1606"/>
    <s v="James, Gates Richardson and"/>
    <x v="2"/>
    <n v="15614.8424422609"/>
    <n v="189"/>
    <x v="0"/>
    <d v="2022-12-14T00:00:00"/>
    <s v="Paracetamol"/>
    <x v="0"/>
    <s v="High"/>
    <s v="Under Treatment"/>
    <s v="High Risk"/>
    <x v="2"/>
  </r>
  <r>
    <x v="1624"/>
    <n v="55"/>
    <x v="1"/>
    <s v="A+"/>
    <x v="1"/>
    <d v="2022-06-07T00:00:00"/>
    <x v="1607"/>
    <s v="Proctor-Davis"/>
    <x v="0"/>
    <n v="6889.2386582260497"/>
    <n v="467"/>
    <x v="2"/>
    <d v="2022-06-23T00:00:00"/>
    <s v="Penicillin"/>
    <x v="0"/>
    <s v="Medium"/>
    <s v="Under Treatment"/>
    <s v="High Risk"/>
    <x v="1"/>
  </r>
  <r>
    <x v="1625"/>
    <n v="76"/>
    <x v="1"/>
    <s v="A-"/>
    <x v="5"/>
    <d v="2023-09-13T00:00:00"/>
    <x v="1608"/>
    <s v="Harris-Lewis"/>
    <x v="4"/>
    <n v="22105.212357935499"/>
    <n v="368"/>
    <x v="2"/>
    <d v="2023-09-14T00:00:00"/>
    <s v="Lipitor"/>
    <x v="2"/>
    <s v="High"/>
    <s v="Under Treatment"/>
    <s v="High Risk"/>
    <x v="2"/>
  </r>
  <r>
    <x v="1626"/>
    <n v="29"/>
    <x v="0"/>
    <s v="B+"/>
    <x v="0"/>
    <d v="2022-11-18T00:00:00"/>
    <x v="1609"/>
    <s v="and Adams Sons"/>
    <x v="1"/>
    <n v="33579.411506016899"/>
    <n v="360"/>
    <x v="0"/>
    <d v="2022-11-27T00:00:00"/>
    <s v="Penicillin"/>
    <x v="0"/>
    <s v="High"/>
    <s v="Under Treatment"/>
    <s v="High Risk"/>
    <x v="0"/>
  </r>
  <r>
    <x v="1627"/>
    <n v="78"/>
    <x v="1"/>
    <s v="AB-"/>
    <x v="4"/>
    <d v="2022-03-07T00:00:00"/>
    <x v="1610"/>
    <s v="PLC Brown"/>
    <x v="3"/>
    <n v="25157.2829544571"/>
    <n v="416"/>
    <x v="2"/>
    <d v="2022-03-21T00:00:00"/>
    <s v="Aspirin"/>
    <x v="0"/>
    <s v="High"/>
    <s v="Under Treatment"/>
    <s v="High Risk"/>
    <x v="2"/>
  </r>
  <r>
    <x v="1628"/>
    <n v="32"/>
    <x v="0"/>
    <s v="AB-"/>
    <x v="3"/>
    <d v="2023-04-01T00:00:00"/>
    <x v="1611"/>
    <s v="Williams-Cooke"/>
    <x v="4"/>
    <n v="9157.7772963164207"/>
    <n v="250"/>
    <x v="0"/>
    <d v="2023-04-06T00:00:00"/>
    <s v="Aspirin"/>
    <x v="2"/>
    <s v="Medium"/>
    <s v="Under Treatment"/>
    <s v="High Risk"/>
    <x v="0"/>
  </r>
  <r>
    <x v="1629"/>
    <n v="28"/>
    <x v="0"/>
    <s v="O-"/>
    <x v="4"/>
    <d v="2024-01-21T00:00:00"/>
    <x v="1612"/>
    <s v="Schultz-Taylor"/>
    <x v="0"/>
    <n v="25268.9945021846"/>
    <n v="343"/>
    <x v="1"/>
    <d v="2024-02-12T00:00:00"/>
    <s v="Paracetamol"/>
    <x v="1"/>
    <s v="High"/>
    <s v="Under Treatment"/>
    <s v="High Risk"/>
    <x v="0"/>
  </r>
  <r>
    <x v="1630"/>
    <n v="30"/>
    <x v="1"/>
    <s v="B-"/>
    <x v="3"/>
    <d v="2019-12-25T00:00:00"/>
    <x v="1613"/>
    <s v="Paul and Morrison Patel,"/>
    <x v="0"/>
    <n v="16891.373144482899"/>
    <n v="488"/>
    <x v="2"/>
    <d v="2020-01-15T00:00:00"/>
    <s v="Lipitor"/>
    <x v="2"/>
    <s v="High"/>
    <s v="Under Treatment"/>
    <s v="High Risk"/>
    <x v="0"/>
  </r>
  <r>
    <x v="1631"/>
    <n v="36"/>
    <x v="1"/>
    <s v="B+"/>
    <x v="1"/>
    <d v="2020-10-07T00:00:00"/>
    <x v="1614"/>
    <s v="Crawford-Harper"/>
    <x v="3"/>
    <n v="18353.813982586798"/>
    <n v="346"/>
    <x v="1"/>
    <d v="2020-11-01T00:00:00"/>
    <s v="Ibuprofen"/>
    <x v="0"/>
    <s v="High"/>
    <s v="Under Treatment"/>
    <s v="High Risk"/>
    <x v="3"/>
  </r>
  <r>
    <x v="1632"/>
    <n v="33"/>
    <x v="1"/>
    <s v="A+"/>
    <x v="2"/>
    <d v="2024-03-30T00:00:00"/>
    <x v="897"/>
    <s v="Reid Osborne, Weeks and"/>
    <x v="4"/>
    <n v="30137.762501212401"/>
    <n v="393"/>
    <x v="0"/>
    <d v="2024-04-02T00:00:00"/>
    <s v="Paracetamol"/>
    <x v="0"/>
    <s v="High"/>
    <s v="Under Treatment"/>
    <s v="High Risk"/>
    <x v="0"/>
  </r>
  <r>
    <x v="1633"/>
    <n v="54"/>
    <x v="1"/>
    <s v="AB-"/>
    <x v="0"/>
    <d v="2019-09-18T00:00:00"/>
    <x v="1615"/>
    <s v="Gregory, Mcgee and Sparks"/>
    <x v="1"/>
    <n v="23645.5382934831"/>
    <n v="464"/>
    <x v="1"/>
    <d v="2019-09-22T00:00:00"/>
    <s v="Lipitor"/>
    <x v="2"/>
    <s v="High"/>
    <s v="Under Treatment"/>
    <s v="High Risk"/>
    <x v="1"/>
  </r>
  <r>
    <x v="1634"/>
    <n v="53"/>
    <x v="0"/>
    <s v="A+"/>
    <x v="4"/>
    <d v="2021-05-12T00:00:00"/>
    <x v="1616"/>
    <s v="Ltd Jones"/>
    <x v="0"/>
    <n v="10605.7279569775"/>
    <n v="115"/>
    <x v="0"/>
    <d v="2021-05-19T00:00:00"/>
    <s v="Paracetamol"/>
    <x v="0"/>
    <s v="Medium"/>
    <s v="Under Treatment"/>
    <s v="High Risk"/>
    <x v="1"/>
  </r>
  <r>
    <x v="1635"/>
    <n v="21"/>
    <x v="1"/>
    <s v="B-"/>
    <x v="5"/>
    <d v="2023-04-24T00:00:00"/>
    <x v="1617"/>
    <s v="Parker-Coleman"/>
    <x v="3"/>
    <n v="19017.645580705001"/>
    <n v="318"/>
    <x v="2"/>
    <d v="2023-04-29T00:00:00"/>
    <s v="Aspirin"/>
    <x v="2"/>
    <s v="High"/>
    <s v="Under Treatment"/>
    <s v="High Risk"/>
    <x v="0"/>
  </r>
  <r>
    <x v="1636"/>
    <n v="21"/>
    <x v="0"/>
    <s v="A+"/>
    <x v="4"/>
    <d v="2020-07-05T00:00:00"/>
    <x v="1618"/>
    <s v="Haas-Garner"/>
    <x v="2"/>
    <n v="10467.6468424635"/>
    <n v="309"/>
    <x v="1"/>
    <d v="2020-07-21T00:00:00"/>
    <s v="Paracetamol"/>
    <x v="1"/>
    <s v="Medium"/>
    <s v="Under Treatment"/>
    <s v="High Risk"/>
    <x v="0"/>
  </r>
  <r>
    <x v="1637"/>
    <n v="46"/>
    <x v="1"/>
    <s v="AB+"/>
    <x v="4"/>
    <d v="2022-10-07T00:00:00"/>
    <x v="1619"/>
    <s v="Group Underwood"/>
    <x v="2"/>
    <n v="32885.077718321802"/>
    <n v="491"/>
    <x v="0"/>
    <d v="2022-10-09T00:00:00"/>
    <s v="Ibuprofen"/>
    <x v="2"/>
    <s v="High"/>
    <s v="Under Treatment"/>
    <s v="High Risk"/>
    <x v="3"/>
  </r>
  <r>
    <x v="1638"/>
    <n v="29"/>
    <x v="1"/>
    <s v="B-"/>
    <x v="4"/>
    <d v="2023-08-18T00:00:00"/>
    <x v="1620"/>
    <s v="Santiago-Neal"/>
    <x v="0"/>
    <n v="36927.5555323218"/>
    <n v="205"/>
    <x v="0"/>
    <d v="2023-08-26T00:00:00"/>
    <s v="Aspirin"/>
    <x v="0"/>
    <s v="High"/>
    <s v="Under Treatment"/>
    <s v="High Risk"/>
    <x v="0"/>
  </r>
  <r>
    <x v="1639"/>
    <n v="80"/>
    <x v="1"/>
    <s v="O-"/>
    <x v="3"/>
    <d v="2020-07-09T00:00:00"/>
    <x v="1621"/>
    <s v="LLC Johnson"/>
    <x v="4"/>
    <n v="50554.3054353189"/>
    <n v="453"/>
    <x v="2"/>
    <d v="2020-08-07T00:00:00"/>
    <s v="Paracetamol"/>
    <x v="0"/>
    <s v="High"/>
    <s v="Under Treatment"/>
    <s v="High Risk"/>
    <x v="2"/>
  </r>
  <r>
    <x v="1640"/>
    <n v="63"/>
    <x v="1"/>
    <s v="A-"/>
    <x v="1"/>
    <d v="2020-04-18T00:00:00"/>
    <x v="1622"/>
    <s v="Bailey Roberts, Nguyen and"/>
    <x v="0"/>
    <n v="42048.4569282507"/>
    <n v="237"/>
    <x v="1"/>
    <d v="2020-05-13T00:00:00"/>
    <s v="Paracetamol"/>
    <x v="1"/>
    <s v="High"/>
    <s v="Under Treatment"/>
    <s v="High Risk"/>
    <x v="1"/>
  </r>
  <r>
    <x v="1641"/>
    <n v="81"/>
    <x v="0"/>
    <s v="AB+"/>
    <x v="1"/>
    <d v="2022-12-12T00:00:00"/>
    <x v="1623"/>
    <s v="Johns-Wyatt"/>
    <x v="1"/>
    <n v="33035.803388164502"/>
    <n v="434"/>
    <x v="2"/>
    <d v="2022-12-19T00:00:00"/>
    <s v="Ibuprofen"/>
    <x v="0"/>
    <s v="High"/>
    <s v="Under Treatment"/>
    <s v="High Risk"/>
    <x v="2"/>
  </r>
  <r>
    <x v="1642"/>
    <n v="52"/>
    <x v="1"/>
    <s v="B-"/>
    <x v="4"/>
    <d v="2023-06-01T00:00:00"/>
    <x v="1624"/>
    <s v="Ltd Smith"/>
    <x v="3"/>
    <n v="2388.7673861491699"/>
    <n v="354"/>
    <x v="0"/>
    <d v="2023-06-13T00:00:00"/>
    <s v="Ibuprofen"/>
    <x v="1"/>
    <s v="Low"/>
    <s v="Under Treatment"/>
    <s v="High Risk"/>
    <x v="1"/>
  </r>
  <r>
    <x v="1643"/>
    <n v="73"/>
    <x v="1"/>
    <s v="O+"/>
    <x v="3"/>
    <d v="2023-08-23T00:00:00"/>
    <x v="1625"/>
    <s v="Mejia Group"/>
    <x v="4"/>
    <n v="36857.912636582201"/>
    <n v="497"/>
    <x v="1"/>
    <d v="2023-09-13T00:00:00"/>
    <s v="Aspirin"/>
    <x v="2"/>
    <s v="High"/>
    <s v="Under Treatment"/>
    <s v="High Risk"/>
    <x v="2"/>
  </r>
  <r>
    <x v="1644"/>
    <n v="47"/>
    <x v="0"/>
    <s v="AB-"/>
    <x v="4"/>
    <d v="2023-03-10T00:00:00"/>
    <x v="1626"/>
    <s v="Ltd Goodman"/>
    <x v="4"/>
    <n v="35814.012985740497"/>
    <n v="264"/>
    <x v="0"/>
    <d v="2023-03-19T00:00:00"/>
    <s v="Ibuprofen"/>
    <x v="1"/>
    <s v="High"/>
    <s v="Under Treatment"/>
    <s v="High Risk"/>
    <x v="3"/>
  </r>
  <r>
    <x v="1645"/>
    <n v="62"/>
    <x v="0"/>
    <s v="A+"/>
    <x v="3"/>
    <d v="2023-01-16T00:00:00"/>
    <x v="1627"/>
    <s v="Harrison-Ortiz"/>
    <x v="3"/>
    <n v="9085.3984886551898"/>
    <n v="224"/>
    <x v="1"/>
    <d v="2023-01-20T00:00:00"/>
    <s v="Aspirin"/>
    <x v="2"/>
    <s v="Medium"/>
    <s v="Under Treatment"/>
    <s v="High Risk"/>
    <x v="1"/>
  </r>
  <r>
    <x v="1646"/>
    <n v="44"/>
    <x v="0"/>
    <s v="AB+"/>
    <x v="1"/>
    <d v="2023-08-01T00:00:00"/>
    <x v="1628"/>
    <s v="Group Lynch"/>
    <x v="4"/>
    <n v="45026.148206975398"/>
    <n v="119"/>
    <x v="2"/>
    <d v="2023-08-27T00:00:00"/>
    <s v="Lipitor"/>
    <x v="1"/>
    <s v="High"/>
    <s v="Under Treatment"/>
    <s v="High Risk"/>
    <x v="3"/>
  </r>
  <r>
    <x v="1647"/>
    <n v="72"/>
    <x v="1"/>
    <s v="O-"/>
    <x v="1"/>
    <d v="2022-01-04T00:00:00"/>
    <x v="1629"/>
    <s v="LLC Compton"/>
    <x v="0"/>
    <n v="21354.820756389599"/>
    <n v="431"/>
    <x v="2"/>
    <d v="2022-01-20T00:00:00"/>
    <s v="Penicillin"/>
    <x v="2"/>
    <s v="High"/>
    <s v="Under Treatment"/>
    <s v="High Risk"/>
    <x v="2"/>
  </r>
  <r>
    <x v="1648"/>
    <n v="81"/>
    <x v="1"/>
    <s v="A+"/>
    <x v="1"/>
    <d v="2020-02-25T00:00:00"/>
    <x v="1630"/>
    <s v="Jones-Garza"/>
    <x v="2"/>
    <n v="45663.037273148198"/>
    <n v="161"/>
    <x v="2"/>
    <d v="2020-03-12T00:00:00"/>
    <s v="Aspirin"/>
    <x v="1"/>
    <s v="High"/>
    <s v="Under Treatment"/>
    <s v="High Risk"/>
    <x v="2"/>
  </r>
  <r>
    <x v="1649"/>
    <n v="61"/>
    <x v="1"/>
    <s v="B-"/>
    <x v="3"/>
    <d v="2020-12-31T00:00:00"/>
    <x v="1631"/>
    <s v="Russo Ltd"/>
    <x v="2"/>
    <n v="25337.420178798598"/>
    <n v="338"/>
    <x v="2"/>
    <d v="2021-01-26T00:00:00"/>
    <s v="Penicillin"/>
    <x v="2"/>
    <s v="High"/>
    <s v="Under Treatment"/>
    <s v="High Risk"/>
    <x v="1"/>
  </r>
  <r>
    <x v="1650"/>
    <n v="38"/>
    <x v="0"/>
    <s v="A-"/>
    <x v="5"/>
    <d v="2020-11-13T00:00:00"/>
    <x v="1632"/>
    <s v="Gardner-Brown"/>
    <x v="2"/>
    <n v="37164.171505440703"/>
    <n v="427"/>
    <x v="2"/>
    <d v="2020-12-02T00:00:00"/>
    <s v="Paracetamol"/>
    <x v="1"/>
    <s v="High"/>
    <s v="Under Treatment"/>
    <s v="High Risk"/>
    <x v="3"/>
  </r>
  <r>
    <x v="1651"/>
    <n v="35"/>
    <x v="1"/>
    <s v="AB+"/>
    <x v="0"/>
    <d v="2021-10-02T00:00:00"/>
    <x v="1633"/>
    <s v="Novak Inc"/>
    <x v="3"/>
    <n v="43423.787500475999"/>
    <n v="418"/>
    <x v="2"/>
    <d v="2021-10-23T00:00:00"/>
    <s v="Penicillin"/>
    <x v="1"/>
    <s v="High"/>
    <s v="Under Treatment"/>
    <s v="High Risk"/>
    <x v="0"/>
  </r>
  <r>
    <x v="1652"/>
    <n v="26"/>
    <x v="1"/>
    <s v="AB-"/>
    <x v="5"/>
    <d v="2023-08-03T00:00:00"/>
    <x v="1634"/>
    <s v="Fleming Inc"/>
    <x v="4"/>
    <n v="48023.922171532999"/>
    <n v="412"/>
    <x v="2"/>
    <d v="2023-08-13T00:00:00"/>
    <s v="Penicillin"/>
    <x v="2"/>
    <s v="High"/>
    <s v="Under Treatment"/>
    <s v="High Risk"/>
    <x v="0"/>
  </r>
  <r>
    <x v="1653"/>
    <n v="18"/>
    <x v="1"/>
    <s v="A-"/>
    <x v="0"/>
    <d v="2024-02-23T00:00:00"/>
    <x v="1635"/>
    <s v="LLC Williams"/>
    <x v="0"/>
    <n v="42214.971634745802"/>
    <n v="120"/>
    <x v="2"/>
    <d v="2024-03-09T00:00:00"/>
    <s v="Penicillin"/>
    <x v="0"/>
    <s v="High"/>
    <s v="Under Treatment"/>
    <s v="High Risk"/>
    <x v="4"/>
  </r>
  <r>
    <x v="1654"/>
    <n v="42"/>
    <x v="0"/>
    <s v="B+"/>
    <x v="4"/>
    <d v="2019-11-25T00:00:00"/>
    <x v="1636"/>
    <s v="Group Brown"/>
    <x v="2"/>
    <n v="4683.3728578332602"/>
    <n v="285"/>
    <x v="0"/>
    <d v="2019-11-28T00:00:00"/>
    <s v="Aspirin"/>
    <x v="2"/>
    <s v="Low"/>
    <s v="Under Treatment"/>
    <s v="High Risk"/>
    <x v="3"/>
  </r>
  <r>
    <x v="1655"/>
    <n v="57"/>
    <x v="1"/>
    <s v="B-"/>
    <x v="2"/>
    <d v="2022-10-10T00:00:00"/>
    <x v="1637"/>
    <s v="Grimes-Pennington"/>
    <x v="2"/>
    <n v="6704.6895093572602"/>
    <n v="138"/>
    <x v="1"/>
    <d v="2022-10-25T00:00:00"/>
    <s v="Penicillin"/>
    <x v="0"/>
    <s v="Medium"/>
    <s v="Under Treatment"/>
    <s v="High Risk"/>
    <x v="1"/>
  </r>
  <r>
    <x v="1656"/>
    <n v="69"/>
    <x v="1"/>
    <s v="B+"/>
    <x v="2"/>
    <d v="2024-04-11T00:00:00"/>
    <x v="1638"/>
    <s v="Group Hill"/>
    <x v="1"/>
    <n v="39822.527670343901"/>
    <n v="380"/>
    <x v="2"/>
    <d v="2024-05-06T00:00:00"/>
    <s v="Ibuprofen"/>
    <x v="1"/>
    <s v="High"/>
    <s v="Under Treatment"/>
    <s v="High Risk"/>
    <x v="2"/>
  </r>
  <r>
    <x v="1657"/>
    <n v="85"/>
    <x v="0"/>
    <s v="AB-"/>
    <x v="2"/>
    <d v="2021-06-27T00:00:00"/>
    <x v="1639"/>
    <s v="Group Sullivan"/>
    <x v="0"/>
    <n v="16505.449674596901"/>
    <n v="220"/>
    <x v="1"/>
    <d v="2021-07-05T00:00:00"/>
    <s v="Paracetamol"/>
    <x v="1"/>
    <s v="High"/>
    <s v="Under Treatment"/>
    <s v="High Risk"/>
    <x v="2"/>
  </r>
  <r>
    <x v="1658"/>
    <n v="67"/>
    <x v="0"/>
    <s v="A+"/>
    <x v="2"/>
    <d v="2020-02-04T00:00:00"/>
    <x v="1640"/>
    <s v="and Brown Lawson, Gardner"/>
    <x v="2"/>
    <n v="9544.8327397559897"/>
    <n v="438"/>
    <x v="2"/>
    <d v="2020-02-05T00:00:00"/>
    <s v="Ibuprofen"/>
    <x v="2"/>
    <s v="Medium"/>
    <s v="Under Treatment"/>
    <s v="High Risk"/>
    <x v="2"/>
  </r>
  <r>
    <x v="1659"/>
    <n v="22"/>
    <x v="0"/>
    <s v="O-"/>
    <x v="0"/>
    <d v="2020-07-14T00:00:00"/>
    <x v="1641"/>
    <s v="Terrell-Gonzalez"/>
    <x v="4"/>
    <n v="2887.2879406874499"/>
    <n v="482"/>
    <x v="1"/>
    <d v="2020-07-18T00:00:00"/>
    <s v="Aspirin"/>
    <x v="2"/>
    <s v="Low"/>
    <s v="Under Treatment"/>
    <s v="High Risk"/>
    <x v="0"/>
  </r>
  <r>
    <x v="1660"/>
    <n v="81"/>
    <x v="0"/>
    <s v="A-"/>
    <x v="3"/>
    <d v="2021-04-11T00:00:00"/>
    <x v="1642"/>
    <s v="Holloway Ltd"/>
    <x v="2"/>
    <n v="42378.6559781959"/>
    <n v="301"/>
    <x v="0"/>
    <d v="2021-04-17T00:00:00"/>
    <s v="Penicillin"/>
    <x v="1"/>
    <s v="High"/>
    <s v="Under Treatment"/>
    <s v="High Risk"/>
    <x v="2"/>
  </r>
  <r>
    <x v="1661"/>
    <n v="85"/>
    <x v="0"/>
    <s v="A+"/>
    <x v="5"/>
    <d v="2024-03-07T00:00:00"/>
    <x v="1643"/>
    <s v="Davis Wood Kemp, and"/>
    <x v="2"/>
    <n v="16075.0068225422"/>
    <n v="181"/>
    <x v="2"/>
    <d v="2024-04-02T00:00:00"/>
    <s v="Penicillin"/>
    <x v="1"/>
    <s v="High"/>
    <s v="Under Treatment"/>
    <s v="High Risk"/>
    <x v="2"/>
  </r>
  <r>
    <x v="1662"/>
    <n v="40"/>
    <x v="0"/>
    <s v="O-"/>
    <x v="2"/>
    <d v="2019-11-26T00:00:00"/>
    <x v="1644"/>
    <s v="Smith-Cooke"/>
    <x v="2"/>
    <n v="14032.6652000744"/>
    <n v="299"/>
    <x v="0"/>
    <d v="2019-11-30T00:00:00"/>
    <s v="Aspirin"/>
    <x v="1"/>
    <s v="Medium"/>
    <s v="Under Treatment"/>
    <s v="High Risk"/>
    <x v="3"/>
  </r>
  <r>
    <x v="1663"/>
    <n v="21"/>
    <x v="1"/>
    <s v="O-"/>
    <x v="3"/>
    <d v="2022-02-16T00:00:00"/>
    <x v="1645"/>
    <s v="and Fuller, Morrow Turner"/>
    <x v="4"/>
    <n v="39208.752374179501"/>
    <n v="273"/>
    <x v="1"/>
    <d v="2022-02-19T00:00:00"/>
    <s v="Penicillin"/>
    <x v="1"/>
    <s v="High"/>
    <s v="Under Treatment"/>
    <s v="High Risk"/>
    <x v="0"/>
  </r>
  <r>
    <x v="1664"/>
    <n v="39"/>
    <x v="1"/>
    <s v="AB-"/>
    <x v="0"/>
    <d v="2020-11-21T00:00:00"/>
    <x v="1646"/>
    <s v="and Bennett White, Patterson"/>
    <x v="2"/>
    <n v="25938.970688083999"/>
    <n v="230"/>
    <x v="1"/>
    <d v="2020-12-13T00:00:00"/>
    <s v="Penicillin"/>
    <x v="1"/>
    <s v="High"/>
    <s v="Under Treatment"/>
    <s v="High Risk"/>
    <x v="3"/>
  </r>
  <r>
    <x v="1665"/>
    <n v="85"/>
    <x v="0"/>
    <s v="AB-"/>
    <x v="1"/>
    <d v="2019-07-16T00:00:00"/>
    <x v="1647"/>
    <s v="Group Clarke"/>
    <x v="3"/>
    <n v="18527.054616547499"/>
    <n v="436"/>
    <x v="1"/>
    <d v="2019-08-05T00:00:00"/>
    <s v="Paracetamol"/>
    <x v="0"/>
    <s v="High"/>
    <s v="Under Treatment"/>
    <s v="High Risk"/>
    <x v="2"/>
  </r>
  <r>
    <x v="1666"/>
    <n v="27"/>
    <x v="1"/>
    <s v="O+"/>
    <x v="5"/>
    <d v="2020-01-31T00:00:00"/>
    <x v="1648"/>
    <s v="Winters-Simon"/>
    <x v="4"/>
    <n v="46229.434901161701"/>
    <n v="153"/>
    <x v="2"/>
    <d v="2020-02-13T00:00:00"/>
    <s v="Lipitor"/>
    <x v="0"/>
    <s v="High"/>
    <s v="Under Treatment"/>
    <s v="High Risk"/>
    <x v="0"/>
  </r>
  <r>
    <x v="1667"/>
    <n v="39"/>
    <x v="1"/>
    <s v="B-"/>
    <x v="0"/>
    <d v="2023-04-15T00:00:00"/>
    <x v="1649"/>
    <s v="Jordan, Robles and Montgomery"/>
    <x v="2"/>
    <n v="3021.2985053110701"/>
    <n v="245"/>
    <x v="1"/>
    <d v="2023-05-15T00:00:00"/>
    <s v="Lipitor"/>
    <x v="2"/>
    <s v="Low"/>
    <s v="Under Treatment"/>
    <s v="High Risk"/>
    <x v="3"/>
  </r>
  <r>
    <x v="1668"/>
    <n v="23"/>
    <x v="0"/>
    <s v="O+"/>
    <x v="4"/>
    <d v="2021-02-20T00:00:00"/>
    <x v="1650"/>
    <s v="May-Morgan"/>
    <x v="3"/>
    <n v="48693.703316279803"/>
    <n v="153"/>
    <x v="1"/>
    <d v="2021-02-26T00:00:00"/>
    <s v="Ibuprofen"/>
    <x v="1"/>
    <s v="High"/>
    <s v="Under Treatment"/>
    <s v="High Risk"/>
    <x v="0"/>
  </r>
  <r>
    <x v="1669"/>
    <n v="68"/>
    <x v="1"/>
    <s v="AB+"/>
    <x v="5"/>
    <d v="2023-04-05T00:00:00"/>
    <x v="1651"/>
    <s v="Ramirez-Taylor"/>
    <x v="0"/>
    <n v="36322.769967217799"/>
    <n v="381"/>
    <x v="0"/>
    <d v="2023-04-28T00:00:00"/>
    <s v="Lipitor"/>
    <x v="1"/>
    <s v="High"/>
    <s v="Under Treatment"/>
    <s v="High Risk"/>
    <x v="2"/>
  </r>
  <r>
    <x v="1670"/>
    <n v="18"/>
    <x v="0"/>
    <s v="O-"/>
    <x v="4"/>
    <d v="2020-04-08T00:00:00"/>
    <x v="1652"/>
    <s v="PLC Watkins"/>
    <x v="3"/>
    <n v="5938.3754873481303"/>
    <n v="443"/>
    <x v="1"/>
    <d v="2020-04-26T00:00:00"/>
    <s v="Lipitor"/>
    <x v="0"/>
    <s v="Medium"/>
    <s v="Under Treatment"/>
    <s v="High Risk"/>
    <x v="4"/>
  </r>
  <r>
    <x v="1671"/>
    <n v="34"/>
    <x v="0"/>
    <s v="AB+"/>
    <x v="0"/>
    <d v="2023-08-16T00:00:00"/>
    <x v="1653"/>
    <s v="Cook and Miller, Dunlap"/>
    <x v="1"/>
    <n v="34592.139335230102"/>
    <n v="198"/>
    <x v="1"/>
    <d v="2023-09-08T00:00:00"/>
    <s v="Paracetamol"/>
    <x v="0"/>
    <s v="High"/>
    <s v="Under Treatment"/>
    <s v="High Risk"/>
    <x v="0"/>
  </r>
  <r>
    <x v="1672"/>
    <n v="43"/>
    <x v="0"/>
    <s v="B-"/>
    <x v="1"/>
    <d v="2020-04-27T00:00:00"/>
    <x v="1654"/>
    <s v="Wilson Lynch, Castro and"/>
    <x v="4"/>
    <n v="5438.9783976405897"/>
    <n v="452"/>
    <x v="1"/>
    <d v="2020-05-18T00:00:00"/>
    <s v="Lipitor"/>
    <x v="2"/>
    <s v="Medium"/>
    <s v="Under Treatment"/>
    <s v="High Risk"/>
    <x v="3"/>
  </r>
  <r>
    <x v="1673"/>
    <n v="58"/>
    <x v="0"/>
    <s v="A+"/>
    <x v="3"/>
    <d v="2021-11-25T00:00:00"/>
    <x v="1655"/>
    <s v="Smith Coffey and Finley,"/>
    <x v="2"/>
    <n v="20514.436457129501"/>
    <n v="335"/>
    <x v="2"/>
    <d v="2021-12-11T00:00:00"/>
    <s v="Aspirin"/>
    <x v="1"/>
    <s v="High"/>
    <s v="Under Treatment"/>
    <s v="High Risk"/>
    <x v="1"/>
  </r>
  <r>
    <x v="1674"/>
    <n v="51"/>
    <x v="1"/>
    <s v="AB-"/>
    <x v="0"/>
    <d v="2020-12-21T00:00:00"/>
    <x v="1656"/>
    <s v="Rodriguez Duarte Warren, and"/>
    <x v="3"/>
    <n v="46268.373321281899"/>
    <n v="439"/>
    <x v="1"/>
    <d v="2021-01-01T00:00:00"/>
    <s v="Aspirin"/>
    <x v="0"/>
    <s v="High"/>
    <s v="Under Treatment"/>
    <s v="High Risk"/>
    <x v="1"/>
  </r>
  <r>
    <x v="1675"/>
    <n v="68"/>
    <x v="1"/>
    <s v="AB+"/>
    <x v="3"/>
    <d v="2022-12-21T00:00:00"/>
    <x v="1657"/>
    <s v="and Gordon Patterson, Swanson"/>
    <x v="0"/>
    <n v="13444.109274501099"/>
    <n v="438"/>
    <x v="2"/>
    <d v="2023-01-02T00:00:00"/>
    <s v="Aspirin"/>
    <x v="1"/>
    <s v="Medium"/>
    <s v="Under Treatment"/>
    <s v="High Risk"/>
    <x v="2"/>
  </r>
  <r>
    <x v="1676"/>
    <n v="55"/>
    <x v="1"/>
    <s v="B+"/>
    <x v="3"/>
    <d v="2021-11-14T00:00:00"/>
    <x v="1658"/>
    <s v="Davis and Livingston, Allen"/>
    <x v="0"/>
    <n v="44421.346244004402"/>
    <n v="426"/>
    <x v="1"/>
    <d v="2021-12-06T00:00:00"/>
    <s v="Ibuprofen"/>
    <x v="2"/>
    <s v="High"/>
    <s v="Under Treatment"/>
    <s v="High Risk"/>
    <x v="1"/>
  </r>
  <r>
    <x v="1677"/>
    <n v="68"/>
    <x v="1"/>
    <s v="O-"/>
    <x v="1"/>
    <d v="2022-11-09T00:00:00"/>
    <x v="1659"/>
    <s v="Reyes-Murphy"/>
    <x v="1"/>
    <n v="9451.7600041182595"/>
    <n v="441"/>
    <x v="2"/>
    <d v="2022-11-20T00:00:00"/>
    <s v="Penicillin"/>
    <x v="2"/>
    <s v="Medium"/>
    <s v="Under Treatment"/>
    <s v="High Risk"/>
    <x v="2"/>
  </r>
  <r>
    <x v="1678"/>
    <n v="77"/>
    <x v="0"/>
    <s v="A-"/>
    <x v="4"/>
    <d v="2020-07-16T00:00:00"/>
    <x v="1660"/>
    <s v="Chan-Brown"/>
    <x v="2"/>
    <n v="3299.47517562034"/>
    <n v="327"/>
    <x v="0"/>
    <d v="2020-08-05T00:00:00"/>
    <s v="Penicillin"/>
    <x v="2"/>
    <s v="Low"/>
    <s v="Under Treatment"/>
    <s v="High Risk"/>
    <x v="2"/>
  </r>
  <r>
    <x v="1679"/>
    <n v="45"/>
    <x v="1"/>
    <s v="O+"/>
    <x v="1"/>
    <d v="2020-02-12T00:00:00"/>
    <x v="1661"/>
    <s v="Jackson, Hansen and Greene"/>
    <x v="2"/>
    <n v="1633.2587028522701"/>
    <n v="465"/>
    <x v="2"/>
    <d v="2020-03-01T00:00:00"/>
    <s v="Lipitor"/>
    <x v="2"/>
    <s v="Low"/>
    <s v="Under Treatment"/>
    <s v="High Risk"/>
    <x v="3"/>
  </r>
  <r>
    <x v="1680"/>
    <n v="39"/>
    <x v="1"/>
    <s v="B+"/>
    <x v="0"/>
    <d v="2022-02-26T00:00:00"/>
    <x v="1662"/>
    <s v="Wilson-Harmon"/>
    <x v="0"/>
    <n v="23726.097562341001"/>
    <n v="378"/>
    <x v="1"/>
    <d v="2022-03-20T00:00:00"/>
    <s v="Penicillin"/>
    <x v="2"/>
    <s v="High"/>
    <s v="Under Treatment"/>
    <s v="High Risk"/>
    <x v="3"/>
  </r>
  <r>
    <x v="1681"/>
    <n v="63"/>
    <x v="1"/>
    <s v="A-"/>
    <x v="3"/>
    <d v="2020-11-02T00:00:00"/>
    <x v="1663"/>
    <s v="Estes, Logan and Smith"/>
    <x v="2"/>
    <n v="7526.9059471794399"/>
    <n v="189"/>
    <x v="2"/>
    <d v="2020-11-04T00:00:00"/>
    <s v="Ibuprofen"/>
    <x v="2"/>
    <s v="Medium"/>
    <s v="Under Treatment"/>
    <s v="High Risk"/>
    <x v="1"/>
  </r>
  <r>
    <x v="1682"/>
    <n v="57"/>
    <x v="1"/>
    <s v="A+"/>
    <x v="2"/>
    <d v="2021-09-29T00:00:00"/>
    <x v="1664"/>
    <s v="Huffman-Flowers"/>
    <x v="3"/>
    <n v="7782.7447796699198"/>
    <n v="157"/>
    <x v="2"/>
    <d v="2021-10-14T00:00:00"/>
    <s v="Lipitor"/>
    <x v="1"/>
    <s v="Medium"/>
    <s v="Under Treatment"/>
    <s v="High Risk"/>
    <x v="1"/>
  </r>
  <r>
    <x v="1683"/>
    <n v="54"/>
    <x v="1"/>
    <s v="O-"/>
    <x v="5"/>
    <d v="2019-07-24T00:00:00"/>
    <x v="1665"/>
    <s v="and Mcneil Sons"/>
    <x v="0"/>
    <n v="19256.064587206201"/>
    <n v="249"/>
    <x v="0"/>
    <d v="2019-08-05T00:00:00"/>
    <s v="Paracetamol"/>
    <x v="2"/>
    <s v="High"/>
    <s v="Under Treatment"/>
    <s v="High Risk"/>
    <x v="1"/>
  </r>
  <r>
    <x v="1684"/>
    <n v="24"/>
    <x v="0"/>
    <s v="AB-"/>
    <x v="3"/>
    <d v="2020-03-12T00:00:00"/>
    <x v="1666"/>
    <s v="and Sons Jones"/>
    <x v="3"/>
    <n v="14184.742986507001"/>
    <n v="246"/>
    <x v="0"/>
    <d v="2020-03-15T00:00:00"/>
    <s v="Lipitor"/>
    <x v="0"/>
    <s v="Medium"/>
    <s v="Under Treatment"/>
    <s v="High Risk"/>
    <x v="0"/>
  </r>
  <r>
    <x v="1685"/>
    <n v="62"/>
    <x v="1"/>
    <s v="A-"/>
    <x v="1"/>
    <d v="2021-04-30T00:00:00"/>
    <x v="1667"/>
    <s v="Young-Johnson"/>
    <x v="2"/>
    <n v="20259.470657894301"/>
    <n v="303"/>
    <x v="2"/>
    <d v="2021-05-11T00:00:00"/>
    <s v="Lipitor"/>
    <x v="1"/>
    <s v="High"/>
    <s v="Under Treatment"/>
    <s v="High Risk"/>
    <x v="1"/>
  </r>
  <r>
    <x v="1686"/>
    <n v="83"/>
    <x v="0"/>
    <s v="A+"/>
    <x v="3"/>
    <d v="2022-03-18T00:00:00"/>
    <x v="1668"/>
    <s v="LLC Ortiz"/>
    <x v="1"/>
    <n v="44525.928273724399"/>
    <n v="374"/>
    <x v="1"/>
    <d v="2022-03-20T00:00:00"/>
    <s v="Paracetamol"/>
    <x v="0"/>
    <s v="High"/>
    <s v="Under Treatment"/>
    <s v="High Risk"/>
    <x v="2"/>
  </r>
  <r>
    <x v="1687"/>
    <n v="38"/>
    <x v="1"/>
    <s v="O-"/>
    <x v="3"/>
    <d v="2019-12-15T00:00:00"/>
    <x v="1669"/>
    <s v="Bernard-Taylor"/>
    <x v="1"/>
    <n v="39082.1000292959"/>
    <n v="180"/>
    <x v="0"/>
    <d v="2019-12-22T00:00:00"/>
    <s v="Lipitor"/>
    <x v="2"/>
    <s v="High"/>
    <s v="Under Treatment"/>
    <s v="High Risk"/>
    <x v="3"/>
  </r>
  <r>
    <x v="1688"/>
    <n v="46"/>
    <x v="1"/>
    <s v="O-"/>
    <x v="5"/>
    <d v="2020-04-15T00:00:00"/>
    <x v="1670"/>
    <s v="Harrison Wilson and James,"/>
    <x v="2"/>
    <n v="44282.989602050999"/>
    <n v="334"/>
    <x v="0"/>
    <d v="2020-04-20T00:00:00"/>
    <s v="Paracetamol"/>
    <x v="0"/>
    <s v="High"/>
    <s v="Under Treatment"/>
    <s v="High Risk"/>
    <x v="3"/>
  </r>
  <r>
    <x v="1689"/>
    <n v="32"/>
    <x v="0"/>
    <s v="A-"/>
    <x v="2"/>
    <d v="2022-04-20T00:00:00"/>
    <x v="1671"/>
    <s v="LLC Hanson"/>
    <x v="4"/>
    <n v="18644.172065277598"/>
    <n v="239"/>
    <x v="1"/>
    <d v="2022-04-30T00:00:00"/>
    <s v="Aspirin"/>
    <x v="2"/>
    <s v="High"/>
    <s v="Under Treatment"/>
    <s v="High Risk"/>
    <x v="0"/>
  </r>
  <r>
    <x v="1690"/>
    <n v="23"/>
    <x v="0"/>
    <s v="B+"/>
    <x v="1"/>
    <d v="2022-12-11T00:00:00"/>
    <x v="1672"/>
    <s v="Kennedy-Brown"/>
    <x v="4"/>
    <n v="870.61928759985994"/>
    <n v="187"/>
    <x v="0"/>
    <d v="2022-12-19T00:00:00"/>
    <s v="Aspirin"/>
    <x v="1"/>
    <s v="Low"/>
    <s v="Under Treatment"/>
    <s v="High Risk"/>
    <x v="0"/>
  </r>
  <r>
    <x v="1691"/>
    <n v="38"/>
    <x v="0"/>
    <s v="A-"/>
    <x v="0"/>
    <d v="2022-04-01T00:00:00"/>
    <x v="1673"/>
    <s v="Ltd Wheeler"/>
    <x v="3"/>
    <n v="14088.073596070501"/>
    <n v="432"/>
    <x v="1"/>
    <d v="2022-04-09T00:00:00"/>
    <s v="Paracetamol"/>
    <x v="2"/>
    <s v="Medium"/>
    <s v="Under Treatment"/>
    <s v="High Risk"/>
    <x v="3"/>
  </r>
  <r>
    <x v="1692"/>
    <n v="47"/>
    <x v="1"/>
    <s v="A+"/>
    <x v="1"/>
    <d v="2019-07-30T00:00:00"/>
    <x v="1674"/>
    <s v="Snow LLC"/>
    <x v="3"/>
    <n v="21267.5218211807"/>
    <n v="220"/>
    <x v="1"/>
    <d v="2019-08-11T00:00:00"/>
    <s v="Lipitor"/>
    <x v="0"/>
    <s v="High"/>
    <s v="Under Treatment"/>
    <s v="High Risk"/>
    <x v="3"/>
  </r>
  <r>
    <x v="1693"/>
    <n v="55"/>
    <x v="0"/>
    <s v="O+"/>
    <x v="0"/>
    <d v="2023-05-19T00:00:00"/>
    <x v="989"/>
    <s v="Morton Haas Schwartz, and"/>
    <x v="3"/>
    <n v="17218.913134291499"/>
    <n v="246"/>
    <x v="1"/>
    <d v="2023-06-09T00:00:00"/>
    <s v="Lipitor"/>
    <x v="0"/>
    <s v="High"/>
    <s v="Under Treatment"/>
    <s v="High Risk"/>
    <x v="1"/>
  </r>
  <r>
    <x v="1694"/>
    <n v="52"/>
    <x v="0"/>
    <s v="A-"/>
    <x v="1"/>
    <d v="2020-02-23T00:00:00"/>
    <x v="1675"/>
    <s v="Ford-Morrison"/>
    <x v="3"/>
    <n v="51271.520098263201"/>
    <n v="338"/>
    <x v="0"/>
    <d v="2020-03-13T00:00:00"/>
    <s v="Aspirin"/>
    <x v="1"/>
    <s v="High"/>
    <s v="Under Treatment"/>
    <s v="High Risk"/>
    <x v="1"/>
  </r>
  <r>
    <x v="1695"/>
    <n v="41"/>
    <x v="0"/>
    <s v="O-"/>
    <x v="1"/>
    <d v="2024-04-13T00:00:00"/>
    <x v="1676"/>
    <s v="Smith and Wallace, Garcia"/>
    <x v="1"/>
    <n v="43398.555655938399"/>
    <n v="435"/>
    <x v="2"/>
    <d v="2024-05-11T00:00:00"/>
    <s v="Paracetamol"/>
    <x v="0"/>
    <s v="High"/>
    <s v="Under Treatment"/>
    <s v="High Risk"/>
    <x v="3"/>
  </r>
  <r>
    <x v="1696"/>
    <n v="53"/>
    <x v="1"/>
    <s v="B+"/>
    <x v="3"/>
    <d v="2023-05-23T00:00:00"/>
    <x v="1677"/>
    <s v="Willis Ltd"/>
    <x v="3"/>
    <n v="17578.285489663998"/>
    <n v="262"/>
    <x v="2"/>
    <d v="2023-05-26T00:00:00"/>
    <s v="Lipitor"/>
    <x v="0"/>
    <s v="High"/>
    <s v="Under Treatment"/>
    <s v="High Risk"/>
    <x v="1"/>
  </r>
  <r>
    <x v="1697"/>
    <n v="60"/>
    <x v="1"/>
    <s v="A+"/>
    <x v="3"/>
    <d v="2024-02-03T00:00:00"/>
    <x v="1678"/>
    <s v="Cook and Tapia Hughes,"/>
    <x v="4"/>
    <n v="24108.397104984801"/>
    <n v="423"/>
    <x v="1"/>
    <d v="2024-02-06T00:00:00"/>
    <s v="Lipitor"/>
    <x v="0"/>
    <s v="High"/>
    <s v="Under Treatment"/>
    <s v="High Risk"/>
    <x v="1"/>
  </r>
  <r>
    <x v="1698"/>
    <n v="26"/>
    <x v="0"/>
    <s v="B-"/>
    <x v="1"/>
    <d v="2024-05-06T00:00:00"/>
    <x v="1679"/>
    <s v="Inc Hamilton"/>
    <x v="3"/>
    <n v="45260.108029474097"/>
    <n v="328"/>
    <x v="0"/>
    <d v="2024-05-09T00:00:00"/>
    <s v="Aspirin"/>
    <x v="1"/>
    <s v="High"/>
    <s v="Under Treatment"/>
    <s v="High Risk"/>
    <x v="0"/>
  </r>
  <r>
    <x v="1699"/>
    <n v="28"/>
    <x v="1"/>
    <s v="A-"/>
    <x v="4"/>
    <d v="2020-09-26T00:00:00"/>
    <x v="1680"/>
    <s v="Group Wright"/>
    <x v="2"/>
    <n v="33145.6667012049"/>
    <n v="116"/>
    <x v="1"/>
    <d v="2020-10-22T00:00:00"/>
    <s v="Aspirin"/>
    <x v="1"/>
    <s v="High"/>
    <s v="Under Treatment"/>
    <s v="High Risk"/>
    <x v="0"/>
  </r>
  <r>
    <x v="1700"/>
    <n v="81"/>
    <x v="0"/>
    <s v="AB-"/>
    <x v="5"/>
    <d v="2021-07-12T00:00:00"/>
    <x v="1681"/>
    <s v="Maynard LLC"/>
    <x v="0"/>
    <n v="16118.427302767799"/>
    <n v="310"/>
    <x v="2"/>
    <d v="2021-07-16T00:00:00"/>
    <s v="Lipitor"/>
    <x v="0"/>
    <s v="High"/>
    <s v="Under Treatment"/>
    <s v="High Risk"/>
    <x v="2"/>
  </r>
  <r>
    <x v="1701"/>
    <n v="62"/>
    <x v="0"/>
    <s v="O-"/>
    <x v="5"/>
    <d v="2022-02-17T00:00:00"/>
    <x v="1682"/>
    <s v="Evans-Bowers"/>
    <x v="0"/>
    <n v="33512.193410902597"/>
    <n v="466"/>
    <x v="0"/>
    <d v="2022-03-01T00:00:00"/>
    <s v="Lipitor"/>
    <x v="2"/>
    <s v="High"/>
    <s v="Under Treatment"/>
    <s v="High Risk"/>
    <x v="1"/>
  </r>
  <r>
    <x v="1702"/>
    <n v="34"/>
    <x v="0"/>
    <s v="AB+"/>
    <x v="4"/>
    <d v="2023-04-19T00:00:00"/>
    <x v="1683"/>
    <s v="Waters-Chapman"/>
    <x v="1"/>
    <n v="15046.7402236406"/>
    <n v="226"/>
    <x v="0"/>
    <d v="2023-04-21T00:00:00"/>
    <s v="Penicillin"/>
    <x v="0"/>
    <s v="High"/>
    <s v="Under Treatment"/>
    <s v="High Risk"/>
    <x v="0"/>
  </r>
  <r>
    <x v="1703"/>
    <n v="38"/>
    <x v="0"/>
    <s v="B-"/>
    <x v="4"/>
    <d v="2022-01-17T00:00:00"/>
    <x v="1684"/>
    <s v="Ltd Gonzalez"/>
    <x v="2"/>
    <n v="43963.1461276552"/>
    <n v="185"/>
    <x v="0"/>
    <d v="2022-01-21T00:00:00"/>
    <s v="Aspirin"/>
    <x v="1"/>
    <s v="High"/>
    <s v="Under Treatment"/>
    <s v="High Risk"/>
    <x v="3"/>
  </r>
  <r>
    <x v="1704"/>
    <n v="23"/>
    <x v="0"/>
    <s v="O+"/>
    <x v="4"/>
    <d v="2019-09-23T00:00:00"/>
    <x v="1685"/>
    <s v="Inc Campbell"/>
    <x v="2"/>
    <n v="48695.3931711361"/>
    <n v="481"/>
    <x v="2"/>
    <d v="2019-09-24T00:00:00"/>
    <s v="Ibuprofen"/>
    <x v="2"/>
    <s v="High"/>
    <s v="Under Treatment"/>
    <s v="High Risk"/>
    <x v="0"/>
  </r>
  <r>
    <x v="1705"/>
    <n v="77"/>
    <x v="1"/>
    <s v="B-"/>
    <x v="1"/>
    <d v="2021-11-28T00:00:00"/>
    <x v="1686"/>
    <s v="Brown-Dennis"/>
    <x v="4"/>
    <n v="43813.599880719397"/>
    <n v="479"/>
    <x v="0"/>
    <d v="2021-12-22T00:00:00"/>
    <s v="Aspirin"/>
    <x v="2"/>
    <s v="High"/>
    <s v="Under Treatment"/>
    <s v="High Risk"/>
    <x v="2"/>
  </r>
  <r>
    <x v="1706"/>
    <n v="41"/>
    <x v="0"/>
    <s v="A-"/>
    <x v="0"/>
    <d v="2020-10-13T00:00:00"/>
    <x v="1687"/>
    <s v="Russell-Knight"/>
    <x v="0"/>
    <n v="6850.2038995831899"/>
    <n v="118"/>
    <x v="1"/>
    <d v="2020-10-30T00:00:00"/>
    <s v="Aspirin"/>
    <x v="1"/>
    <s v="Medium"/>
    <s v="Under Treatment"/>
    <s v="High Risk"/>
    <x v="3"/>
  </r>
  <r>
    <x v="1707"/>
    <n v="82"/>
    <x v="1"/>
    <s v="B+"/>
    <x v="1"/>
    <d v="2020-10-19T00:00:00"/>
    <x v="1688"/>
    <s v="Bush LLC"/>
    <x v="3"/>
    <n v="37426.448798363097"/>
    <n v="206"/>
    <x v="1"/>
    <d v="2020-11-04T00:00:00"/>
    <s v="Aspirin"/>
    <x v="1"/>
    <s v="High"/>
    <s v="Under Treatment"/>
    <s v="High Risk"/>
    <x v="2"/>
  </r>
  <r>
    <x v="1708"/>
    <n v="39"/>
    <x v="0"/>
    <s v="O+"/>
    <x v="1"/>
    <d v="2021-08-28T00:00:00"/>
    <x v="1689"/>
    <s v="Proctor LLC"/>
    <x v="3"/>
    <n v="4640.0477381941701"/>
    <n v="355"/>
    <x v="1"/>
    <d v="2021-09-27T00:00:00"/>
    <s v="Aspirin"/>
    <x v="1"/>
    <s v="Low"/>
    <s v="Under Treatment"/>
    <s v="High Risk"/>
    <x v="3"/>
  </r>
  <r>
    <x v="1709"/>
    <n v="59"/>
    <x v="0"/>
    <s v="B-"/>
    <x v="2"/>
    <d v="2020-01-01T00:00:00"/>
    <x v="1690"/>
    <s v="Ray-Michael"/>
    <x v="1"/>
    <n v="11568.7997120329"/>
    <n v="319"/>
    <x v="0"/>
    <d v="2020-01-05T00:00:00"/>
    <s v="Penicillin"/>
    <x v="2"/>
    <s v="Medium"/>
    <s v="Under Treatment"/>
    <s v="High Risk"/>
    <x v="1"/>
  </r>
  <r>
    <x v="1710"/>
    <n v="54"/>
    <x v="1"/>
    <s v="AB+"/>
    <x v="0"/>
    <d v="2023-09-22T00:00:00"/>
    <x v="1691"/>
    <s v="Shaw Group"/>
    <x v="3"/>
    <n v="5831.3241089371804"/>
    <n v="409"/>
    <x v="1"/>
    <d v="2023-10-02T00:00:00"/>
    <s v="Ibuprofen"/>
    <x v="2"/>
    <s v="Medium"/>
    <s v="Under Treatment"/>
    <s v="High Risk"/>
    <x v="1"/>
  </r>
  <r>
    <x v="1711"/>
    <n v="79"/>
    <x v="1"/>
    <s v="A+"/>
    <x v="1"/>
    <d v="2021-07-23T00:00:00"/>
    <x v="1692"/>
    <s v="Sons Ford and"/>
    <x v="0"/>
    <n v="27077.570151125601"/>
    <n v="442"/>
    <x v="2"/>
    <d v="2021-08-01T00:00:00"/>
    <s v="Paracetamol"/>
    <x v="2"/>
    <s v="High"/>
    <s v="Under Treatment"/>
    <s v="High Risk"/>
    <x v="2"/>
  </r>
  <r>
    <x v="1712"/>
    <n v="45"/>
    <x v="1"/>
    <s v="AB-"/>
    <x v="5"/>
    <d v="2023-04-22T00:00:00"/>
    <x v="1693"/>
    <s v="and Owens Tran Trujillo,"/>
    <x v="2"/>
    <n v="11857.902408935301"/>
    <n v="192"/>
    <x v="1"/>
    <d v="2023-04-24T00:00:00"/>
    <s v="Lipitor"/>
    <x v="1"/>
    <s v="Medium"/>
    <s v="Under Treatment"/>
    <s v="High Risk"/>
    <x v="3"/>
  </r>
  <r>
    <x v="1713"/>
    <n v="31"/>
    <x v="0"/>
    <s v="A-"/>
    <x v="4"/>
    <d v="2019-11-20T00:00:00"/>
    <x v="1694"/>
    <s v="Silva Nguyen, and Hayes"/>
    <x v="4"/>
    <n v="46633.9208595077"/>
    <n v="391"/>
    <x v="2"/>
    <d v="2019-12-02T00:00:00"/>
    <s v="Paracetamol"/>
    <x v="0"/>
    <s v="High"/>
    <s v="Under Treatment"/>
    <s v="High Risk"/>
    <x v="0"/>
  </r>
  <r>
    <x v="1714"/>
    <n v="35"/>
    <x v="0"/>
    <s v="O+"/>
    <x v="1"/>
    <d v="2023-11-04T00:00:00"/>
    <x v="1695"/>
    <s v="Richmond-Munoz"/>
    <x v="0"/>
    <n v="8701.0818377845408"/>
    <n v="203"/>
    <x v="0"/>
    <d v="2023-11-17T00:00:00"/>
    <s v="Ibuprofen"/>
    <x v="2"/>
    <s v="Medium"/>
    <s v="Under Treatment"/>
    <s v="High Risk"/>
    <x v="0"/>
  </r>
  <r>
    <x v="1715"/>
    <n v="25"/>
    <x v="1"/>
    <s v="A-"/>
    <x v="1"/>
    <d v="2019-09-04T00:00:00"/>
    <x v="1696"/>
    <s v="Hogan-Mclaughlin"/>
    <x v="0"/>
    <n v="4771.4301530502098"/>
    <n v="137"/>
    <x v="0"/>
    <d v="2019-09-29T00:00:00"/>
    <s v="Lipitor"/>
    <x v="0"/>
    <s v="Low"/>
    <s v="Under Treatment"/>
    <s v="High Risk"/>
    <x v="0"/>
  </r>
  <r>
    <x v="1716"/>
    <n v="67"/>
    <x v="0"/>
    <s v="B+"/>
    <x v="4"/>
    <d v="2021-07-29T00:00:00"/>
    <x v="1697"/>
    <s v="Burns-Hernandez"/>
    <x v="2"/>
    <n v="30515.529800808901"/>
    <n v="247"/>
    <x v="1"/>
    <d v="2021-08-09T00:00:00"/>
    <s v="Paracetamol"/>
    <x v="1"/>
    <s v="High"/>
    <s v="Under Treatment"/>
    <s v="High Risk"/>
    <x v="2"/>
  </r>
  <r>
    <x v="1717"/>
    <n v="73"/>
    <x v="0"/>
    <s v="O+"/>
    <x v="1"/>
    <d v="2024-04-16T00:00:00"/>
    <x v="1698"/>
    <s v="Gonzales Sons and"/>
    <x v="4"/>
    <n v="11271.9394747938"/>
    <n v="243"/>
    <x v="1"/>
    <d v="2024-05-14T00:00:00"/>
    <s v="Ibuprofen"/>
    <x v="1"/>
    <s v="Medium"/>
    <s v="Under Treatment"/>
    <s v="High Risk"/>
    <x v="2"/>
  </r>
  <r>
    <x v="1718"/>
    <n v="58"/>
    <x v="0"/>
    <s v="A-"/>
    <x v="2"/>
    <d v="2020-08-17T00:00:00"/>
    <x v="1699"/>
    <s v="and Carroll, Cox Morales"/>
    <x v="2"/>
    <n v="37069.693726381403"/>
    <n v="360"/>
    <x v="0"/>
    <d v="2020-09-13T00:00:00"/>
    <s v="Aspirin"/>
    <x v="0"/>
    <s v="High"/>
    <s v="Under Treatment"/>
    <s v="High Risk"/>
    <x v="1"/>
  </r>
  <r>
    <x v="1719"/>
    <n v="46"/>
    <x v="0"/>
    <s v="B+"/>
    <x v="1"/>
    <d v="2020-01-22T00:00:00"/>
    <x v="1700"/>
    <s v="English-Thomas"/>
    <x v="1"/>
    <n v="19868.916818096299"/>
    <n v="431"/>
    <x v="2"/>
    <d v="2020-01-30T00:00:00"/>
    <s v="Ibuprofen"/>
    <x v="1"/>
    <s v="High"/>
    <s v="Under Treatment"/>
    <s v="High Risk"/>
    <x v="3"/>
  </r>
  <r>
    <x v="1720"/>
    <n v="80"/>
    <x v="1"/>
    <s v="AB+"/>
    <x v="1"/>
    <d v="2022-07-03T00:00:00"/>
    <x v="1701"/>
    <s v="Group Lowe"/>
    <x v="2"/>
    <n v="20884.0457537369"/>
    <n v="242"/>
    <x v="1"/>
    <d v="2022-07-24T00:00:00"/>
    <s v="Ibuprofen"/>
    <x v="1"/>
    <s v="High"/>
    <s v="Under Treatment"/>
    <s v="High Risk"/>
    <x v="2"/>
  </r>
  <r>
    <x v="1721"/>
    <n v="83"/>
    <x v="0"/>
    <s v="AB+"/>
    <x v="4"/>
    <d v="2022-05-20T00:00:00"/>
    <x v="1702"/>
    <s v="and Reid Keith, Blackwell"/>
    <x v="2"/>
    <n v="23703.5188758728"/>
    <n v="474"/>
    <x v="1"/>
    <d v="2022-05-29T00:00:00"/>
    <s v="Ibuprofen"/>
    <x v="2"/>
    <s v="High"/>
    <s v="Under Treatment"/>
    <s v="High Risk"/>
    <x v="2"/>
  </r>
  <r>
    <x v="1722"/>
    <n v="85"/>
    <x v="0"/>
    <s v="O+"/>
    <x v="3"/>
    <d v="2019-08-07T00:00:00"/>
    <x v="1703"/>
    <s v="Williams-Riley"/>
    <x v="2"/>
    <n v="22743.3311058486"/>
    <n v="192"/>
    <x v="0"/>
    <d v="2019-08-17T00:00:00"/>
    <s v="Lipitor"/>
    <x v="0"/>
    <s v="High"/>
    <s v="Under Treatment"/>
    <s v="High Risk"/>
    <x v="2"/>
  </r>
  <r>
    <x v="1723"/>
    <n v="41"/>
    <x v="0"/>
    <s v="A-"/>
    <x v="1"/>
    <d v="2019-07-03T00:00:00"/>
    <x v="1704"/>
    <s v="Martin PLC"/>
    <x v="0"/>
    <n v="24395.862107626399"/>
    <n v="329"/>
    <x v="2"/>
    <d v="2019-07-29T00:00:00"/>
    <s v="Paracetamol"/>
    <x v="1"/>
    <s v="High"/>
    <s v="Under Treatment"/>
    <s v="High Risk"/>
    <x v="3"/>
  </r>
  <r>
    <x v="1724"/>
    <n v="81"/>
    <x v="1"/>
    <s v="A+"/>
    <x v="3"/>
    <d v="2022-01-29T00:00:00"/>
    <x v="1705"/>
    <s v="Hunt, Johnson and Walton"/>
    <x v="0"/>
    <n v="16761.231590912601"/>
    <n v="146"/>
    <x v="2"/>
    <d v="2022-02-17T00:00:00"/>
    <s v="Lipitor"/>
    <x v="1"/>
    <s v="High"/>
    <s v="Under Treatment"/>
    <s v="High Risk"/>
    <x v="2"/>
  </r>
  <r>
    <x v="1725"/>
    <n v="47"/>
    <x v="0"/>
    <s v="B+"/>
    <x v="4"/>
    <d v="2021-04-24T00:00:00"/>
    <x v="1706"/>
    <s v="Wiggins Pacheco, and Vasquez"/>
    <x v="0"/>
    <n v="24179.521880539502"/>
    <n v="214"/>
    <x v="2"/>
    <d v="2021-05-01T00:00:00"/>
    <s v="Lipitor"/>
    <x v="1"/>
    <s v="High"/>
    <s v="Under Treatment"/>
    <s v="High Risk"/>
    <x v="3"/>
  </r>
  <r>
    <x v="1726"/>
    <n v="77"/>
    <x v="1"/>
    <s v="B-"/>
    <x v="2"/>
    <d v="2021-11-15T00:00:00"/>
    <x v="1707"/>
    <s v="Watson, Rose Smith and"/>
    <x v="4"/>
    <n v="28926.190460873699"/>
    <n v="127"/>
    <x v="2"/>
    <d v="2021-12-03T00:00:00"/>
    <s v="Lipitor"/>
    <x v="2"/>
    <s v="High"/>
    <s v="Under Treatment"/>
    <s v="High Risk"/>
    <x v="2"/>
  </r>
  <r>
    <x v="1727"/>
    <n v="20"/>
    <x v="0"/>
    <s v="O+"/>
    <x v="2"/>
    <d v="2021-03-06T00:00:00"/>
    <x v="1708"/>
    <s v="Thornton-Pierce"/>
    <x v="4"/>
    <n v="43327.132672645297"/>
    <n v="312"/>
    <x v="2"/>
    <d v="2021-03-21T00:00:00"/>
    <s v="Paracetamol"/>
    <x v="0"/>
    <s v="High"/>
    <s v="Under Treatment"/>
    <s v="High Risk"/>
    <x v="0"/>
  </r>
  <r>
    <x v="1728"/>
    <n v="68"/>
    <x v="1"/>
    <s v="AB+"/>
    <x v="5"/>
    <d v="2022-06-10T00:00:00"/>
    <x v="1709"/>
    <s v="Hernandez, Adams Barnett and"/>
    <x v="0"/>
    <n v="7743.7456145029901"/>
    <n v="487"/>
    <x v="1"/>
    <d v="2022-06-19T00:00:00"/>
    <s v="Ibuprofen"/>
    <x v="0"/>
    <s v="Medium"/>
    <s v="Under Treatment"/>
    <s v="High Risk"/>
    <x v="2"/>
  </r>
  <r>
    <x v="1729"/>
    <n v="23"/>
    <x v="0"/>
    <s v="B-"/>
    <x v="2"/>
    <d v="2019-12-14T00:00:00"/>
    <x v="1710"/>
    <s v="LLC Hernandez"/>
    <x v="2"/>
    <n v="45284.445718277202"/>
    <n v="466"/>
    <x v="1"/>
    <d v="2020-01-05T00:00:00"/>
    <s v="Lipitor"/>
    <x v="0"/>
    <s v="High"/>
    <s v="Under Treatment"/>
    <s v="High Risk"/>
    <x v="0"/>
  </r>
  <r>
    <x v="1730"/>
    <n v="39"/>
    <x v="1"/>
    <s v="O-"/>
    <x v="0"/>
    <d v="2019-07-22T00:00:00"/>
    <x v="1711"/>
    <s v="and Hill Collins, Navarro"/>
    <x v="0"/>
    <n v="5097.33875584203"/>
    <n v="152"/>
    <x v="2"/>
    <d v="2019-08-21T00:00:00"/>
    <s v="Penicillin"/>
    <x v="1"/>
    <s v="Medium"/>
    <s v="Under Treatment"/>
    <s v="High Risk"/>
    <x v="3"/>
  </r>
  <r>
    <x v="1731"/>
    <n v="50"/>
    <x v="1"/>
    <s v="B-"/>
    <x v="5"/>
    <d v="2023-09-10T00:00:00"/>
    <x v="1712"/>
    <s v="and Baker, Anderson Powell"/>
    <x v="4"/>
    <n v="10730.4434327984"/>
    <n v="124"/>
    <x v="0"/>
    <d v="2023-09-26T00:00:00"/>
    <s v="Lipitor"/>
    <x v="0"/>
    <s v="Medium"/>
    <s v="Under Treatment"/>
    <s v="High Risk"/>
    <x v="3"/>
  </r>
  <r>
    <x v="1732"/>
    <n v="81"/>
    <x v="0"/>
    <s v="AB+"/>
    <x v="2"/>
    <d v="2023-07-21T00:00:00"/>
    <x v="1713"/>
    <s v="and Adams Sons"/>
    <x v="2"/>
    <n v="6061.4615940864396"/>
    <n v="462"/>
    <x v="2"/>
    <d v="2023-08-12T00:00:00"/>
    <s v="Aspirin"/>
    <x v="0"/>
    <s v="Medium"/>
    <s v="Under Treatment"/>
    <s v="High Risk"/>
    <x v="2"/>
  </r>
  <r>
    <x v="1733"/>
    <n v="77"/>
    <x v="0"/>
    <s v="AB+"/>
    <x v="4"/>
    <d v="2019-12-13T00:00:00"/>
    <x v="1714"/>
    <s v="Rice-Gregory"/>
    <x v="3"/>
    <n v="6245.7229166301304"/>
    <n v="298"/>
    <x v="0"/>
    <d v="2020-01-09T00:00:00"/>
    <s v="Penicillin"/>
    <x v="1"/>
    <s v="Medium"/>
    <s v="Under Treatment"/>
    <s v="High Risk"/>
    <x v="2"/>
  </r>
  <r>
    <x v="1734"/>
    <n v="22"/>
    <x v="1"/>
    <s v="O+"/>
    <x v="4"/>
    <d v="2023-02-17T00:00:00"/>
    <x v="1715"/>
    <s v="Hawkins Ltd"/>
    <x v="0"/>
    <n v="33341.547755647"/>
    <n v="411"/>
    <x v="2"/>
    <d v="2023-03-13T00:00:00"/>
    <s v="Paracetamol"/>
    <x v="2"/>
    <s v="High"/>
    <s v="Under Treatment"/>
    <s v="High Risk"/>
    <x v="0"/>
  </r>
  <r>
    <x v="1735"/>
    <n v="32"/>
    <x v="1"/>
    <s v="O-"/>
    <x v="0"/>
    <d v="2022-05-05T00:00:00"/>
    <x v="1716"/>
    <s v="Adams-Mcgrath"/>
    <x v="2"/>
    <n v="9478.3323315987509"/>
    <n v="457"/>
    <x v="1"/>
    <d v="2022-05-11T00:00:00"/>
    <s v="Penicillin"/>
    <x v="0"/>
    <s v="Medium"/>
    <s v="Under Treatment"/>
    <s v="High Risk"/>
    <x v="0"/>
  </r>
  <r>
    <x v="1736"/>
    <n v="55"/>
    <x v="1"/>
    <s v="O-"/>
    <x v="5"/>
    <d v="2020-06-30T00:00:00"/>
    <x v="1717"/>
    <s v="Johnson Norris Leonard, and"/>
    <x v="1"/>
    <n v="5583.2221581855401"/>
    <n v="221"/>
    <x v="1"/>
    <d v="2020-07-10T00:00:00"/>
    <s v="Penicillin"/>
    <x v="0"/>
    <s v="Medium"/>
    <s v="Under Treatment"/>
    <s v="High Risk"/>
    <x v="1"/>
  </r>
  <r>
    <x v="1737"/>
    <n v="81"/>
    <x v="1"/>
    <s v="B+"/>
    <x v="0"/>
    <d v="2019-09-10T00:00:00"/>
    <x v="1718"/>
    <s v="Nichols-Mann"/>
    <x v="2"/>
    <n v="20491.8595610968"/>
    <n v="309"/>
    <x v="2"/>
    <d v="2019-09-22T00:00:00"/>
    <s v="Ibuprofen"/>
    <x v="2"/>
    <s v="High"/>
    <s v="Under Treatment"/>
    <s v="High Risk"/>
    <x v="2"/>
  </r>
  <r>
    <x v="1738"/>
    <n v="65"/>
    <x v="1"/>
    <s v="O-"/>
    <x v="3"/>
    <d v="2020-01-25T00:00:00"/>
    <x v="1719"/>
    <s v="Baker-Lee"/>
    <x v="4"/>
    <n v="30338.104934181101"/>
    <n v="463"/>
    <x v="2"/>
    <d v="2020-02-05T00:00:00"/>
    <s v="Penicillin"/>
    <x v="0"/>
    <s v="High"/>
    <s v="Under Treatment"/>
    <s v="High Risk"/>
    <x v="1"/>
  </r>
  <r>
    <x v="1739"/>
    <n v="47"/>
    <x v="1"/>
    <s v="A-"/>
    <x v="0"/>
    <d v="2019-11-19T00:00:00"/>
    <x v="1720"/>
    <s v="Smith and Shepard, May"/>
    <x v="4"/>
    <n v="40605.870464390297"/>
    <n v="462"/>
    <x v="1"/>
    <d v="2019-12-17T00:00:00"/>
    <s v="Penicillin"/>
    <x v="2"/>
    <s v="High"/>
    <s v="Under Treatment"/>
    <s v="High Risk"/>
    <x v="3"/>
  </r>
  <r>
    <x v="1740"/>
    <n v="40"/>
    <x v="0"/>
    <s v="AB+"/>
    <x v="4"/>
    <d v="2021-01-28T00:00:00"/>
    <x v="1721"/>
    <s v="and Cardenas Miller, Fisher"/>
    <x v="1"/>
    <n v="48451.451210005704"/>
    <n v="373"/>
    <x v="2"/>
    <d v="2021-02-09T00:00:00"/>
    <s v="Aspirin"/>
    <x v="1"/>
    <s v="High"/>
    <s v="Under Treatment"/>
    <s v="High Risk"/>
    <x v="3"/>
  </r>
  <r>
    <x v="1741"/>
    <n v="22"/>
    <x v="1"/>
    <s v="AB+"/>
    <x v="2"/>
    <d v="2020-05-07T00:00:00"/>
    <x v="1722"/>
    <s v="Group Mccarthy"/>
    <x v="1"/>
    <n v="4052.8887633785098"/>
    <n v="246"/>
    <x v="1"/>
    <d v="2020-05-22T00:00:00"/>
    <s v="Penicillin"/>
    <x v="0"/>
    <s v="Low"/>
    <s v="Under Treatment"/>
    <s v="High Risk"/>
    <x v="0"/>
  </r>
  <r>
    <x v="1742"/>
    <n v="83"/>
    <x v="0"/>
    <s v="B-"/>
    <x v="5"/>
    <d v="2021-09-26T00:00:00"/>
    <x v="1723"/>
    <s v="Cortez-Kramer"/>
    <x v="4"/>
    <n v="28447.44004446"/>
    <n v="117"/>
    <x v="0"/>
    <d v="2021-10-01T00:00:00"/>
    <s v="Ibuprofen"/>
    <x v="0"/>
    <s v="High"/>
    <s v="Under Treatment"/>
    <s v="High Risk"/>
    <x v="2"/>
  </r>
  <r>
    <x v="1743"/>
    <n v="35"/>
    <x v="1"/>
    <s v="A-"/>
    <x v="0"/>
    <d v="2020-08-22T00:00:00"/>
    <x v="1724"/>
    <s v="Holland and Sons"/>
    <x v="3"/>
    <n v="22732.388557564002"/>
    <n v="500"/>
    <x v="0"/>
    <d v="2020-09-08T00:00:00"/>
    <s v="Lipitor"/>
    <x v="2"/>
    <s v="High"/>
    <s v="Under Treatment"/>
    <s v="High Risk"/>
    <x v="0"/>
  </r>
  <r>
    <x v="1744"/>
    <n v="54"/>
    <x v="0"/>
    <s v="A-"/>
    <x v="0"/>
    <d v="2021-10-22T00:00:00"/>
    <x v="1725"/>
    <s v="Dominguez Johnson, Baker and"/>
    <x v="4"/>
    <n v="29089.728673887799"/>
    <n v="200"/>
    <x v="0"/>
    <d v="2021-11-09T00:00:00"/>
    <s v="Penicillin"/>
    <x v="2"/>
    <s v="High"/>
    <s v="Under Treatment"/>
    <s v="High Risk"/>
    <x v="1"/>
  </r>
  <r>
    <x v="1745"/>
    <n v="66"/>
    <x v="1"/>
    <s v="O+"/>
    <x v="1"/>
    <d v="2019-06-28T00:00:00"/>
    <x v="1726"/>
    <s v="LLC Peterson"/>
    <x v="1"/>
    <n v="35356.027925674003"/>
    <n v="383"/>
    <x v="0"/>
    <d v="2019-07-07T00:00:00"/>
    <s v="Lipitor"/>
    <x v="0"/>
    <s v="High"/>
    <s v="Under Treatment"/>
    <s v="High Risk"/>
    <x v="2"/>
  </r>
  <r>
    <x v="1746"/>
    <n v="45"/>
    <x v="0"/>
    <s v="B+"/>
    <x v="3"/>
    <d v="2023-01-09T00:00:00"/>
    <x v="1727"/>
    <s v="PLC Lewis"/>
    <x v="0"/>
    <n v="13959.2961686008"/>
    <n v="197"/>
    <x v="2"/>
    <d v="2023-02-07T00:00:00"/>
    <s v="Penicillin"/>
    <x v="0"/>
    <s v="Medium"/>
    <s v="Under Treatment"/>
    <s v="High Risk"/>
    <x v="3"/>
  </r>
  <r>
    <x v="1747"/>
    <n v="42"/>
    <x v="1"/>
    <s v="A-"/>
    <x v="3"/>
    <d v="2022-09-23T00:00:00"/>
    <x v="1728"/>
    <s v="Thompson-Ryan"/>
    <x v="4"/>
    <n v="42178.843634376302"/>
    <n v="406"/>
    <x v="2"/>
    <d v="2022-10-16T00:00:00"/>
    <s v="Paracetamol"/>
    <x v="0"/>
    <s v="High"/>
    <s v="Under Treatment"/>
    <s v="High Risk"/>
    <x v="3"/>
  </r>
  <r>
    <x v="1748"/>
    <n v="26"/>
    <x v="1"/>
    <s v="O-"/>
    <x v="0"/>
    <d v="2023-09-02T00:00:00"/>
    <x v="1729"/>
    <s v="Johnson Jones Robertson, and"/>
    <x v="4"/>
    <n v="2612.1543741893802"/>
    <n v="302"/>
    <x v="1"/>
    <d v="2023-09-25T00:00:00"/>
    <s v="Aspirin"/>
    <x v="0"/>
    <s v="Low"/>
    <s v="Under Treatment"/>
    <s v="High Risk"/>
    <x v="0"/>
  </r>
  <r>
    <x v="1749"/>
    <n v="45"/>
    <x v="0"/>
    <s v="AB+"/>
    <x v="1"/>
    <d v="2021-04-20T00:00:00"/>
    <x v="1730"/>
    <s v="Williams-Stuart"/>
    <x v="4"/>
    <n v="2188.15334682913"/>
    <n v="494"/>
    <x v="1"/>
    <d v="2021-04-26T00:00:00"/>
    <s v="Penicillin"/>
    <x v="0"/>
    <s v="Low"/>
    <s v="Under Treatment"/>
    <s v="High Risk"/>
    <x v="3"/>
  </r>
  <r>
    <x v="1750"/>
    <n v="30"/>
    <x v="1"/>
    <s v="A+"/>
    <x v="0"/>
    <d v="2023-06-06T00:00:00"/>
    <x v="1731"/>
    <s v="Kennedy-Horton"/>
    <x v="0"/>
    <n v="35927.161964523402"/>
    <n v="284"/>
    <x v="2"/>
    <d v="2023-06-18T00:00:00"/>
    <s v="Lipitor"/>
    <x v="0"/>
    <s v="High"/>
    <s v="Under Treatment"/>
    <s v="High Risk"/>
    <x v="0"/>
  </r>
  <r>
    <x v="1751"/>
    <n v="77"/>
    <x v="1"/>
    <s v="B-"/>
    <x v="3"/>
    <d v="2020-11-27T00:00:00"/>
    <x v="1732"/>
    <s v="Willis PLC"/>
    <x v="4"/>
    <n v="34758.545655583701"/>
    <n v="164"/>
    <x v="0"/>
    <d v="2020-12-26T00:00:00"/>
    <s v="Lipitor"/>
    <x v="1"/>
    <s v="High"/>
    <s v="Under Treatment"/>
    <s v="High Risk"/>
    <x v="2"/>
  </r>
  <r>
    <x v="1752"/>
    <n v="58"/>
    <x v="1"/>
    <s v="A-"/>
    <x v="0"/>
    <d v="2021-09-28T00:00:00"/>
    <x v="1733"/>
    <s v="Hernandez-Freeman"/>
    <x v="0"/>
    <n v="14783.102287223999"/>
    <n v="326"/>
    <x v="2"/>
    <d v="2021-10-17T00:00:00"/>
    <s v="Ibuprofen"/>
    <x v="2"/>
    <s v="Medium"/>
    <s v="Under Treatment"/>
    <s v="High Risk"/>
    <x v="1"/>
  </r>
  <r>
    <x v="1753"/>
    <n v="34"/>
    <x v="0"/>
    <s v="B+"/>
    <x v="0"/>
    <d v="2024-02-19T00:00:00"/>
    <x v="1734"/>
    <s v="Young-Johnson"/>
    <x v="3"/>
    <n v="44954.131241576099"/>
    <n v="334"/>
    <x v="2"/>
    <d v="2024-03-04T00:00:00"/>
    <s v="Paracetamol"/>
    <x v="2"/>
    <s v="High"/>
    <s v="Under Treatment"/>
    <s v="High Risk"/>
    <x v="0"/>
  </r>
  <r>
    <x v="1754"/>
    <n v="69"/>
    <x v="1"/>
    <s v="A+"/>
    <x v="3"/>
    <d v="2020-08-15T00:00:00"/>
    <x v="1735"/>
    <s v="and Reeves Jones Conway,"/>
    <x v="2"/>
    <n v="37975.129299099899"/>
    <n v="223"/>
    <x v="2"/>
    <d v="2020-09-03T00:00:00"/>
    <s v="Aspirin"/>
    <x v="1"/>
    <s v="High"/>
    <s v="Under Treatment"/>
    <s v="High Risk"/>
    <x v="2"/>
  </r>
  <r>
    <x v="1755"/>
    <n v="83"/>
    <x v="1"/>
    <s v="B-"/>
    <x v="5"/>
    <d v="2023-04-13T00:00:00"/>
    <x v="1736"/>
    <s v="Booker-Hubbard"/>
    <x v="1"/>
    <n v="34693.648023745998"/>
    <n v="271"/>
    <x v="0"/>
    <d v="2023-04-20T00:00:00"/>
    <s v="Paracetamol"/>
    <x v="1"/>
    <s v="High"/>
    <s v="Under Treatment"/>
    <s v="High Risk"/>
    <x v="2"/>
  </r>
  <r>
    <x v="1756"/>
    <n v="61"/>
    <x v="1"/>
    <s v="B+"/>
    <x v="2"/>
    <d v="2021-08-13T00:00:00"/>
    <x v="1737"/>
    <s v="Booker PLC"/>
    <x v="4"/>
    <n v="34134.121007855203"/>
    <n v="394"/>
    <x v="1"/>
    <d v="2021-09-08T00:00:00"/>
    <s v="Lipitor"/>
    <x v="1"/>
    <s v="High"/>
    <s v="Under Treatment"/>
    <s v="High Risk"/>
    <x v="1"/>
  </r>
  <r>
    <x v="1757"/>
    <n v="77"/>
    <x v="0"/>
    <s v="AB-"/>
    <x v="3"/>
    <d v="2021-03-02T00:00:00"/>
    <x v="1738"/>
    <s v="Moore-Willis"/>
    <x v="0"/>
    <n v="49538.151547916903"/>
    <n v="335"/>
    <x v="0"/>
    <d v="2021-03-07T00:00:00"/>
    <s v="Aspirin"/>
    <x v="0"/>
    <s v="High"/>
    <s v="Under Treatment"/>
    <s v="High Risk"/>
    <x v="2"/>
  </r>
  <r>
    <x v="1758"/>
    <n v="26"/>
    <x v="0"/>
    <s v="AB+"/>
    <x v="3"/>
    <d v="2022-03-23T00:00:00"/>
    <x v="1739"/>
    <s v="Williams-Henderson"/>
    <x v="1"/>
    <n v="14447.7953403762"/>
    <n v="409"/>
    <x v="0"/>
    <d v="2022-04-22T00:00:00"/>
    <s v="Ibuprofen"/>
    <x v="0"/>
    <s v="Medium"/>
    <s v="Under Treatment"/>
    <s v="High Risk"/>
    <x v="0"/>
  </r>
  <r>
    <x v="1759"/>
    <n v="83"/>
    <x v="1"/>
    <s v="O+"/>
    <x v="4"/>
    <d v="2021-07-19T00:00:00"/>
    <x v="1740"/>
    <s v="Dean-Gutierrez"/>
    <x v="0"/>
    <n v="30046.437432808299"/>
    <n v="122"/>
    <x v="2"/>
    <d v="2021-08-15T00:00:00"/>
    <s v="Ibuprofen"/>
    <x v="0"/>
    <s v="High"/>
    <s v="Under Treatment"/>
    <s v="High Risk"/>
    <x v="2"/>
  </r>
  <r>
    <x v="1760"/>
    <n v="51"/>
    <x v="0"/>
    <s v="B-"/>
    <x v="0"/>
    <d v="2021-06-29T00:00:00"/>
    <x v="1741"/>
    <s v="Neal-Mitchell"/>
    <x v="4"/>
    <n v="10011.8004079404"/>
    <n v="471"/>
    <x v="1"/>
    <d v="2021-07-25T00:00:00"/>
    <s v="Ibuprofen"/>
    <x v="1"/>
    <s v="Medium"/>
    <s v="Under Treatment"/>
    <s v="High Risk"/>
    <x v="1"/>
  </r>
  <r>
    <x v="1761"/>
    <n v="59"/>
    <x v="1"/>
    <s v="B+"/>
    <x v="3"/>
    <d v="2023-11-25T00:00:00"/>
    <x v="1742"/>
    <s v="Patrick Group"/>
    <x v="0"/>
    <n v="17383.9055335425"/>
    <n v="368"/>
    <x v="1"/>
    <d v="2023-11-29T00:00:00"/>
    <s v="Paracetamol"/>
    <x v="1"/>
    <s v="High"/>
    <s v="Under Treatment"/>
    <s v="High Risk"/>
    <x v="1"/>
  </r>
  <r>
    <x v="1762"/>
    <n v="44"/>
    <x v="1"/>
    <s v="B-"/>
    <x v="0"/>
    <d v="2022-10-22T00:00:00"/>
    <x v="1743"/>
    <s v="and Sons Morales"/>
    <x v="4"/>
    <n v="41723.047848739297"/>
    <n v="363"/>
    <x v="2"/>
    <d v="2022-11-01T00:00:00"/>
    <s v="Penicillin"/>
    <x v="1"/>
    <s v="High"/>
    <s v="Under Treatment"/>
    <s v="High Risk"/>
    <x v="3"/>
  </r>
  <r>
    <x v="1763"/>
    <n v="18"/>
    <x v="0"/>
    <s v="O-"/>
    <x v="5"/>
    <d v="2021-06-20T00:00:00"/>
    <x v="1744"/>
    <s v="and Spencer Johnson Lewis,"/>
    <x v="0"/>
    <n v="1539.61129671658"/>
    <n v="238"/>
    <x v="2"/>
    <d v="2021-06-28T00:00:00"/>
    <s v="Aspirin"/>
    <x v="2"/>
    <s v="Low"/>
    <s v="Under Treatment"/>
    <s v="High Risk"/>
    <x v="4"/>
  </r>
  <r>
    <x v="1764"/>
    <n v="75"/>
    <x v="1"/>
    <s v="O-"/>
    <x v="4"/>
    <d v="2020-08-27T00:00:00"/>
    <x v="1745"/>
    <s v="Shepherd-Mitchell"/>
    <x v="4"/>
    <n v="8631.9410779243299"/>
    <n v="152"/>
    <x v="0"/>
    <d v="2020-09-04T00:00:00"/>
    <s v="Penicillin"/>
    <x v="1"/>
    <s v="Medium"/>
    <s v="Under Treatment"/>
    <s v="High Risk"/>
    <x v="2"/>
  </r>
  <r>
    <x v="1765"/>
    <n v="64"/>
    <x v="1"/>
    <s v="O-"/>
    <x v="2"/>
    <d v="2023-04-08T00:00:00"/>
    <x v="1746"/>
    <s v="LLC Aguilar"/>
    <x v="3"/>
    <n v="44097.996065537598"/>
    <n v="329"/>
    <x v="0"/>
    <d v="2023-04-21T00:00:00"/>
    <s v="Lipitor"/>
    <x v="2"/>
    <s v="High"/>
    <s v="Under Treatment"/>
    <s v="High Risk"/>
    <x v="1"/>
  </r>
  <r>
    <x v="1766"/>
    <n v="72"/>
    <x v="1"/>
    <s v="B+"/>
    <x v="5"/>
    <d v="2024-01-12T00:00:00"/>
    <x v="1747"/>
    <s v="Inc Roberts"/>
    <x v="2"/>
    <n v="11584.044409939201"/>
    <n v="181"/>
    <x v="1"/>
    <d v="2024-01-17T00:00:00"/>
    <s v="Lipitor"/>
    <x v="0"/>
    <s v="Medium"/>
    <s v="Under Treatment"/>
    <s v="High Risk"/>
    <x v="2"/>
  </r>
  <r>
    <x v="1767"/>
    <n v="68"/>
    <x v="0"/>
    <s v="O+"/>
    <x v="1"/>
    <d v="2023-09-17T00:00:00"/>
    <x v="1748"/>
    <s v="Thompson PLC"/>
    <x v="4"/>
    <n v="43462.814126202298"/>
    <n v="290"/>
    <x v="2"/>
    <d v="2023-09-19T00:00:00"/>
    <s v="Aspirin"/>
    <x v="2"/>
    <s v="High"/>
    <s v="Under Treatment"/>
    <s v="High Risk"/>
    <x v="2"/>
  </r>
  <r>
    <x v="1768"/>
    <n v="48"/>
    <x v="1"/>
    <s v="AB-"/>
    <x v="5"/>
    <d v="2019-07-18T00:00:00"/>
    <x v="1749"/>
    <s v="and Johnston Sons"/>
    <x v="2"/>
    <n v="19086.6625008792"/>
    <n v="120"/>
    <x v="0"/>
    <d v="2019-07-31T00:00:00"/>
    <s v="Lipitor"/>
    <x v="1"/>
    <s v="High"/>
    <s v="Under Treatment"/>
    <s v="High Risk"/>
    <x v="3"/>
  </r>
  <r>
    <x v="1769"/>
    <n v="39"/>
    <x v="1"/>
    <s v="O-"/>
    <x v="3"/>
    <d v="2022-01-01T00:00:00"/>
    <x v="1750"/>
    <s v="Ochoa LLC"/>
    <x v="3"/>
    <n v="39637.606969307497"/>
    <n v="227"/>
    <x v="0"/>
    <d v="2022-01-10T00:00:00"/>
    <s v="Paracetamol"/>
    <x v="1"/>
    <s v="High"/>
    <s v="Under Treatment"/>
    <s v="High Risk"/>
    <x v="3"/>
  </r>
  <r>
    <x v="1770"/>
    <n v="43"/>
    <x v="0"/>
    <s v="A+"/>
    <x v="3"/>
    <d v="2021-09-03T00:00:00"/>
    <x v="1751"/>
    <s v="and Garcia, Steele Christensen"/>
    <x v="2"/>
    <n v="39417.573247124601"/>
    <n v="429"/>
    <x v="1"/>
    <d v="2021-10-03T00:00:00"/>
    <s v="Penicillin"/>
    <x v="0"/>
    <s v="High"/>
    <s v="Under Treatment"/>
    <s v="High Risk"/>
    <x v="3"/>
  </r>
  <r>
    <x v="1771"/>
    <n v="26"/>
    <x v="0"/>
    <s v="AB-"/>
    <x v="0"/>
    <d v="2024-04-14T00:00:00"/>
    <x v="1752"/>
    <s v="PLC Perez"/>
    <x v="0"/>
    <n v="50459.9176137986"/>
    <n v="130"/>
    <x v="0"/>
    <d v="2024-04-22T00:00:00"/>
    <s v="Lipitor"/>
    <x v="0"/>
    <s v="High"/>
    <s v="Under Treatment"/>
    <s v="High Risk"/>
    <x v="0"/>
  </r>
  <r>
    <x v="1772"/>
    <n v="27"/>
    <x v="0"/>
    <s v="AB+"/>
    <x v="1"/>
    <d v="2022-05-15T00:00:00"/>
    <x v="1753"/>
    <s v="Smith-Lucas"/>
    <x v="1"/>
    <n v="24478.561236537498"/>
    <n v="452"/>
    <x v="0"/>
    <d v="2022-05-16T00:00:00"/>
    <s v="Lipitor"/>
    <x v="1"/>
    <s v="High"/>
    <s v="Under Treatment"/>
    <s v="High Risk"/>
    <x v="0"/>
  </r>
  <r>
    <x v="1773"/>
    <n v="47"/>
    <x v="0"/>
    <s v="B-"/>
    <x v="1"/>
    <d v="2022-05-23T00:00:00"/>
    <x v="1754"/>
    <s v="Smith-Davis"/>
    <x v="4"/>
    <n v="28405.274682395098"/>
    <n v="258"/>
    <x v="0"/>
    <d v="2022-06-22T00:00:00"/>
    <s v="Paracetamol"/>
    <x v="2"/>
    <s v="High"/>
    <s v="Under Treatment"/>
    <s v="High Risk"/>
    <x v="3"/>
  </r>
  <r>
    <x v="1774"/>
    <n v="66"/>
    <x v="1"/>
    <s v="O-"/>
    <x v="5"/>
    <d v="2021-10-26T00:00:00"/>
    <x v="1755"/>
    <s v="Ltd Li"/>
    <x v="0"/>
    <n v="8921.10984471148"/>
    <n v="428"/>
    <x v="0"/>
    <d v="2021-10-27T00:00:00"/>
    <s v="Aspirin"/>
    <x v="2"/>
    <s v="Medium"/>
    <s v="Under Treatment"/>
    <s v="High Risk"/>
    <x v="2"/>
  </r>
  <r>
    <x v="1775"/>
    <n v="52"/>
    <x v="0"/>
    <s v="A-"/>
    <x v="2"/>
    <d v="2022-03-26T00:00:00"/>
    <x v="1756"/>
    <s v="Wilson Group"/>
    <x v="0"/>
    <n v="21511.043619436601"/>
    <n v="149"/>
    <x v="1"/>
    <d v="2022-04-05T00:00:00"/>
    <s v="Ibuprofen"/>
    <x v="1"/>
    <s v="High"/>
    <s v="Under Treatment"/>
    <s v="High Risk"/>
    <x v="1"/>
  </r>
  <r>
    <x v="1776"/>
    <n v="47"/>
    <x v="0"/>
    <s v="A-"/>
    <x v="0"/>
    <d v="2021-12-04T00:00:00"/>
    <x v="1757"/>
    <s v="LLC Thomas"/>
    <x v="2"/>
    <n v="11657.307963482601"/>
    <n v="102"/>
    <x v="0"/>
    <d v="2021-12-06T00:00:00"/>
    <s v="Paracetamol"/>
    <x v="2"/>
    <s v="Medium"/>
    <s v="Under Treatment"/>
    <s v="High Risk"/>
    <x v="3"/>
  </r>
  <r>
    <x v="1777"/>
    <n v="53"/>
    <x v="0"/>
    <s v="A-"/>
    <x v="2"/>
    <d v="2022-09-02T00:00:00"/>
    <x v="1758"/>
    <s v="Davis Williams and Oconnell,"/>
    <x v="1"/>
    <n v="6760.6627330792298"/>
    <n v="104"/>
    <x v="1"/>
    <d v="2022-09-11T00:00:00"/>
    <s v="Paracetamol"/>
    <x v="0"/>
    <s v="Medium"/>
    <s v="Under Treatment"/>
    <s v="High Risk"/>
    <x v="1"/>
  </r>
  <r>
    <x v="1778"/>
    <n v="28"/>
    <x v="0"/>
    <s v="A-"/>
    <x v="2"/>
    <d v="2021-09-01T00:00:00"/>
    <x v="1759"/>
    <s v="and Pratt Brown Thomas,"/>
    <x v="0"/>
    <n v="7994.8600685421397"/>
    <n v="154"/>
    <x v="0"/>
    <d v="2021-10-01T00:00:00"/>
    <s v="Paracetamol"/>
    <x v="0"/>
    <s v="Medium"/>
    <s v="Under Treatment"/>
    <s v="High Risk"/>
    <x v="0"/>
  </r>
  <r>
    <x v="1779"/>
    <n v="76"/>
    <x v="0"/>
    <s v="A+"/>
    <x v="2"/>
    <d v="2020-09-25T00:00:00"/>
    <x v="1760"/>
    <s v="Walker-Jones"/>
    <x v="2"/>
    <n v="6586.96259219494"/>
    <n v="446"/>
    <x v="0"/>
    <d v="2020-10-23T00:00:00"/>
    <s v="Aspirin"/>
    <x v="1"/>
    <s v="Medium"/>
    <s v="Under Treatment"/>
    <s v="High Risk"/>
    <x v="2"/>
  </r>
  <r>
    <x v="1780"/>
    <n v="38"/>
    <x v="1"/>
    <s v="O-"/>
    <x v="4"/>
    <d v="2019-08-13T00:00:00"/>
    <x v="1761"/>
    <s v="Mcconnell-Brock"/>
    <x v="0"/>
    <n v="42048.2174495742"/>
    <n v="404"/>
    <x v="2"/>
    <d v="2019-09-03T00:00:00"/>
    <s v="Lipitor"/>
    <x v="0"/>
    <s v="High"/>
    <s v="Under Treatment"/>
    <s v="High Risk"/>
    <x v="3"/>
  </r>
  <r>
    <x v="1781"/>
    <n v="33"/>
    <x v="1"/>
    <s v="A-"/>
    <x v="3"/>
    <d v="2021-09-09T00:00:00"/>
    <x v="1762"/>
    <s v="Mitchell-Cline"/>
    <x v="1"/>
    <n v="8495.5523419925503"/>
    <n v="133"/>
    <x v="2"/>
    <d v="2021-09-28T00:00:00"/>
    <s v="Paracetamol"/>
    <x v="2"/>
    <s v="Medium"/>
    <s v="Under Treatment"/>
    <s v="High Risk"/>
    <x v="0"/>
  </r>
  <r>
    <x v="1782"/>
    <n v="63"/>
    <x v="1"/>
    <s v="AB-"/>
    <x v="1"/>
    <d v="2023-03-27T00:00:00"/>
    <x v="1763"/>
    <s v="Landry, Jones Marquez and"/>
    <x v="4"/>
    <n v="5376.8302606696898"/>
    <n v="299"/>
    <x v="0"/>
    <d v="2023-03-28T00:00:00"/>
    <s v="Aspirin"/>
    <x v="0"/>
    <s v="Medium"/>
    <s v="Under Treatment"/>
    <s v="High Risk"/>
    <x v="1"/>
  </r>
  <r>
    <x v="1783"/>
    <n v="52"/>
    <x v="1"/>
    <s v="A+"/>
    <x v="3"/>
    <d v="2021-10-17T00:00:00"/>
    <x v="1764"/>
    <s v="Lambert, and Joseph Holland"/>
    <x v="3"/>
    <n v="25087.391480064201"/>
    <n v="332"/>
    <x v="2"/>
    <d v="2021-11-14T00:00:00"/>
    <s v="Penicillin"/>
    <x v="1"/>
    <s v="High"/>
    <s v="Under Treatment"/>
    <s v="High Risk"/>
    <x v="1"/>
  </r>
  <r>
    <x v="1784"/>
    <n v="30"/>
    <x v="1"/>
    <s v="O+"/>
    <x v="3"/>
    <d v="2021-06-08T00:00:00"/>
    <x v="1765"/>
    <s v="Montes, Medina and Wilson"/>
    <x v="3"/>
    <n v="36769.4678870969"/>
    <n v="392"/>
    <x v="1"/>
    <d v="2021-06-30T00:00:00"/>
    <s v="Paracetamol"/>
    <x v="1"/>
    <s v="High"/>
    <s v="Under Treatment"/>
    <s v="High Risk"/>
    <x v="0"/>
  </r>
  <r>
    <x v="1785"/>
    <n v="27"/>
    <x v="0"/>
    <s v="B+"/>
    <x v="3"/>
    <d v="2022-09-09T00:00:00"/>
    <x v="1766"/>
    <s v="Schneider-Schwartz"/>
    <x v="0"/>
    <n v="37514.407845153502"/>
    <n v="169"/>
    <x v="0"/>
    <d v="2022-09-21T00:00:00"/>
    <s v="Paracetamol"/>
    <x v="1"/>
    <s v="High"/>
    <s v="Under Treatment"/>
    <s v="High Risk"/>
    <x v="0"/>
  </r>
  <r>
    <x v="1786"/>
    <n v="51"/>
    <x v="0"/>
    <s v="AB+"/>
    <x v="1"/>
    <d v="2022-11-23T00:00:00"/>
    <x v="1767"/>
    <s v="Ingram, Reed and Mason"/>
    <x v="4"/>
    <n v="10006.736704127399"/>
    <n v="302"/>
    <x v="2"/>
    <d v="2022-12-11T00:00:00"/>
    <s v="Lipitor"/>
    <x v="2"/>
    <s v="Medium"/>
    <s v="Under Treatment"/>
    <s v="High Risk"/>
    <x v="1"/>
  </r>
  <r>
    <x v="1787"/>
    <n v="43"/>
    <x v="1"/>
    <s v="AB+"/>
    <x v="3"/>
    <d v="2020-12-14T00:00:00"/>
    <x v="46"/>
    <s v="Shaw LLC"/>
    <x v="2"/>
    <n v="33048.927517253003"/>
    <n v="433"/>
    <x v="0"/>
    <d v="2020-12-26T00:00:00"/>
    <s v="Paracetamol"/>
    <x v="2"/>
    <s v="High"/>
    <s v="Under Treatment"/>
    <s v="High Risk"/>
    <x v="3"/>
  </r>
  <r>
    <x v="1788"/>
    <n v="55"/>
    <x v="1"/>
    <s v="B+"/>
    <x v="0"/>
    <d v="2023-08-05T00:00:00"/>
    <x v="1768"/>
    <s v="Young Inc"/>
    <x v="4"/>
    <n v="25094.2962124031"/>
    <n v="144"/>
    <x v="1"/>
    <d v="2023-09-02T00:00:00"/>
    <s v="Ibuprofen"/>
    <x v="2"/>
    <s v="High"/>
    <s v="Under Treatment"/>
    <s v="High Risk"/>
    <x v="1"/>
  </r>
  <r>
    <x v="1789"/>
    <n v="45"/>
    <x v="1"/>
    <s v="AB+"/>
    <x v="5"/>
    <d v="2023-10-19T00:00:00"/>
    <x v="1769"/>
    <s v="Porter-Mueller"/>
    <x v="2"/>
    <n v="2586.6243383778301"/>
    <n v="202"/>
    <x v="2"/>
    <d v="2023-11-18T00:00:00"/>
    <s v="Ibuprofen"/>
    <x v="1"/>
    <s v="Low"/>
    <s v="Under Treatment"/>
    <s v="High Risk"/>
    <x v="3"/>
  </r>
  <r>
    <x v="1790"/>
    <n v="29"/>
    <x v="1"/>
    <s v="AB-"/>
    <x v="5"/>
    <d v="2022-02-04T00:00:00"/>
    <x v="1770"/>
    <s v="Robles-Fry"/>
    <x v="3"/>
    <n v="8951.3810240730909"/>
    <n v="412"/>
    <x v="1"/>
    <d v="2022-03-02T00:00:00"/>
    <s v="Lipitor"/>
    <x v="0"/>
    <s v="Medium"/>
    <s v="Under Treatment"/>
    <s v="High Risk"/>
    <x v="0"/>
  </r>
  <r>
    <x v="1791"/>
    <n v="80"/>
    <x v="1"/>
    <s v="AB+"/>
    <x v="3"/>
    <d v="2021-05-27T00:00:00"/>
    <x v="1771"/>
    <s v="Thompson-Lamb"/>
    <x v="1"/>
    <n v="34072.350413662098"/>
    <n v="219"/>
    <x v="0"/>
    <d v="2021-05-29T00:00:00"/>
    <s v="Penicillin"/>
    <x v="0"/>
    <s v="High"/>
    <s v="Under Treatment"/>
    <s v="High Risk"/>
    <x v="2"/>
  </r>
  <r>
    <x v="1792"/>
    <n v="83"/>
    <x v="0"/>
    <s v="A+"/>
    <x v="4"/>
    <d v="2021-09-11T00:00:00"/>
    <x v="1772"/>
    <s v="and Mora Galloway Aguirre,"/>
    <x v="0"/>
    <n v="22861.191028751899"/>
    <n v="228"/>
    <x v="0"/>
    <d v="2021-09-14T00:00:00"/>
    <s v="Aspirin"/>
    <x v="1"/>
    <s v="High"/>
    <s v="Under Treatment"/>
    <s v="High Risk"/>
    <x v="2"/>
  </r>
  <r>
    <x v="1793"/>
    <n v="45"/>
    <x v="1"/>
    <s v="AB+"/>
    <x v="1"/>
    <d v="2020-11-26T00:00:00"/>
    <x v="1773"/>
    <s v="Maddox-Sanchez"/>
    <x v="0"/>
    <n v="29844.494307471701"/>
    <n v="321"/>
    <x v="1"/>
    <d v="2020-12-06T00:00:00"/>
    <s v="Penicillin"/>
    <x v="0"/>
    <s v="High"/>
    <s v="Under Treatment"/>
    <s v="High Risk"/>
    <x v="3"/>
  </r>
  <r>
    <x v="1794"/>
    <n v="27"/>
    <x v="0"/>
    <s v="AB-"/>
    <x v="0"/>
    <d v="2019-09-25T00:00:00"/>
    <x v="1774"/>
    <s v="Boyd-Keith"/>
    <x v="0"/>
    <n v="11437.321300973899"/>
    <n v="395"/>
    <x v="0"/>
    <d v="2019-10-07T00:00:00"/>
    <s v="Ibuprofen"/>
    <x v="2"/>
    <s v="Medium"/>
    <s v="Under Treatment"/>
    <s v="High Risk"/>
    <x v="0"/>
  </r>
  <r>
    <x v="1795"/>
    <n v="66"/>
    <x v="0"/>
    <s v="B+"/>
    <x v="0"/>
    <d v="2024-01-25T00:00:00"/>
    <x v="1775"/>
    <s v="Rocha-Perez"/>
    <x v="2"/>
    <n v="12652.086831102901"/>
    <n v="342"/>
    <x v="2"/>
    <d v="2024-01-29T00:00:00"/>
    <s v="Ibuprofen"/>
    <x v="0"/>
    <s v="Medium"/>
    <s v="Under Treatment"/>
    <s v="High Risk"/>
    <x v="2"/>
  </r>
  <r>
    <x v="1796"/>
    <n v="63"/>
    <x v="0"/>
    <s v="B+"/>
    <x v="3"/>
    <d v="2021-06-17T00:00:00"/>
    <x v="1776"/>
    <s v="Ltd Spencer"/>
    <x v="2"/>
    <n v="23276.994789415701"/>
    <n v="140"/>
    <x v="1"/>
    <d v="2021-06-18T00:00:00"/>
    <s v="Aspirin"/>
    <x v="1"/>
    <s v="High"/>
    <s v="Under Treatment"/>
    <s v="High Risk"/>
    <x v="1"/>
  </r>
  <r>
    <x v="1797"/>
    <n v="52"/>
    <x v="0"/>
    <s v="A+"/>
    <x v="3"/>
    <d v="2021-12-27T00:00:00"/>
    <x v="1777"/>
    <s v="Cruz-Hayes"/>
    <x v="3"/>
    <n v="3201.8099760156701"/>
    <n v="167"/>
    <x v="1"/>
    <d v="2021-12-29T00:00:00"/>
    <s v="Aspirin"/>
    <x v="2"/>
    <s v="Low"/>
    <s v="Under Treatment"/>
    <s v="High Risk"/>
    <x v="1"/>
  </r>
  <r>
    <x v="1798"/>
    <n v="66"/>
    <x v="0"/>
    <s v="B-"/>
    <x v="2"/>
    <d v="2020-03-26T00:00:00"/>
    <x v="1778"/>
    <s v="Robbins Bishop and Hodge,"/>
    <x v="1"/>
    <n v="34188.597675824501"/>
    <n v="131"/>
    <x v="1"/>
    <d v="2020-04-01T00:00:00"/>
    <s v="Lipitor"/>
    <x v="1"/>
    <s v="High"/>
    <s v="Under Treatment"/>
    <s v="High Risk"/>
    <x v="2"/>
  </r>
  <r>
    <x v="1799"/>
    <n v="42"/>
    <x v="0"/>
    <s v="O-"/>
    <x v="1"/>
    <d v="2024-02-02T00:00:00"/>
    <x v="1779"/>
    <s v="Sons Lee and"/>
    <x v="3"/>
    <n v="35483.298010153499"/>
    <n v="124"/>
    <x v="2"/>
    <d v="2024-02-21T00:00:00"/>
    <s v="Lipitor"/>
    <x v="0"/>
    <s v="High"/>
    <s v="Under Treatment"/>
    <s v="High Risk"/>
    <x v="3"/>
  </r>
  <r>
    <x v="1800"/>
    <n v="79"/>
    <x v="1"/>
    <s v="O-"/>
    <x v="2"/>
    <d v="2021-04-09T00:00:00"/>
    <x v="1780"/>
    <s v="Bell-Ramos"/>
    <x v="3"/>
    <n v="24512.330721143298"/>
    <n v="407"/>
    <x v="2"/>
    <d v="2021-04-30T00:00:00"/>
    <s v="Penicillin"/>
    <x v="0"/>
    <s v="High"/>
    <s v="Under Treatment"/>
    <s v="High Risk"/>
    <x v="2"/>
  </r>
  <r>
    <x v="1801"/>
    <n v="60"/>
    <x v="0"/>
    <s v="AB+"/>
    <x v="0"/>
    <d v="2020-11-07T00:00:00"/>
    <x v="1781"/>
    <s v="Romero Calhoun, and Valencia"/>
    <x v="2"/>
    <n v="11201.9598085581"/>
    <n v="382"/>
    <x v="1"/>
    <d v="2020-11-28T00:00:00"/>
    <s v="Paracetamol"/>
    <x v="1"/>
    <s v="Medium"/>
    <s v="Under Treatment"/>
    <s v="High Risk"/>
    <x v="1"/>
  </r>
  <r>
    <x v="1802"/>
    <n v="72"/>
    <x v="1"/>
    <s v="A-"/>
    <x v="0"/>
    <d v="2024-04-04T00:00:00"/>
    <x v="1782"/>
    <s v="Kaufman and Thomas Diaz,"/>
    <x v="3"/>
    <n v="26921.985624403002"/>
    <n v="304"/>
    <x v="1"/>
    <d v="2024-04-30T00:00:00"/>
    <s v="Lipitor"/>
    <x v="0"/>
    <s v="High"/>
    <s v="Under Treatment"/>
    <s v="High Risk"/>
    <x v="2"/>
  </r>
  <r>
    <x v="1803"/>
    <n v="77"/>
    <x v="1"/>
    <s v="AB+"/>
    <x v="5"/>
    <d v="2022-10-02T00:00:00"/>
    <x v="1783"/>
    <s v="Sons and Brennan"/>
    <x v="4"/>
    <n v="18046.406001748299"/>
    <n v="444"/>
    <x v="1"/>
    <d v="2022-10-23T00:00:00"/>
    <s v="Lipitor"/>
    <x v="1"/>
    <s v="High"/>
    <s v="Under Treatment"/>
    <s v="High Risk"/>
    <x v="2"/>
  </r>
  <r>
    <x v="1804"/>
    <n v="26"/>
    <x v="1"/>
    <s v="AB+"/>
    <x v="4"/>
    <d v="2019-05-25T00:00:00"/>
    <x v="1784"/>
    <s v="Pham Clayton Gardner, and"/>
    <x v="0"/>
    <n v="13952.4845480846"/>
    <n v="267"/>
    <x v="1"/>
    <d v="2019-06-05T00:00:00"/>
    <s v="Paracetamol"/>
    <x v="2"/>
    <s v="Medium"/>
    <s v="Under Treatment"/>
    <s v="High Risk"/>
    <x v="0"/>
  </r>
  <r>
    <x v="1805"/>
    <n v="24"/>
    <x v="1"/>
    <s v="B+"/>
    <x v="2"/>
    <d v="2023-03-28T00:00:00"/>
    <x v="1785"/>
    <s v="Garner-Rowland"/>
    <x v="2"/>
    <n v="26860.211342292099"/>
    <n v="109"/>
    <x v="2"/>
    <d v="2023-04-03T00:00:00"/>
    <s v="Penicillin"/>
    <x v="0"/>
    <s v="High"/>
    <s v="Under Treatment"/>
    <s v="High Risk"/>
    <x v="0"/>
  </r>
  <r>
    <x v="1806"/>
    <n v="18"/>
    <x v="1"/>
    <s v="AB+"/>
    <x v="2"/>
    <d v="2020-04-02T00:00:00"/>
    <x v="1786"/>
    <s v="Davis Group"/>
    <x v="0"/>
    <n v="22066.457139374001"/>
    <n v="298"/>
    <x v="1"/>
    <d v="2020-04-27T00:00:00"/>
    <s v="Paracetamol"/>
    <x v="0"/>
    <s v="High"/>
    <s v="Under Treatment"/>
    <s v="High Risk"/>
    <x v="4"/>
  </r>
  <r>
    <x v="1807"/>
    <n v="30"/>
    <x v="0"/>
    <s v="A+"/>
    <x v="3"/>
    <d v="2022-02-21T00:00:00"/>
    <x v="1787"/>
    <s v="PLC Miller"/>
    <x v="3"/>
    <n v="17128.056417010299"/>
    <n v="171"/>
    <x v="1"/>
    <d v="2022-02-28T00:00:00"/>
    <s v="Lipitor"/>
    <x v="0"/>
    <s v="High"/>
    <s v="Under Treatment"/>
    <s v="High Risk"/>
    <x v="0"/>
  </r>
  <r>
    <x v="1808"/>
    <n v="71"/>
    <x v="0"/>
    <s v="A+"/>
    <x v="4"/>
    <d v="2019-09-28T00:00:00"/>
    <x v="1788"/>
    <s v="Mcguire, and James Adams"/>
    <x v="1"/>
    <n v="46539.4378084376"/>
    <n v="423"/>
    <x v="0"/>
    <d v="2019-10-27T00:00:00"/>
    <s v="Aspirin"/>
    <x v="2"/>
    <s v="High"/>
    <s v="Under Treatment"/>
    <s v="High Risk"/>
    <x v="2"/>
  </r>
  <r>
    <x v="1809"/>
    <n v="47"/>
    <x v="1"/>
    <s v="O+"/>
    <x v="2"/>
    <d v="2021-02-06T00:00:00"/>
    <x v="1789"/>
    <s v="PLC Patton"/>
    <x v="1"/>
    <n v="15981.0970163121"/>
    <n v="470"/>
    <x v="0"/>
    <d v="2021-02-24T00:00:00"/>
    <s v="Lipitor"/>
    <x v="0"/>
    <s v="High"/>
    <s v="Under Treatment"/>
    <s v="High Risk"/>
    <x v="3"/>
  </r>
  <r>
    <x v="1810"/>
    <n v="63"/>
    <x v="0"/>
    <s v="AB+"/>
    <x v="3"/>
    <d v="2020-02-16T00:00:00"/>
    <x v="1790"/>
    <s v="Mcguire-Jones"/>
    <x v="4"/>
    <n v="40071.509711246501"/>
    <n v="159"/>
    <x v="2"/>
    <d v="2020-03-07T00:00:00"/>
    <s v="Penicillin"/>
    <x v="0"/>
    <s v="High"/>
    <s v="Under Treatment"/>
    <s v="High Risk"/>
    <x v="1"/>
  </r>
  <r>
    <x v="1811"/>
    <n v="18"/>
    <x v="1"/>
    <s v="B+"/>
    <x v="0"/>
    <d v="2021-07-22T00:00:00"/>
    <x v="1791"/>
    <s v="Ltd Bell"/>
    <x v="1"/>
    <n v="28975.6264269204"/>
    <n v="488"/>
    <x v="0"/>
    <d v="2021-08-17T00:00:00"/>
    <s v="Ibuprofen"/>
    <x v="2"/>
    <s v="High"/>
    <s v="Under Treatment"/>
    <s v="High Risk"/>
    <x v="4"/>
  </r>
  <r>
    <x v="1812"/>
    <n v="50"/>
    <x v="0"/>
    <s v="B-"/>
    <x v="1"/>
    <d v="2020-10-29T00:00:00"/>
    <x v="1792"/>
    <s v="and Gomez Jones Campbell,"/>
    <x v="0"/>
    <n v="9235.2550046567394"/>
    <n v="476"/>
    <x v="0"/>
    <d v="2020-11-21T00:00:00"/>
    <s v="Penicillin"/>
    <x v="0"/>
    <s v="Medium"/>
    <s v="Under Treatment"/>
    <s v="High Risk"/>
    <x v="3"/>
  </r>
  <r>
    <x v="1813"/>
    <n v="29"/>
    <x v="1"/>
    <s v="A-"/>
    <x v="5"/>
    <d v="2019-06-29T00:00:00"/>
    <x v="1793"/>
    <s v="Baker PLC"/>
    <x v="3"/>
    <n v="4569.7333059809398"/>
    <n v="376"/>
    <x v="0"/>
    <d v="2019-07-17T00:00:00"/>
    <s v="Lipitor"/>
    <x v="1"/>
    <s v="Low"/>
    <s v="Under Treatment"/>
    <s v="High Risk"/>
    <x v="0"/>
  </r>
  <r>
    <x v="1814"/>
    <n v="19"/>
    <x v="0"/>
    <s v="A+"/>
    <x v="3"/>
    <d v="2019-10-07T00:00:00"/>
    <x v="1794"/>
    <s v="Bailey-Vaughn"/>
    <x v="3"/>
    <n v="18100.433078296301"/>
    <n v="201"/>
    <x v="0"/>
    <d v="2019-10-26T00:00:00"/>
    <s v="Lipitor"/>
    <x v="0"/>
    <s v="High"/>
    <s v="Under Treatment"/>
    <s v="High Risk"/>
    <x v="0"/>
  </r>
  <r>
    <x v="1815"/>
    <n v="83"/>
    <x v="0"/>
    <s v="O+"/>
    <x v="4"/>
    <d v="2022-11-30T00:00:00"/>
    <x v="1795"/>
    <s v="Smith-Jones"/>
    <x v="3"/>
    <n v="15546.283962134001"/>
    <n v="279"/>
    <x v="0"/>
    <d v="2022-12-15T00:00:00"/>
    <s v="Ibuprofen"/>
    <x v="1"/>
    <s v="High"/>
    <s v="Under Treatment"/>
    <s v="High Risk"/>
    <x v="2"/>
  </r>
  <r>
    <x v="1816"/>
    <n v="77"/>
    <x v="0"/>
    <s v="O+"/>
    <x v="3"/>
    <d v="2023-03-05T00:00:00"/>
    <x v="1796"/>
    <s v="James, Peterson Jackson and"/>
    <x v="4"/>
    <n v="36273.7035525631"/>
    <n v="360"/>
    <x v="1"/>
    <d v="2023-04-03T00:00:00"/>
    <s v="Aspirin"/>
    <x v="1"/>
    <s v="High"/>
    <s v="Under Treatment"/>
    <s v="High Risk"/>
    <x v="2"/>
  </r>
  <r>
    <x v="1817"/>
    <n v="82"/>
    <x v="0"/>
    <s v="AB+"/>
    <x v="0"/>
    <d v="2024-04-02T00:00:00"/>
    <x v="1797"/>
    <s v="and Greene Hall, Bennett"/>
    <x v="0"/>
    <n v="32004.820772266201"/>
    <n v="279"/>
    <x v="1"/>
    <d v="2024-04-12T00:00:00"/>
    <s v="Lipitor"/>
    <x v="0"/>
    <s v="High"/>
    <s v="Under Treatment"/>
    <s v="High Risk"/>
    <x v="2"/>
  </r>
  <r>
    <x v="1818"/>
    <n v="74"/>
    <x v="0"/>
    <s v="O+"/>
    <x v="4"/>
    <d v="2023-04-29T00:00:00"/>
    <x v="1798"/>
    <s v="and Williamson Barnes Johnson,"/>
    <x v="4"/>
    <n v="42505.203990775699"/>
    <n v="235"/>
    <x v="2"/>
    <d v="2023-05-27T00:00:00"/>
    <s v="Lipitor"/>
    <x v="2"/>
    <s v="High"/>
    <s v="Under Treatment"/>
    <s v="High Risk"/>
    <x v="2"/>
  </r>
  <r>
    <x v="1819"/>
    <n v="64"/>
    <x v="0"/>
    <s v="AB+"/>
    <x v="0"/>
    <d v="2019-06-27T00:00:00"/>
    <x v="1799"/>
    <s v="and Webb Wheeler Fisher,"/>
    <x v="3"/>
    <n v="18664.3731111009"/>
    <n v="496"/>
    <x v="2"/>
    <d v="2019-07-22T00:00:00"/>
    <s v="Ibuprofen"/>
    <x v="0"/>
    <s v="High"/>
    <s v="Under Treatment"/>
    <s v="High Risk"/>
    <x v="1"/>
  </r>
  <r>
    <x v="1820"/>
    <n v="67"/>
    <x v="0"/>
    <s v="O+"/>
    <x v="2"/>
    <d v="2023-02-27T00:00:00"/>
    <x v="1800"/>
    <s v="Smith-Schneider"/>
    <x v="4"/>
    <n v="13676.1092819599"/>
    <n v="154"/>
    <x v="1"/>
    <d v="2023-03-21T00:00:00"/>
    <s v="Ibuprofen"/>
    <x v="0"/>
    <s v="Medium"/>
    <s v="Under Treatment"/>
    <s v="High Risk"/>
    <x v="2"/>
  </r>
  <r>
    <x v="1821"/>
    <n v="78"/>
    <x v="0"/>
    <s v="B+"/>
    <x v="2"/>
    <d v="2023-12-22T00:00:00"/>
    <x v="1801"/>
    <s v="PLC Boyer"/>
    <x v="3"/>
    <n v="12650.365030703701"/>
    <n v="368"/>
    <x v="1"/>
    <d v="2024-01-17T00:00:00"/>
    <s v="Lipitor"/>
    <x v="1"/>
    <s v="Medium"/>
    <s v="Under Treatment"/>
    <s v="High Risk"/>
    <x v="2"/>
  </r>
  <r>
    <x v="1822"/>
    <n v="63"/>
    <x v="0"/>
    <s v="A+"/>
    <x v="2"/>
    <d v="2022-02-18T00:00:00"/>
    <x v="1802"/>
    <s v="Hernandez and Randolph, Butler"/>
    <x v="0"/>
    <n v="17255.789902997702"/>
    <n v="387"/>
    <x v="0"/>
    <d v="2022-03-16T00:00:00"/>
    <s v="Lipitor"/>
    <x v="2"/>
    <s v="High"/>
    <s v="Under Treatment"/>
    <s v="High Risk"/>
    <x v="1"/>
  </r>
  <r>
    <x v="1823"/>
    <n v="38"/>
    <x v="0"/>
    <s v="A+"/>
    <x v="2"/>
    <d v="2024-01-26T00:00:00"/>
    <x v="1803"/>
    <s v="Sons Frazier and"/>
    <x v="2"/>
    <n v="31905.4803692471"/>
    <n v="180"/>
    <x v="2"/>
    <d v="2024-02-07T00:00:00"/>
    <s v="Aspirin"/>
    <x v="1"/>
    <s v="High"/>
    <s v="Under Treatment"/>
    <s v="High Risk"/>
    <x v="3"/>
  </r>
  <r>
    <x v="1824"/>
    <n v="59"/>
    <x v="1"/>
    <s v="A+"/>
    <x v="1"/>
    <d v="2019-05-31T00:00:00"/>
    <x v="1804"/>
    <s v="Brown-Hall"/>
    <x v="3"/>
    <n v="24014.590500122202"/>
    <n v="307"/>
    <x v="0"/>
    <d v="2019-06-11T00:00:00"/>
    <s v="Lipitor"/>
    <x v="1"/>
    <s v="High"/>
    <s v="Under Treatment"/>
    <s v="High Risk"/>
    <x v="1"/>
  </r>
  <r>
    <x v="1825"/>
    <n v="84"/>
    <x v="1"/>
    <s v="O+"/>
    <x v="1"/>
    <d v="2023-10-12T00:00:00"/>
    <x v="1805"/>
    <s v="Bell-Cannon"/>
    <x v="4"/>
    <n v="22900.084749282501"/>
    <n v="241"/>
    <x v="0"/>
    <d v="2023-11-05T00:00:00"/>
    <s v="Lipitor"/>
    <x v="2"/>
    <s v="High"/>
    <s v="Under Treatment"/>
    <s v="High Risk"/>
    <x v="2"/>
  </r>
  <r>
    <x v="1826"/>
    <n v="85"/>
    <x v="1"/>
    <s v="O+"/>
    <x v="5"/>
    <d v="2021-03-14T00:00:00"/>
    <x v="1806"/>
    <s v="and Robinson Clark Davenport,"/>
    <x v="3"/>
    <n v="9643.5802905099499"/>
    <n v="319"/>
    <x v="0"/>
    <d v="2021-03-28T00:00:00"/>
    <s v="Lipitor"/>
    <x v="1"/>
    <s v="Medium"/>
    <s v="Under Treatment"/>
    <s v="High Risk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0E672-9798-4F53-83AC-9372167E262D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17:F22" firstHeaderRow="1" firstDataRow="1" firstDataCol="1"/>
  <pivotFields count="19"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6">
        <item x="2"/>
        <item x="0"/>
        <item x="4"/>
        <item x="1"/>
        <item x="3"/>
        <item t="default"/>
      </items>
    </pivotField>
    <pivotField dataField="1" numFmtId="2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Billing Amount" fld="9" baseField="8" baseItem="0" numFmtId="16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D44B8-B620-4B3E-85D9-F57BD8E8F03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7:C12" firstHeaderRow="1" firstDataRow="1" firstDataCol="1"/>
  <pivotFields count="19">
    <pivotField dataField="1" showAll="0">
      <items count="1828">
        <item x="407"/>
        <item x="537"/>
        <item x="11"/>
        <item x="886"/>
        <item x="1211"/>
        <item x="605"/>
        <item x="1673"/>
        <item x="1535"/>
        <item x="1073"/>
        <item x="769"/>
        <item x="75"/>
        <item x="4"/>
        <item x="129"/>
        <item x="1654"/>
        <item x="716"/>
        <item x="809"/>
        <item x="217"/>
        <item x="404"/>
        <item x="1398"/>
        <item x="402"/>
        <item x="571"/>
        <item x="378"/>
        <item x="1760"/>
        <item x="911"/>
        <item x="574"/>
        <item x="1515"/>
        <item x="602"/>
        <item x="1660"/>
        <item x="1787"/>
        <item x="936"/>
        <item x="140"/>
        <item x="1771"/>
        <item x="1585"/>
        <item x="1628"/>
        <item x="1637"/>
        <item x="1404"/>
        <item x="578"/>
        <item x="567"/>
        <item x="496"/>
        <item x="170"/>
        <item x="1243"/>
        <item x="1036"/>
        <item x="318"/>
        <item x="1590"/>
        <item x="1392"/>
        <item x="1198"/>
        <item x="1260"/>
        <item x="561"/>
        <item x="1428"/>
        <item x="1707"/>
        <item x="757"/>
        <item x="159"/>
        <item x="579"/>
        <item x="1430"/>
        <item x="1018"/>
        <item x="718"/>
        <item x="260"/>
        <item x="997"/>
        <item x="690"/>
        <item x="640"/>
        <item x="1527"/>
        <item x="1151"/>
        <item x="1164"/>
        <item x="722"/>
        <item x="848"/>
        <item x="1081"/>
        <item x="346"/>
        <item x="1606"/>
        <item x="1757"/>
        <item x="1574"/>
        <item x="867"/>
        <item x="1369"/>
        <item x="1295"/>
        <item x="1512"/>
        <item x="988"/>
        <item x="497"/>
        <item x="410"/>
        <item x="1313"/>
        <item x="342"/>
        <item x="1607"/>
        <item x="1682"/>
        <item x="701"/>
        <item x="212"/>
        <item x="1491"/>
        <item x="664"/>
        <item x="382"/>
        <item x="1269"/>
        <item x="273"/>
        <item x="921"/>
        <item x="899"/>
        <item x="1593"/>
        <item x="744"/>
        <item x="1062"/>
        <item x="1230"/>
        <item x="1312"/>
        <item x="1450"/>
        <item x="1441"/>
        <item x="1672"/>
        <item x="1271"/>
        <item x="986"/>
        <item x="3"/>
        <item x="582"/>
        <item x="285"/>
        <item x="1153"/>
        <item x="523"/>
        <item x="892"/>
        <item x="907"/>
        <item x="670"/>
        <item x="1640"/>
        <item x="740"/>
        <item x="464"/>
        <item x="871"/>
        <item x="1373"/>
        <item x="1189"/>
        <item x="1007"/>
        <item x="1187"/>
        <item x="425"/>
        <item x="1407"/>
        <item x="1197"/>
        <item x="240"/>
        <item x="487"/>
        <item x="307"/>
        <item x="428"/>
        <item x="95"/>
        <item x="520"/>
        <item x="969"/>
        <item x="1377"/>
        <item x="1754"/>
        <item x="295"/>
        <item x="1335"/>
        <item x="1109"/>
        <item x="461"/>
        <item x="266"/>
        <item x="1257"/>
        <item x="1779"/>
        <item x="989"/>
        <item x="1677"/>
        <item x="1429"/>
        <item x="505"/>
        <item x="1226"/>
        <item x="123"/>
        <item x="1548"/>
        <item x="1674"/>
        <item x="1691"/>
        <item x="1689"/>
        <item x="1814"/>
        <item x="468"/>
        <item x="1263"/>
        <item x="76"/>
        <item x="135"/>
        <item x="1347"/>
        <item x="1383"/>
        <item x="872"/>
        <item x="127"/>
        <item x="283"/>
        <item x="59"/>
        <item x="745"/>
        <item x="1324"/>
        <item x="193"/>
        <item x="375"/>
        <item x="501"/>
        <item x="330"/>
        <item x="1171"/>
        <item x="1152"/>
        <item x="469"/>
        <item x="1478"/>
        <item x="1063"/>
        <item x="1090"/>
        <item x="1743"/>
        <item x="935"/>
        <item x="586"/>
        <item x="55"/>
        <item x="1687"/>
        <item x="1454"/>
        <item x="1809"/>
        <item x="1262"/>
        <item x="885"/>
        <item x="834"/>
        <item x="844"/>
        <item x="1483"/>
        <item x="0"/>
        <item x="983"/>
        <item x="294"/>
        <item x="253"/>
        <item x="735"/>
        <item x="1096"/>
        <item x="1425"/>
        <item x="1705"/>
        <item x="1131"/>
        <item x="360"/>
        <item x="1632"/>
        <item x="1015"/>
        <item x="703"/>
        <item x="1499"/>
        <item x="48"/>
        <item x="328"/>
        <item x="1422"/>
        <item x="1765"/>
        <item x="661"/>
        <item x="663"/>
        <item x="1796"/>
        <item x="1180"/>
        <item x="395"/>
        <item x="1142"/>
        <item x="1176"/>
        <item x="1006"/>
        <item x="434"/>
        <item x="952"/>
        <item x="1381"/>
        <item x="1272"/>
        <item x="681"/>
        <item x="764"/>
        <item x="1173"/>
        <item x="864"/>
        <item x="1506"/>
        <item x="1118"/>
        <item x="333"/>
        <item x="1040"/>
        <item x="1003"/>
        <item x="1106"/>
        <item x="506"/>
        <item x="628"/>
        <item x="1638"/>
        <item x="1522"/>
        <item x="596"/>
        <item x="1008"/>
        <item x="1700"/>
        <item x="1043"/>
        <item x="422"/>
        <item x="1355"/>
        <item x="995"/>
        <item x="649"/>
        <item x="595"/>
        <item x="775"/>
        <item x="805"/>
        <item x="1188"/>
        <item x="1158"/>
        <item x="397"/>
        <item x="14"/>
        <item x="673"/>
        <item x="163"/>
        <item x="1748"/>
        <item x="1440"/>
        <item x="1415"/>
        <item x="1052"/>
        <item x="1299"/>
        <item x="576"/>
        <item x="445"/>
        <item x="852"/>
        <item x="433"/>
        <item x="1078"/>
        <item x="1222"/>
        <item x="1563"/>
        <item x="1071"/>
        <item x="1341"/>
        <item x="336"/>
        <item x="1340"/>
        <item x="257"/>
        <item x="88"/>
        <item x="1488"/>
        <item x="477"/>
        <item x="1022"/>
        <item x="1552"/>
        <item x="1471"/>
        <item x="261"/>
        <item x="69"/>
        <item x="541"/>
        <item x="1610"/>
        <item x="695"/>
        <item x="524"/>
        <item x="1502"/>
        <item x="207"/>
        <item x="522"/>
        <item x="796"/>
        <item x="1650"/>
        <item x="538"/>
        <item x="435"/>
        <item x="36"/>
        <item x="1370"/>
        <item x="94"/>
        <item x="569"/>
        <item x="1206"/>
        <item x="1735"/>
        <item x="25"/>
        <item x="794"/>
        <item x="954"/>
        <item x="274"/>
        <item x="80"/>
        <item x="1524"/>
        <item x="818"/>
        <item x="1709"/>
        <item x="883"/>
        <item x="1146"/>
        <item x="481"/>
        <item x="1565"/>
        <item x="1053"/>
        <item x="1520"/>
        <item x="590"/>
        <item x="1577"/>
        <item x="1712"/>
        <item x="906"/>
        <item x="1289"/>
        <item x="1195"/>
        <item x="1041"/>
        <item x="1680"/>
        <item x="1636"/>
        <item x="949"/>
        <item x="46"/>
        <item x="940"/>
        <item x="918"/>
        <item x="990"/>
        <item x="391"/>
        <item x="157"/>
        <item x="178"/>
        <item x="173"/>
        <item x="7"/>
        <item x="606"/>
        <item x="106"/>
        <item x="1498"/>
        <item x="132"/>
        <item x="804"/>
        <item x="1756"/>
        <item x="350"/>
        <item x="1235"/>
        <item x="9"/>
        <item x="21"/>
        <item x="977"/>
        <item x="45"/>
        <item x="1279"/>
        <item x="413"/>
        <item x="280"/>
        <item x="1820"/>
        <item x="1736"/>
        <item x="65"/>
        <item x="981"/>
        <item x="641"/>
        <item x="1663"/>
        <item x="356"/>
        <item x="39"/>
        <item x="1413"/>
        <item x="1387"/>
        <item x="147"/>
        <item x="262"/>
        <item x="790"/>
        <item x="314"/>
        <item x="1223"/>
        <item x="916"/>
        <item x="1620"/>
        <item x="1354"/>
        <item x="1290"/>
        <item x="83"/>
        <item x="743"/>
        <item x="1138"/>
        <item x="303"/>
        <item x="659"/>
        <item x="1098"/>
        <item x="888"/>
        <item x="223"/>
        <item x="1270"/>
        <item x="1562"/>
        <item x="1653"/>
        <item x="1228"/>
        <item x="1203"/>
        <item x="234"/>
        <item x="107"/>
        <item x="1587"/>
        <item x="12"/>
        <item x="658"/>
        <item x="1635"/>
        <item x="710"/>
        <item x="424"/>
        <item x="1403"/>
        <item x="819"/>
        <item x="1283"/>
        <item x="272"/>
        <item x="122"/>
        <item x="1411"/>
        <item x="1163"/>
        <item x="873"/>
        <item x="1608"/>
        <item x="887"/>
        <item x="398"/>
        <item x="547"/>
        <item x="946"/>
        <item x="1627"/>
        <item x="980"/>
        <item x="1074"/>
        <item x="1141"/>
        <item x="1095"/>
        <item x="187"/>
        <item x="1826"/>
        <item x="712"/>
        <item x="1598"/>
        <item x="1112"/>
        <item x="361"/>
        <item x="1616"/>
        <item x="1625"/>
        <item x="1298"/>
        <item x="534"/>
        <item x="1460"/>
        <item x="979"/>
        <item x="1481"/>
        <item x="560"/>
        <item x="1599"/>
        <item x="1009"/>
        <item x="823"/>
        <item x="1475"/>
        <item x="635"/>
        <item x="515"/>
        <item x="252"/>
        <item x="1019"/>
        <item x="863"/>
        <item x="417"/>
        <item x="373"/>
        <item x="19"/>
        <item x="1417"/>
        <item x="629"/>
        <item x="791"/>
        <item x="236"/>
        <item x="1727"/>
        <item x="1798"/>
        <item x="2"/>
        <item x="583"/>
        <item x="1154"/>
        <item x="746"/>
        <item x="1328"/>
        <item x="444"/>
        <item x="1472"/>
        <item x="34"/>
        <item x="507"/>
        <item x="463"/>
        <item x="203"/>
        <item x="593"/>
        <item x="781"/>
        <item x="1026"/>
        <item x="1159"/>
        <item x="198"/>
        <item x="1764"/>
        <item x="937"/>
        <item x="1337"/>
        <item x="105"/>
        <item x="1761"/>
        <item x="572"/>
        <item x="1775"/>
        <item x="1362"/>
        <item x="919"/>
        <item x="608"/>
        <item x="1706"/>
        <item x="465"/>
        <item x="296"/>
        <item x="636"/>
        <item x="175"/>
        <item x="1452"/>
        <item x="1605"/>
        <item x="258"/>
        <item x="1311"/>
        <item x="1591"/>
        <item x="1805"/>
        <item x="1470"/>
        <item x="1676"/>
        <item x="1592"/>
        <item x="1030"/>
        <item x="857"/>
        <item x="1054"/>
        <item x="1281"/>
        <item x="1586"/>
        <item x="1698"/>
        <item x="927"/>
        <item x="825"/>
        <item x="1486"/>
        <item x="1247"/>
        <item x="573"/>
        <item x="1645"/>
        <item x="941"/>
        <item x="953"/>
        <item x="545"/>
        <item x="1619"/>
        <item x="1517"/>
        <item x="903"/>
        <item x="1049"/>
        <item x="126"/>
        <item x="35"/>
        <item x="754"/>
        <item x="431"/>
        <item x="1134"/>
        <item x="1254"/>
        <item x="528"/>
        <item x="268"/>
        <item x="1588"/>
        <item x="830"/>
        <item x="1001"/>
        <item x="1465"/>
        <item x="317"/>
        <item x="275"/>
        <item x="1622"/>
        <item x="352"/>
        <item x="1530"/>
        <item x="82"/>
        <item x="1385"/>
        <item x="77"/>
        <item x="1406"/>
        <item x="798"/>
        <item x="276"/>
        <item x="1359"/>
        <item x="304"/>
        <item x="780"/>
        <item x="762"/>
        <item x="278"/>
        <item x="1064"/>
        <item x="1664"/>
        <item x="902"/>
        <item x="1288"/>
        <item x="1772"/>
        <item x="1250"/>
        <item x="631"/>
        <item x="1670"/>
        <item x="1032"/>
        <item x="1701"/>
        <item x="910"/>
        <item x="1647"/>
        <item x="807"/>
        <item x="1753"/>
        <item x="613"/>
        <item x="23"/>
        <item x="1509"/>
        <item x="409"/>
        <item x="118"/>
        <item x="831"/>
        <item x="1815"/>
        <item x="1108"/>
        <item x="229"/>
        <item x="1177"/>
        <item x="1545"/>
        <item x="72"/>
        <item x="1539"/>
        <item x="1390"/>
        <item x="226"/>
        <item x="610"/>
        <item x="103"/>
        <item x="1781"/>
        <item x="811"/>
        <item x="600"/>
        <item x="1405"/>
        <item x="6"/>
        <item x="441"/>
        <item x="1282"/>
        <item x="1265"/>
        <item x="169"/>
        <item x="1683"/>
        <item x="880"/>
        <item x="829"/>
        <item x="1161"/>
        <item x="1107"/>
        <item x="1480"/>
        <item x="1025"/>
        <item x="1823"/>
        <item x="1285"/>
        <item x="895"/>
        <item x="1747"/>
        <item x="984"/>
        <item x="284"/>
        <item x="1516"/>
        <item x="728"/>
        <item x="509"/>
        <item x="894"/>
        <item x="1239"/>
        <item x="1768"/>
        <item x="736"/>
        <item x="1731"/>
        <item x="251"/>
        <item x="5"/>
        <item x="420"/>
        <item x="1641"/>
        <item x="1467"/>
        <item x="1667"/>
        <item x="1473"/>
        <item x="549"/>
        <item x="715"/>
        <item x="816"/>
        <item x="686"/>
        <item x="1178"/>
        <item x="644"/>
        <item x="1082"/>
        <item x="532"/>
        <item x="249"/>
        <item x="1050"/>
        <item x="245"/>
        <item x="1418"/>
        <item x="609"/>
        <item x="191"/>
        <item x="924"/>
        <item x="200"/>
        <item x="1329"/>
        <item x="408"/>
        <item x="68"/>
        <item x="1482"/>
        <item x="500"/>
        <item x="598"/>
        <item x="1594"/>
        <item x="1807"/>
        <item x="1397"/>
        <item x="726"/>
        <item x="625"/>
        <item x="1190"/>
        <item x="32"/>
        <item x="1028"/>
        <item x="1633"/>
        <item x="893"/>
        <item x="693"/>
        <item x="1388"/>
        <item x="1629"/>
        <item x="1037"/>
        <item x="853"/>
        <item x="1484"/>
        <item x="526"/>
        <item x="134"/>
        <item x="1155"/>
        <item x="403"/>
        <item x="729"/>
        <item x="1345"/>
        <item x="1583"/>
        <item x="947"/>
        <item x="439"/>
        <item x="1721"/>
        <item x="1304"/>
        <item x="313"/>
        <item x="1492"/>
        <item x="1669"/>
        <item x="623"/>
        <item x="967"/>
        <item x="344"/>
        <item x="975"/>
        <item x="1349"/>
        <item x="199"/>
        <item x="868"/>
        <item x="508"/>
        <item x="1493"/>
        <item x="376"/>
        <item x="1068"/>
        <item x="1547"/>
        <item x="1514"/>
        <item x="1123"/>
        <item x="1571"/>
        <item x="1644"/>
        <item x="16"/>
        <item x="1614"/>
        <item x="1533"/>
        <item x="727"/>
        <item x="1813"/>
        <item x="974"/>
        <item x="196"/>
        <item x="269"/>
        <item x="442"/>
        <item x="93"/>
        <item x="1717"/>
        <item x="371"/>
        <item x="214"/>
        <item x="1568"/>
        <item x="932"/>
        <item x="950"/>
        <item x="806"/>
        <item x="553"/>
        <item x="1133"/>
        <item x="821"/>
        <item x="308"/>
        <item x="215"/>
        <item x="102"/>
        <item x="842"/>
        <item x="1061"/>
        <item x="799"/>
        <item x="372"/>
        <item x="369"/>
        <item x="1242"/>
        <item x="1016"/>
        <item x="530"/>
        <item x="622"/>
        <item x="209"/>
        <item x="227"/>
        <item x="427"/>
        <item x="419"/>
        <item x="58"/>
        <item x="141"/>
        <item x="1423"/>
        <item x="815"/>
        <item x="1087"/>
        <item x="843"/>
        <item x="1604"/>
        <item x="457"/>
        <item x="180"/>
        <item x="446"/>
        <item x="1184"/>
        <item x="1658"/>
        <item x="601"/>
        <item x="368"/>
        <item x="340"/>
        <item x="1287"/>
        <item x="1759"/>
        <item x="293"/>
        <item x="412"/>
        <item x="758"/>
        <item x="926"/>
        <item x="1767"/>
        <item x="30"/>
        <item x="1817"/>
        <item x="353"/>
        <item x="114"/>
        <item x="1060"/>
        <item x="1375"/>
        <item x="354"/>
        <item x="638"/>
        <item x="1394"/>
        <item x="876"/>
        <item x="1256"/>
        <item x="1291"/>
        <item x="1541"/>
        <item x="1459"/>
        <item x="589"/>
        <item x="1227"/>
        <item x="1023"/>
        <item x="1790"/>
        <item x="1702"/>
        <item x="1561"/>
        <item x="1292"/>
        <item x="1750"/>
        <item x="621"/>
        <item x="1315"/>
        <item x="8"/>
        <item x="1439"/>
        <item x="1233"/>
        <item x="682"/>
        <item x="120"/>
        <item x="1319"/>
        <item x="1723"/>
        <item x="1110"/>
        <item x="1442"/>
        <item x="1352"/>
        <item x="405"/>
        <item x="384"/>
        <item x="1201"/>
        <item x="244"/>
        <item x="548"/>
        <item x="1630"/>
        <item x="881"/>
        <item x="551"/>
        <item x="1099"/>
        <item x="772"/>
        <item x="1357"/>
        <item x="970"/>
        <item x="1356"/>
        <item x="1044"/>
        <item x="218"/>
        <item x="645"/>
        <item x="869"/>
        <item x="117"/>
        <item x="154"/>
        <item x="1477"/>
        <item x="529"/>
        <item x="1144"/>
        <item x="627"/>
        <item x="849"/>
        <item x="1435"/>
        <item x="1374"/>
        <item x="882"/>
        <item x="965"/>
        <item x="1322"/>
        <item x="1600"/>
        <item x="734"/>
        <item x="838"/>
        <item x="731"/>
        <item x="146"/>
        <item x="559"/>
        <item x="1688"/>
        <item x="432"/>
        <item x="540"/>
        <item x="1523"/>
        <item x="1824"/>
        <item x="1124"/>
        <item x="724"/>
        <item x="1224"/>
        <item x="430"/>
        <item x="802"/>
        <item x="335"/>
        <item x="691"/>
        <item x="624"/>
        <item x="884"/>
        <item x="1055"/>
        <item x="570"/>
        <item x="51"/>
        <item x="694"/>
        <item x="904"/>
        <item x="826"/>
        <item x="145"/>
        <item x="711"/>
        <item x="1031"/>
        <item x="1569"/>
        <item x="517"/>
        <item x="480"/>
        <item x="653"/>
        <item x="1330"/>
        <item x="493"/>
        <item x="162"/>
        <item x="121"/>
        <item x="1785"/>
        <item x="491"/>
        <item x="64"/>
        <item x="929"/>
        <item x="662"/>
        <item x="130"/>
        <item x="1634"/>
        <item x="707"/>
        <item x="510"/>
        <item x="633"/>
        <item x="1113"/>
        <item x="925"/>
        <item x="1730"/>
        <item x="1784"/>
        <item x="301"/>
        <item x="797"/>
        <item x="1763"/>
        <item x="774"/>
        <item x="1508"/>
        <item x="1231"/>
        <item x="297"/>
        <item x="211"/>
        <item x="1649"/>
        <item x="1566"/>
        <item x="684"/>
        <item x="416"/>
        <item x="377"/>
        <item x="803"/>
        <item x="1344"/>
        <item x="1302"/>
        <item x="692"/>
        <item x="1391"/>
        <item x="1301"/>
        <item x="845"/>
        <item x="185"/>
        <item x="152"/>
        <item x="392"/>
        <item x="66"/>
        <item x="993"/>
        <item x="900"/>
        <item x="730"/>
        <item x="891"/>
        <item x="1297"/>
        <item x="898"/>
        <item x="751"/>
        <item x="224"/>
        <item x="74"/>
        <item x="931"/>
        <item x="1104"/>
        <item x="351"/>
        <item x="472"/>
        <item x="996"/>
        <item x="1202"/>
        <item x="1234"/>
        <item x="1621"/>
        <item x="1438"/>
        <item x="753"/>
        <item x="1220"/>
        <item x="930"/>
        <item x="875"/>
        <item x="1182"/>
        <item x="219"/>
        <item x="1080"/>
        <item x="618"/>
        <item x="1542"/>
        <item x="1445"/>
        <item x="685"/>
        <item x="73"/>
        <item x="966"/>
        <item x="680"/>
        <item x="1742"/>
        <item x="399"/>
        <item x="1575"/>
        <item x="343"/>
        <item x="1038"/>
        <item x="1505"/>
        <item x="70"/>
        <item x="642"/>
        <item x="1528"/>
        <item x="221"/>
        <item x="1027"/>
        <item x="1534"/>
        <item x="914"/>
        <item x="763"/>
        <item x="1157"/>
        <item x="176"/>
        <item x="675"/>
        <item x="370"/>
        <item x="230"/>
        <item x="511"/>
        <item x="364"/>
        <item x="612"/>
        <item x="1662"/>
        <item x="216"/>
        <item x="1103"/>
        <item x="248"/>
        <item x="1122"/>
        <item x="429"/>
        <item x="447"/>
        <item x="771"/>
        <item x="456"/>
        <item x="28"/>
        <item x="558"/>
        <item x="183"/>
        <item x="1174"/>
        <item x="1351"/>
        <item x="316"/>
        <item x="332"/>
        <item x="676"/>
        <item x="86"/>
        <item x="112"/>
        <item x="1251"/>
        <item x="1576"/>
        <item x="513"/>
        <item x="1350"/>
        <item x="1179"/>
        <item x="1120"/>
        <item x="256"/>
        <item x="998"/>
        <item x="800"/>
        <item x="1172"/>
        <item x="854"/>
        <item x="205"/>
        <item x="833"/>
        <item x="1317"/>
        <item x="1378"/>
        <item x="1822"/>
        <item x="713"/>
        <item x="514"/>
        <item x="1066"/>
        <item x="1490"/>
        <item x="1005"/>
        <item x="1393"/>
        <item x="702"/>
        <item x="486"/>
        <item x="206"/>
        <item x="942"/>
        <item x="400"/>
        <item x="717"/>
        <item x="1617"/>
        <item x="210"/>
        <item x="1812"/>
        <item x="1788"/>
        <item x="42"/>
        <item x="801"/>
        <item x="738"/>
        <item x="1448"/>
        <item x="779"/>
        <item x="1326"/>
        <item x="814"/>
        <item x="22"/>
        <item x="1248"/>
        <item x="1126"/>
        <item x="99"/>
        <item x="756"/>
        <item x="1648"/>
        <item x="101"/>
        <item x="1246"/>
        <item x="288"/>
        <item x="85"/>
        <item x="455"/>
        <item x="1196"/>
        <item x="386"/>
        <item x="467"/>
        <item x="1129"/>
        <item x="1212"/>
        <item x="235"/>
        <item x="752"/>
        <item x="1274"/>
        <item x="874"/>
        <item x="855"/>
        <item x="1433"/>
        <item x="1431"/>
        <item x="347"/>
        <item x="696"/>
        <item x="647"/>
        <item x="1065"/>
        <item x="654"/>
        <item x="1033"/>
        <item x="1069"/>
        <item x="1191"/>
        <item x="705"/>
        <item x="1367"/>
        <item x="498"/>
        <item x="502"/>
        <item x="1364"/>
        <item x="1145"/>
        <item x="300"/>
        <item x="440"/>
        <item x="557"/>
        <item x="1783"/>
        <item x="1769"/>
        <item x="396"/>
        <item x="1651"/>
        <item x="1205"/>
        <item x="1692"/>
        <item x="148"/>
        <item x="197"/>
        <item x="1219"/>
        <item x="1462"/>
        <item x="1557"/>
        <item x="1252"/>
        <item x="783"/>
        <item x="1382"/>
        <item x="71"/>
        <item x="862"/>
        <item x="437"/>
        <item x="1538"/>
        <item x="683"/>
        <item x="1540"/>
        <item x="137"/>
        <item x="1334"/>
        <item x="1280"/>
        <item x="60"/>
        <item x="168"/>
        <item x="1237"/>
        <item x="939"/>
        <item x="1310"/>
        <item x="565"/>
        <item x="1200"/>
        <item x="1057"/>
        <item x="948"/>
        <item x="1045"/>
        <item x="934"/>
        <item x="1711"/>
        <item x="1555"/>
        <item x="976"/>
        <item x="1056"/>
        <item x="1449"/>
        <item x="841"/>
        <item x="782"/>
        <item x="359"/>
        <item x="533"/>
        <item x="220"/>
        <item x="733"/>
        <item x="723"/>
        <item x="1232"/>
        <item x="739"/>
        <item x="247"/>
        <item x="238"/>
        <item x="182"/>
        <item x="611"/>
        <item x="401"/>
        <item x="1083"/>
        <item x="277"/>
        <item x="47"/>
        <item x="795"/>
        <item x="1704"/>
        <item x="643"/>
        <item x="817"/>
        <item x="57"/>
        <item x="1572"/>
        <item x="1353"/>
        <item x="648"/>
        <item x="749"/>
        <item x="357"/>
        <item x="222"/>
        <item x="62"/>
        <item x="978"/>
        <item x="470"/>
        <item x="1363"/>
        <item x="1396"/>
        <item x="1436"/>
        <item x="840"/>
        <item x="859"/>
        <item x="516"/>
        <item x="160"/>
        <item x="319"/>
        <item x="459"/>
        <item x="379"/>
        <item x="1136"/>
        <item x="161"/>
        <item x="1580"/>
        <item x="1047"/>
        <item x="1659"/>
        <item x="208"/>
        <item x="1236"/>
        <item x="909"/>
        <item x="1437"/>
        <item x="793"/>
        <item x="896"/>
        <item x="311"/>
        <item x="232"/>
        <item x="195"/>
        <item x="1564"/>
        <item x="836"/>
        <item x="124"/>
        <item x="204"/>
        <item x="657"/>
        <item x="971"/>
        <item x="1296"/>
        <item x="1695"/>
        <item x="1208"/>
        <item x="1"/>
        <item x="1453"/>
        <item x="923"/>
        <item x="264"/>
        <item x="1035"/>
        <item x="171"/>
        <item x="1266"/>
        <item x="1111"/>
        <item x="1720"/>
        <item x="110"/>
        <item x="856"/>
        <item x="1703"/>
        <item x="1819"/>
        <item x="1507"/>
        <item x="1085"/>
        <item x="732"/>
        <item x="1808"/>
        <item x="1618"/>
        <item x="1521"/>
        <item x="1656"/>
        <item x="552"/>
        <item x="679"/>
        <item x="246"/>
        <item x="1457"/>
        <item x="660"/>
        <item x="1170"/>
        <item x="1793"/>
        <item x="1582"/>
        <item x="564"/>
        <item x="341"/>
        <item x="678"/>
        <item x="1602"/>
        <item x="632"/>
        <item x="1728"/>
        <item x="1264"/>
        <item x="933"/>
        <item x="1207"/>
        <item x="18"/>
        <item x="1309"/>
        <item x="44"/>
        <item x="1084"/>
        <item x="956"/>
        <item x="1386"/>
        <item x="471"/>
        <item x="760"/>
        <item x="1010"/>
        <item x="254"/>
        <item x="1086"/>
        <item x="767"/>
        <item x="1762"/>
        <item x="700"/>
        <item x="241"/>
        <item x="1825"/>
        <item x="1119"/>
        <item x="367"/>
        <item x="1273"/>
        <item x="1238"/>
        <item x="908"/>
        <item x="1091"/>
        <item x="1012"/>
        <item x="943"/>
        <item x="1004"/>
        <item x="449"/>
        <item x="1612"/>
        <item x="479"/>
        <item x="652"/>
        <item x="766"/>
        <item x="1210"/>
        <item x="98"/>
        <item x="587"/>
        <item x="385"/>
        <item x="562"/>
        <item x="994"/>
        <item x="1320"/>
        <item x="184"/>
        <item x="1455"/>
        <item x="1550"/>
        <item x="1017"/>
        <item x="1504"/>
        <item x="286"/>
        <item x="1088"/>
        <item x="689"/>
        <item x="1148"/>
        <item x="1797"/>
        <item x="1258"/>
        <item x="190"/>
        <item x="27"/>
        <item x="1325"/>
        <item x="423"/>
        <item x="655"/>
        <item x="1097"/>
        <item x="786"/>
        <item x="1075"/>
        <item x="1694"/>
        <item x="1077"/>
        <item x="290"/>
        <item x="1186"/>
        <item x="418"/>
        <item x="759"/>
        <item x="719"/>
        <item x="1671"/>
        <item x="1553"/>
        <item x="1209"/>
        <item x="667"/>
        <item x="1696"/>
        <item x="1544"/>
        <item x="917"/>
        <item x="1204"/>
        <item x="1461"/>
        <item x="1217"/>
        <item x="499"/>
        <item x="139"/>
        <item x="1244"/>
        <item x="607"/>
        <item x="920"/>
        <item x="438"/>
        <item x="1286"/>
        <item x="741"/>
        <item x="1253"/>
        <item x="1623"/>
        <item x="167"/>
        <item x="951"/>
        <item x="1215"/>
        <item x="1181"/>
        <item x="536"/>
        <item x="1446"/>
        <item x="1013"/>
        <item x="669"/>
        <item x="237"/>
        <item x="149"/>
        <item x="310"/>
        <item x="720"/>
        <item x="699"/>
        <item x="1749"/>
        <item x="259"/>
        <item x="363"/>
        <item x="188"/>
        <item x="1693"/>
        <item x="1245"/>
        <item x="1511"/>
        <item x="133"/>
        <item x="365"/>
        <item x="839"/>
        <item x="1543"/>
        <item x="1020"/>
        <item x="192"/>
        <item x="1042"/>
        <item x="495"/>
        <item x="289"/>
        <item x="1485"/>
        <item x="1307"/>
        <item x="778"/>
        <item x="281"/>
        <item x="327"/>
        <item x="1795"/>
        <item x="1611"/>
        <item x="1048"/>
        <item x="1089"/>
        <item x="1389"/>
        <item x="810"/>
        <item x="1372"/>
        <item x="1121"/>
        <item x="109"/>
        <item x="1259"/>
        <item x="957"/>
        <item x="49"/>
        <item x="92"/>
        <item x="964"/>
        <item x="67"/>
        <item x="56"/>
        <item x="1168"/>
        <item x="393"/>
        <item x="556"/>
        <item x="531"/>
        <item x="866"/>
        <item x="462"/>
        <item x="155"/>
        <item x="153"/>
        <item x="585"/>
        <item x="1183"/>
        <item x="672"/>
        <item x="381"/>
        <item x="1746"/>
        <item x="1127"/>
        <item x="1556"/>
        <item x="1314"/>
        <item x="1336"/>
        <item x="1293"/>
        <item x="302"/>
        <item x="10"/>
        <item x="1816"/>
        <item x="1130"/>
        <item x="1684"/>
        <item x="255"/>
        <item x="1275"/>
        <item x="1549"/>
        <item x="387"/>
        <item x="358"/>
        <item x="519"/>
        <item x="1579"/>
        <item x="973"/>
        <item x="1601"/>
        <item x="1708"/>
        <item x="389"/>
        <item x="889"/>
        <item x="1758"/>
        <item x="1276"/>
        <item x="233"/>
        <item x="761"/>
        <item x="1360"/>
        <item x="1718"/>
        <item x="1802"/>
        <item x="987"/>
        <item x="415"/>
        <item x="1741"/>
        <item x="542"/>
        <item x="1713"/>
        <item x="54"/>
        <item x="41"/>
        <item x="566"/>
        <item x="1519"/>
        <item x="709"/>
        <item x="26"/>
        <item x="704"/>
        <item x="1715"/>
        <item x="1487"/>
        <item x="306"/>
        <item x="615"/>
        <item x="325"/>
        <item x="90"/>
        <item x="1558"/>
        <item x="1655"/>
        <item x="17"/>
        <item x="1751"/>
        <item x="348"/>
        <item x="1150"/>
        <item x="770"/>
        <item x="315"/>
        <item x="186"/>
        <item x="1596"/>
        <item x="15"/>
        <item x="1806"/>
        <item x="1079"/>
        <item x="63"/>
        <item x="450"/>
        <item x="721"/>
        <item x="1024"/>
        <item x="748"/>
        <item x="1497"/>
        <item x="1105"/>
        <item x="544"/>
        <item x="1100"/>
        <item x="144"/>
        <item x="1434"/>
        <item x="1789"/>
        <item x="322"/>
        <item x="345"/>
        <item x="577"/>
        <item x="568"/>
        <item x="331"/>
        <item x="850"/>
        <item x="177"/>
        <item x="1342"/>
        <item x="1657"/>
        <item x="706"/>
        <item x="860"/>
        <item x="1014"/>
        <item x="484"/>
        <item x="1766"/>
        <item x="958"/>
        <item x="1175"/>
        <item x="79"/>
        <item x="878"/>
        <item x="37"/>
        <item x="451"/>
        <item x="33"/>
        <item x="1739"/>
        <item x="1117"/>
        <item x="1029"/>
        <item x="213"/>
        <item x="1733"/>
        <item x="1361"/>
        <item x="1551"/>
        <item x="1646"/>
        <item x="827"/>
        <item x="554"/>
        <item x="1338"/>
        <item x="897"/>
        <item x="339"/>
        <item x="287"/>
        <item x="38"/>
        <item x="792"/>
        <item x="1072"/>
        <item x="865"/>
        <item x="1476"/>
        <item x="1451"/>
        <item x="84"/>
        <item x="1494"/>
        <item x="1800"/>
        <item x="321"/>
        <item x="1603"/>
        <item x="822"/>
        <item x="1424"/>
        <item x="466"/>
        <item x="1794"/>
        <item x="968"/>
        <item x="1261"/>
        <item x="1697"/>
        <item x="1738"/>
        <item x="263"/>
        <item x="24"/>
        <item x="125"/>
        <item x="1401"/>
        <item x="1495"/>
        <item x="626"/>
        <item x="1240"/>
        <item x="43"/>
        <item x="1410"/>
        <item x="1221"/>
        <item x="1076"/>
        <item x="52"/>
        <item x="1489"/>
        <item x="1639"/>
        <item x="1147"/>
        <item x="599"/>
        <item x="270"/>
        <item x="812"/>
        <item x="473"/>
        <item x="355"/>
        <item x="458"/>
        <item x="406"/>
        <item x="1466"/>
        <item x="1570"/>
        <item x="1284"/>
        <item x="97"/>
        <item x="488"/>
        <item x="1162"/>
        <item x="482"/>
        <item x="1094"/>
        <item x="282"/>
        <item x="656"/>
        <item x="1615"/>
        <item x="250"/>
        <item x="877"/>
        <item x="1573"/>
        <item x="1468"/>
        <item x="1115"/>
        <item x="846"/>
        <item x="1308"/>
        <item x="1518"/>
        <item x="1416"/>
        <item x="1740"/>
        <item x="890"/>
        <item x="525"/>
        <item x="1101"/>
        <item x="512"/>
        <item x="1537"/>
        <item x="1643"/>
        <item x="773"/>
        <item x="960"/>
        <item x="1554"/>
        <item x="111"/>
        <item x="279"/>
        <item x="1412"/>
        <item x="243"/>
        <item x="808"/>
        <item x="1214"/>
        <item x="714"/>
        <item x="116"/>
        <item x="1613"/>
        <item x="1199"/>
        <item x="1306"/>
        <item x="1609"/>
        <item x="1067"/>
        <item x="1278"/>
        <item x="1690"/>
        <item x="1631"/>
        <item x="1732"/>
        <item x="1225"/>
        <item x="1303"/>
        <item x="1229"/>
        <item x="136"/>
        <item x="905"/>
        <item x="1792"/>
        <item x="861"/>
        <item x="13"/>
        <item x="1500"/>
        <item x="1755"/>
        <item x="1051"/>
        <item x="414"/>
        <item x="448"/>
        <item x="991"/>
        <item x="231"/>
        <item x="349"/>
        <item x="650"/>
        <item x="1626"/>
        <item x="142"/>
        <item x="1685"/>
        <item x="1366"/>
        <item x="380"/>
        <item x="1039"/>
        <item x="201"/>
        <item x="1059"/>
        <item x="959"/>
        <item x="390"/>
        <item x="630"/>
        <item x="291"/>
        <item x="1414"/>
        <item x="267"/>
        <item x="164"/>
        <item x="1745"/>
        <item x="492"/>
        <item x="265"/>
        <item x="1432"/>
        <item x="150"/>
        <item x="901"/>
        <item x="1421"/>
        <item x="1726"/>
        <item x="619"/>
        <item x="1581"/>
        <item x="1668"/>
        <item x="1770"/>
        <item x="1093"/>
        <item x="824"/>
        <item x="620"/>
        <item x="474"/>
        <item x="1567"/>
        <item x="1652"/>
        <item x="788"/>
        <item x="527"/>
        <item x="323"/>
        <item x="362"/>
        <item x="668"/>
        <item x="1510"/>
        <item x="922"/>
        <item x="475"/>
        <item x="555"/>
        <item x="1384"/>
        <item x="765"/>
        <item x="1339"/>
        <item x="575"/>
        <item x="813"/>
        <item x="546"/>
        <item x="483"/>
        <item x="1503"/>
        <item x="1376"/>
        <item x="550"/>
        <item x="784"/>
        <item x="115"/>
        <item x="928"/>
        <item x="962"/>
        <item x="1294"/>
        <item x="1399"/>
        <item x="104"/>
        <item x="309"/>
        <item x="1722"/>
        <item x="366"/>
        <item x="1371"/>
        <item x="847"/>
        <item x="1358"/>
        <item x="421"/>
        <item x="835"/>
        <item x="1365"/>
        <item x="1463"/>
        <item x="1218"/>
        <item x="426"/>
        <item x="1724"/>
        <item x="1427"/>
        <item x="1185"/>
        <item x="535"/>
        <item x="637"/>
        <item x="1194"/>
        <item x="151"/>
        <item x="1513"/>
        <item x="1686"/>
        <item x="179"/>
        <item x="785"/>
        <item x="1139"/>
        <item x="591"/>
        <item x="1426"/>
        <item x="787"/>
        <item x="128"/>
        <item x="81"/>
        <item x="436"/>
        <item x="1166"/>
        <item x="194"/>
        <item x="1070"/>
        <item x="1125"/>
        <item x="1734"/>
        <item x="1456"/>
        <item x="938"/>
        <item x="851"/>
        <item x="1300"/>
        <item x="666"/>
        <item x="138"/>
        <item x="181"/>
        <item x="539"/>
        <item x="1675"/>
        <item x="1058"/>
        <item x="1213"/>
        <item x="677"/>
        <item x="1114"/>
        <item x="443"/>
        <item x="747"/>
        <item x="1395"/>
        <item x="580"/>
        <item x="604"/>
        <item x="688"/>
        <item x="1400"/>
        <item x="478"/>
        <item x="698"/>
        <item x="1803"/>
        <item x="1661"/>
        <item x="584"/>
        <item x="1776"/>
        <item x="1464"/>
        <item x="1379"/>
        <item x="1348"/>
        <item x="305"/>
        <item x="1443"/>
        <item x="271"/>
        <item x="143"/>
        <item x="1782"/>
        <item x="411"/>
        <item x="1818"/>
        <item x="383"/>
        <item x="1458"/>
        <item x="742"/>
        <item x="963"/>
        <item x="777"/>
        <item x="374"/>
        <item x="665"/>
        <item x="454"/>
        <item x="1368"/>
        <item x="1193"/>
        <item x="1128"/>
        <item x="312"/>
        <item x="50"/>
        <item x="603"/>
        <item x="1714"/>
        <item x="239"/>
        <item x="1642"/>
        <item x="1725"/>
        <item x="1719"/>
        <item x="1624"/>
        <item x="594"/>
        <item x="503"/>
        <item x="1116"/>
        <item x="1479"/>
        <item x="1774"/>
        <item x="961"/>
        <item x="166"/>
        <item x="189"/>
        <item x="1584"/>
        <item x="820"/>
        <item x="697"/>
        <item x="879"/>
        <item x="485"/>
        <item x="1536"/>
        <item x="1046"/>
        <item x="292"/>
        <item x="494"/>
        <item x="1821"/>
        <item x="581"/>
        <item x="1267"/>
        <item x="521"/>
        <item x="1011"/>
        <item x="972"/>
        <item x="1716"/>
        <item x="985"/>
        <item x="1559"/>
        <item x="837"/>
        <item x="504"/>
        <item x="1597"/>
        <item x="1737"/>
        <item x="1277"/>
        <item x="108"/>
        <item x="202"/>
        <item x="1773"/>
        <item x="588"/>
        <item x="1102"/>
        <item x="1343"/>
        <item x="617"/>
        <item x="53"/>
        <item x="1241"/>
        <item x="1332"/>
        <item x="1447"/>
        <item x="999"/>
        <item x="1811"/>
        <item x="543"/>
        <item x="1699"/>
        <item x="172"/>
        <item x="1810"/>
        <item x="1419"/>
        <item x="91"/>
        <item x="1496"/>
        <item x="944"/>
        <item x="1780"/>
        <item x="1216"/>
        <item x="592"/>
        <item x="616"/>
        <item x="955"/>
        <item x="119"/>
        <item x="858"/>
        <item x="1589"/>
        <item x="1529"/>
        <item x="945"/>
        <item x="1167"/>
        <item x="324"/>
        <item x="1420"/>
        <item x="646"/>
        <item x="1034"/>
        <item x="29"/>
        <item x="40"/>
        <item x="1474"/>
        <item x="1546"/>
        <item x="737"/>
        <item x="1318"/>
        <item x="1531"/>
        <item x="1165"/>
        <item x="1469"/>
        <item x="476"/>
        <item x="1021"/>
        <item x="20"/>
        <item x="131"/>
        <item x="563"/>
        <item x="776"/>
        <item x="1192"/>
        <item x="225"/>
        <item x="460"/>
        <item x="1799"/>
        <item x="78"/>
        <item x="1255"/>
        <item x="750"/>
        <item x="1501"/>
        <item x="1710"/>
        <item x="89"/>
        <item x="708"/>
        <item x="96"/>
        <item x="453"/>
        <item x="1346"/>
        <item x="755"/>
        <item x="452"/>
        <item x="1321"/>
        <item x="320"/>
        <item x="768"/>
        <item x="113"/>
        <item x="1380"/>
        <item x="242"/>
        <item x="1092"/>
        <item x="1331"/>
        <item x="158"/>
        <item x="597"/>
        <item x="338"/>
        <item x="174"/>
        <item x="1801"/>
        <item x="1156"/>
        <item x="61"/>
        <item x="1791"/>
        <item x="870"/>
        <item x="334"/>
        <item x="489"/>
        <item x="388"/>
        <item x="992"/>
        <item x="1595"/>
        <item x="1000"/>
        <item x="1560"/>
        <item x="1729"/>
        <item x="789"/>
        <item x="1160"/>
        <item x="394"/>
        <item x="1316"/>
        <item x="1681"/>
        <item x="1169"/>
        <item x="329"/>
        <item x="1137"/>
        <item x="671"/>
        <item x="1143"/>
        <item x="518"/>
        <item x="298"/>
        <item x="832"/>
        <item x="674"/>
        <item x="651"/>
        <item x="725"/>
        <item x="1140"/>
        <item x="1525"/>
        <item x="912"/>
        <item x="1268"/>
        <item x="1744"/>
        <item x="1305"/>
        <item x="1786"/>
        <item x="614"/>
        <item x="1526"/>
        <item x="1752"/>
        <item x="1679"/>
        <item x="1777"/>
        <item x="1323"/>
        <item x="1778"/>
        <item x="828"/>
        <item x="299"/>
        <item x="687"/>
        <item x="1327"/>
        <item x="1002"/>
        <item x="326"/>
        <item x="1249"/>
        <item x="1665"/>
        <item x="1402"/>
        <item x="1132"/>
        <item x="1333"/>
        <item x="915"/>
        <item x="31"/>
        <item x="634"/>
        <item x="1444"/>
        <item x="1409"/>
        <item x="156"/>
        <item x="87"/>
        <item x="1666"/>
        <item x="1149"/>
        <item x="1532"/>
        <item x="228"/>
        <item x="100"/>
        <item x="1678"/>
        <item x="165"/>
        <item x="982"/>
        <item x="1804"/>
        <item x="490"/>
        <item x="639"/>
        <item x="337"/>
        <item x="1578"/>
        <item x="913"/>
        <item x="1135"/>
        <item x="1408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2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Patient Count" fld="0" subtotal="count" baseField="18" baseItem="0"/>
  </dataFields>
  <formats count="10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8" type="button" dataOnly="0" labelOnly="1" outline="0" axis="axisRow" fieldPosition="0"/>
    </format>
    <format dxfId="12">
      <pivotArea dataOnly="0" labelOnly="1" fieldPosition="0">
        <references count="1">
          <reference field="18" count="0"/>
        </references>
      </pivotArea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8" type="button" dataOnly="0" labelOnly="1" outline="0" axis="axisRow" fieldPosition="0"/>
    </format>
    <format dxfId="7">
      <pivotArea dataOnly="0" labelOnly="1" fieldPosition="0">
        <references count="1">
          <reference field="18" count="0"/>
        </references>
      </pivotArea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C1C65-CDE8-49BD-A535-968FAF2FABB8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8:C24" firstHeaderRow="1" firstDataRow="1" firstDataCol="1"/>
  <pivotFields count="19">
    <pivotField showAll="0"/>
    <pivotField showAll="0"/>
    <pivotField showAll="0"/>
    <pivotField showAll="0"/>
    <pivotField axis="axisRow" showAll="0">
      <items count="7">
        <item x="5"/>
        <item x="3"/>
        <item x="0"/>
        <item x="2"/>
        <item x="4"/>
        <item x="1"/>
        <item t="default"/>
      </items>
    </pivotField>
    <pivotField numFmtId="14" showAll="0"/>
    <pivotField showAll="0"/>
    <pivotField showAll="0"/>
    <pivotField showAll="0"/>
    <pivotField dataField="1" numFmtId="2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Billing Amount" fld="9" baseField="4" baseItem="0" numFmtId="164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4" type="button" dataOnly="0" labelOnly="1" outline="0" axis="axisRow" fieldPosition="0"/>
    </format>
    <format dxfId="18">
      <pivotArea dataOnly="0" labelOnly="1" fieldPosition="0">
        <references count="1">
          <reference field="4" count="0"/>
        </references>
      </pivotArea>
    </format>
    <format dxfId="17">
      <pivotArea dataOnly="0" labelOnly="1" outline="0" axis="axisValues" fieldPosition="0"/>
    </format>
    <format dxfId="16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C324D1-ED2D-480A-8C50-6AE7B052A173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K7:L13" firstHeaderRow="1" firstDataRow="1" firstDataCol="1"/>
  <pivotFields count="19">
    <pivotField dataField="1" showAll="0"/>
    <pivotField showAll="0"/>
    <pivotField showAll="0"/>
    <pivotField showAll="0"/>
    <pivotField axis="axisRow" showAll="0">
      <items count="7">
        <item x="5"/>
        <item x="3"/>
        <item x="0"/>
        <item x="2"/>
        <item x="4"/>
        <item x="1"/>
        <item t="default"/>
      </items>
    </pivotField>
    <pivotField numFmtId="14" showAll="0"/>
    <pivotField showAll="0"/>
    <pivotField showAll="0"/>
    <pivotField showAll="0"/>
    <pivotField numFmtId="2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unt of Name" fld="0" subtotal="count" baseField="0" baseItem="0"/>
  </dataFields>
  <formats count="5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70756-AC46-475D-90C1-FFD0CBE8BC4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K18:L21" firstHeaderRow="1" firstDataRow="1" firstDataCol="1"/>
  <pivotFields count="19"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numFmtId="2"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>
      <x v="2"/>
    </i>
  </rowItems>
  <colItems count="1">
    <i/>
  </colItems>
  <dataFields count="1">
    <dataField name="Average of Billing Amount" fld="9" subtotal="average" baseField="11" baseItem="0" numFmtId="2"/>
  </dataFields>
  <formats count="5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1" type="button" dataOnly="0" labelOnly="1" outline="0" axis="axisRow" fieldPosition="0"/>
    </format>
    <format dxfId="28">
      <pivotArea dataOnly="0" labelOnly="1" fieldPosition="0">
        <references count="1">
          <reference field="11" count="0"/>
        </references>
      </pivotArea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8D8D2B-D740-478D-8DE0-5B74DDE5E772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18:I37" firstHeaderRow="1" firstDataRow="1" firstDataCol="1"/>
  <pivotFields count="19">
    <pivotField dataField="1" showAll="0"/>
    <pivotField showAll="0"/>
    <pivotField showAll="0"/>
    <pivotField showAll="0"/>
    <pivotField showAll="0"/>
    <pivotField numFmtId="14" showAll="0"/>
    <pivotField axis="axisRow" showAll="0" measureFilter="1">
      <items count="1808">
        <item x="1034"/>
        <item x="860"/>
        <item x="1165"/>
        <item x="1555"/>
        <item x="709"/>
        <item x="1089"/>
        <item x="812"/>
        <item x="703"/>
        <item x="552"/>
        <item x="1348"/>
        <item x="172"/>
        <item x="1617"/>
        <item x="1703"/>
        <item x="756"/>
        <item x="656"/>
        <item x="311"/>
        <item x="1532"/>
        <item x="1664"/>
        <item x="1638"/>
        <item x="1103"/>
        <item x="768"/>
        <item x="1483"/>
        <item x="907"/>
        <item x="1067"/>
        <item x="299"/>
        <item x="576"/>
        <item x="51"/>
        <item x="905"/>
        <item x="420"/>
        <item x="801"/>
        <item x="757"/>
        <item x="1105"/>
        <item x="674"/>
        <item x="1385"/>
        <item x="831"/>
        <item x="1159"/>
        <item x="605"/>
        <item x="396"/>
        <item x="1088"/>
        <item x="1593"/>
        <item x="1324"/>
        <item x="603"/>
        <item x="1783"/>
        <item x="1661"/>
        <item x="1025"/>
        <item x="1504"/>
        <item x="1634"/>
        <item x="1084"/>
        <item x="1416"/>
        <item x="1794"/>
        <item x="483"/>
        <item x="1122"/>
        <item x="1133"/>
        <item x="845"/>
        <item x="775"/>
        <item x="151"/>
        <item x="836"/>
        <item x="303"/>
        <item x="506"/>
        <item x="1286"/>
        <item x="71"/>
        <item x="1623"/>
        <item x="1628"/>
        <item x="1195"/>
        <item x="705"/>
        <item x="1325"/>
        <item x="593"/>
        <item x="891"/>
        <item x="196"/>
        <item x="1315"/>
        <item x="669"/>
        <item x="376"/>
        <item x="154"/>
        <item x="524"/>
        <item x="917"/>
        <item x="1093"/>
        <item x="579"/>
        <item x="1400"/>
        <item x="1516"/>
        <item x="1044"/>
        <item x="696"/>
        <item x="679"/>
        <item x="1172"/>
        <item x="1065"/>
        <item x="859"/>
        <item x="1157"/>
        <item x="493"/>
        <item x="1323"/>
        <item x="1308"/>
        <item x="1802"/>
        <item x="1575"/>
        <item x="1759"/>
        <item x="1760"/>
        <item x="1691"/>
        <item x="606"/>
        <item x="873"/>
        <item x="192"/>
        <item x="899"/>
        <item x="1597"/>
        <item x="1008"/>
        <item x="472"/>
        <item x="1218"/>
        <item x="1473"/>
        <item x="362"/>
        <item x="1320"/>
        <item x="628"/>
        <item x="1580"/>
        <item x="1805"/>
        <item x="454"/>
        <item x="1757"/>
        <item x="1300"/>
        <item x="916"/>
        <item x="281"/>
        <item x="456"/>
        <item x="537"/>
        <item x="776"/>
        <item x="702"/>
        <item x="343"/>
        <item x="937"/>
        <item x="766"/>
        <item x="357"/>
        <item x="1217"/>
        <item x="648"/>
        <item x="1162"/>
        <item x="782"/>
        <item x="1047"/>
        <item x="284"/>
        <item x="1454"/>
        <item x="736"/>
        <item x="1091"/>
        <item x="1237"/>
        <item x="1488"/>
        <item x="194"/>
        <item x="1026"/>
        <item x="1386"/>
        <item x="381"/>
        <item x="503"/>
        <item x="272"/>
        <item x="1720"/>
        <item x="1498"/>
        <item x="1410"/>
        <item x="558"/>
        <item x="213"/>
        <item x="451"/>
        <item x="897"/>
        <item x="632"/>
        <item x="1220"/>
        <item x="199"/>
        <item x="361"/>
        <item x="562"/>
        <item x="1365"/>
        <item x="1100"/>
        <item x="649"/>
        <item x="1098"/>
        <item x="746"/>
        <item x="1170"/>
        <item x="589"/>
        <item x="1266"/>
        <item x="1806"/>
        <item x="968"/>
        <item x="853"/>
        <item x="1344"/>
        <item x="1186"/>
        <item x="826"/>
        <item x="1346"/>
        <item x="1657"/>
        <item x="595"/>
        <item x="155"/>
        <item x="430"/>
        <item x="1530"/>
        <item x="335"/>
        <item x="393"/>
        <item x="1482"/>
        <item x="1341"/>
        <item x="385"/>
        <item x="296"/>
        <item x="721"/>
        <item x="1513"/>
        <item x="326"/>
        <item x="1499"/>
        <item x="1142"/>
        <item x="1500"/>
        <item x="107"/>
        <item x="539"/>
        <item x="1321"/>
        <item x="767"/>
        <item x="1455"/>
        <item x="1023"/>
        <item x="574"/>
        <item x="1010"/>
        <item x="273"/>
        <item x="743"/>
        <item x="1209"/>
        <item x="1578"/>
        <item x="457"/>
        <item x="770"/>
        <item x="1510"/>
        <item x="1457"/>
        <item x="1442"/>
        <item x="232"/>
        <item x="1771"/>
        <item x="940"/>
        <item x="1183"/>
        <item x="533"/>
        <item x="1639"/>
        <item x="1174"/>
        <item x="422"/>
        <item x="1715"/>
        <item x="651"/>
        <item x="1758"/>
        <item x="1571"/>
        <item x="1384"/>
        <item x="1630"/>
        <item x="28"/>
        <item x="778"/>
        <item x="1161"/>
        <item x="894"/>
        <item x="383"/>
        <item x="122"/>
        <item x="1616"/>
        <item x="1115"/>
        <item x="980"/>
        <item x="466"/>
        <item x="1736"/>
        <item x="1450"/>
        <item x="157"/>
        <item x="1699"/>
        <item x="255"/>
        <item x="1083"/>
        <item x="1621"/>
        <item x="380"/>
        <item x="1521"/>
        <item x="1512"/>
        <item x="1096"/>
        <item x="1421"/>
        <item x="549"/>
        <item x="1688"/>
        <item x="118"/>
        <item x="140"/>
        <item x="844"/>
        <item x="1071"/>
        <item x="545"/>
        <item x="1203"/>
        <item x="1528"/>
        <item x="694"/>
        <item x="1514"/>
        <item x="1644"/>
        <item x="1085"/>
        <item x="1743"/>
        <item x="1594"/>
        <item x="347"/>
        <item x="1230"/>
        <item x="108"/>
        <item x="892"/>
        <item x="642"/>
        <item x="594"/>
        <item x="1497"/>
        <item x="1281"/>
        <item x="1677"/>
        <item x="624"/>
        <item x="710"/>
        <item x="1375"/>
        <item x="215"/>
        <item x="849"/>
        <item x="1329"/>
        <item x="48"/>
        <item x="718"/>
        <item x="448"/>
        <item x="1503"/>
        <item x="1273"/>
        <item x="612"/>
        <item x="635"/>
        <item x="1423"/>
        <item x="1714"/>
        <item x="1128"/>
        <item x="1506"/>
        <item x="1155"/>
        <item x="206"/>
        <item x="425"/>
        <item x="673"/>
        <item x="301"/>
        <item x="378"/>
        <item x="374"/>
        <item x="1340"/>
        <item x="1763"/>
        <item x="794"/>
        <item x="1582"/>
        <item x="236"/>
        <item x="1397"/>
        <item x="1550"/>
        <item x="233"/>
        <item x="1800"/>
        <item x="1244"/>
        <item x="1079"/>
        <item x="1682"/>
        <item x="513"/>
        <item x="650"/>
        <item x="416"/>
        <item x="1469"/>
        <item x="462"/>
        <item x="355"/>
        <item x="753"/>
        <item x="1275"/>
        <item x="999"/>
        <item x="1772"/>
        <item x="1770"/>
        <item x="1163"/>
        <item x="1433"/>
        <item x="681"/>
        <item x="180"/>
        <item x="1239"/>
        <item x="876"/>
        <item x="1152"/>
        <item x="1472"/>
        <item x="1238"/>
        <item x="1390"/>
        <item x="1052"/>
        <item x="307"/>
        <item x="1637"/>
        <item x="100"/>
        <item x="397"/>
        <item x="1650"/>
        <item x="1092"/>
        <item x="1391"/>
        <item x="1654"/>
        <item x="1121"/>
        <item x="37"/>
        <item x="1398"/>
        <item x="665"/>
        <item x="1333"/>
        <item x="1565"/>
        <item x="392"/>
        <item x="1072"/>
        <item x="879"/>
        <item x="360"/>
        <item x="1106"/>
        <item x="1645"/>
        <item x="1767"/>
        <item x="1108"/>
        <item x="755"/>
        <item x="253"/>
        <item x="455"/>
        <item x="1354"/>
        <item x="1187"/>
        <item x="888"/>
        <item x="110"/>
        <item x="1602"/>
        <item x="1227"/>
        <item x="990"/>
        <item x="861"/>
        <item x="1785"/>
        <item x="1588"/>
        <item x="1399"/>
        <item x="260"/>
        <item x="1368"/>
        <item x="333"/>
        <item x="346"/>
        <item x="793"/>
        <item x="637"/>
        <item x="449"/>
        <item x="1021"/>
        <item x="486"/>
        <item x="415"/>
        <item x="690"/>
        <item x="403"/>
        <item x="60"/>
        <item x="402"/>
        <item x="644"/>
        <item x="542"/>
        <item x="137"/>
        <item x="1043"/>
        <item x="401"/>
        <item x="567"/>
        <item x="1265"/>
        <item x="331"/>
        <item x="561"/>
        <item x="828"/>
        <item x="802"/>
        <item x="819"/>
        <item x="1166"/>
        <item x="80"/>
        <item x="1415"/>
        <item x="1080"/>
        <item x="1086"/>
        <item x="842"/>
        <item x="1797"/>
        <item x="534"/>
        <item x="1064"/>
        <item x="434"/>
        <item x="1570"/>
        <item x="1387"/>
        <item x="433"/>
        <item x="366"/>
        <item x="945"/>
        <item x="634"/>
        <item x="313"/>
        <item x="306"/>
        <item x="121"/>
        <item x="896"/>
        <item x="611"/>
        <item x="225"/>
        <item x="893"/>
        <item x="1039"/>
        <item x="734"/>
        <item x="1277"/>
        <item x="998"/>
        <item x="1467"/>
        <item x="421"/>
        <item x="1123"/>
        <item x="73"/>
        <item x="432"/>
        <item x="297"/>
        <item x="1225"/>
        <item x="295"/>
        <item x="1313"/>
        <item x="1478"/>
        <item x="1481"/>
        <item x="969"/>
        <item x="1804"/>
        <item x="104"/>
        <item x="1156"/>
        <item x="8"/>
        <item x="655"/>
        <item x="585"/>
        <item x="810"/>
        <item x="312"/>
        <item x="889"/>
        <item x="898"/>
        <item x="44"/>
        <item x="903"/>
        <item x="171"/>
        <item x="423"/>
        <item x="143"/>
        <item x="176"/>
        <item x="959"/>
        <item x="1781"/>
        <item x="1551"/>
        <item x="1723"/>
        <item x="887"/>
        <item x="219"/>
        <item x="1417"/>
        <item x="1050"/>
        <item x="1388"/>
        <item x="1476"/>
        <item x="364"/>
        <item x="1464"/>
        <item x="389"/>
        <item x="1547"/>
        <item x="1803"/>
        <item x="620"/>
        <item x="410"/>
        <item x="489"/>
        <item x="546"/>
        <item x="1061"/>
        <item x="1670"/>
        <item x="1413"/>
        <item x="134"/>
        <item x="1233"/>
        <item x="1702"/>
        <item x="911"/>
        <item x="212"/>
        <item x="285"/>
        <item x="507"/>
        <item x="1674"/>
        <item x="832"/>
        <item x="256"/>
        <item x="1095"/>
        <item x="479"/>
        <item x="294"/>
        <item x="622"/>
        <item x="94"/>
        <item x="1011"/>
        <item x="1190"/>
        <item x="1202"/>
        <item x="588"/>
        <item x="1784"/>
        <item x="371"/>
        <item x="1104"/>
        <item x="1116"/>
        <item x="1584"/>
        <item x="1221"/>
        <item x="1070"/>
        <item x="1431"/>
        <item x="1490"/>
        <item x="777"/>
        <item x="993"/>
        <item x="862"/>
        <item x="1563"/>
        <item x="1234"/>
        <item x="609"/>
        <item x="1659"/>
        <item x="936"/>
        <item x="965"/>
        <item x="1194"/>
        <item x="19"/>
        <item x="1330"/>
        <item x="924"/>
        <item x="954"/>
        <item x="468"/>
        <item x="353"/>
        <item x="518"/>
        <item x="179"/>
        <item x="1243"/>
        <item x="453"/>
        <item x="1359"/>
        <item x="1004"/>
        <item x="1382"/>
        <item x="1146"/>
        <item x="988"/>
        <item x="1557"/>
        <item x="358"/>
        <item x="610"/>
        <item x="1383"/>
        <item x="841"/>
        <item x="1798"/>
        <item x="394"/>
        <item x="1762"/>
        <item x="1251"/>
        <item x="369"/>
        <item x="1136"/>
        <item x="686"/>
        <item x="367"/>
        <item x="102"/>
        <item x="840"/>
        <item x="1028"/>
        <item x="868"/>
        <item x="1540"/>
        <item x="730"/>
        <item x="825"/>
        <item x="1492"/>
        <item x="211"/>
        <item x="975"/>
        <item x="23"/>
        <item x="214"/>
        <item x="737"/>
        <item x="115"/>
        <item x="11"/>
        <item x="1393"/>
        <item x="1606"/>
        <item x="1655"/>
        <item x="1271"/>
        <item x="481"/>
        <item x="1595"/>
        <item x="1150"/>
        <item x="1317"/>
        <item x="262"/>
        <item x="1268"/>
        <item x="408"/>
        <item x="929"/>
        <item x="863"/>
        <item x="805"/>
        <item x="1360"/>
        <item x="1486"/>
        <item x="1151"/>
        <item x="1531"/>
        <item x="1448"/>
        <item x="532"/>
        <item x="1566"/>
        <item x="377"/>
        <item x="901"/>
        <item x="1484"/>
        <item x="1063"/>
        <item x="1524"/>
        <item x="227"/>
        <item x="150"/>
        <item x="1081"/>
        <item x="498"/>
        <item x="129"/>
        <item x="1184"/>
        <item x="1364"/>
        <item x="352"/>
        <item x="883"/>
        <item x="631"/>
        <item x="1710"/>
        <item x="167"/>
        <item x="1567"/>
        <item x="1749"/>
        <item x="1356"/>
        <item x="204"/>
        <item x="45"/>
        <item x="251"/>
        <item x="1721"/>
        <item x="38"/>
        <item x="174"/>
        <item x="564"/>
        <item x="34"/>
        <item x="996"/>
        <item x="974"/>
        <item x="818"/>
        <item x="193"/>
        <item x="1252"/>
        <item x="1292"/>
        <item x="712"/>
        <item x="934"/>
        <item x="1001"/>
        <item x="1408"/>
        <item x="62"/>
        <item x="1633"/>
        <item x="1193"/>
        <item x="535"/>
        <item x="784"/>
        <item x="153"/>
        <item x="1255"/>
        <item x="1642"/>
        <item x="1581"/>
        <item x="16"/>
        <item x="387"/>
        <item x="1471"/>
        <item x="1495"/>
        <item x="1127"/>
        <item x="1493"/>
        <item x="1201"/>
        <item x="70"/>
        <item x="1741"/>
        <item x="557"/>
        <item x="263"/>
        <item x="1793"/>
        <item x="105"/>
        <item x="257"/>
        <item x="1053"/>
        <item x="1257"/>
        <item x="230"/>
        <item x="1298"/>
        <item x="570"/>
        <item x="159"/>
        <item x="271"/>
        <item x="459"/>
        <item x="1119"/>
        <item x="540"/>
        <item x="310"/>
        <item x="1663"/>
        <item x="473"/>
        <item x="210"/>
        <item x="224"/>
        <item x="744"/>
        <item x="1649"/>
        <item x="264"/>
        <item x="1668"/>
        <item x="1130"/>
        <item x="735"/>
        <item x="372"/>
        <item x="798"/>
        <item x="559"/>
        <item x="308"/>
        <item x="406"/>
        <item x="404"/>
        <item x="823"/>
        <item x="1002"/>
        <item x="869"/>
        <item x="1149"/>
        <item x="127"/>
        <item x="1030"/>
        <item x="287"/>
        <item x="528"/>
        <item x="220"/>
        <item x="1414"/>
        <item x="1007"/>
        <item x="1440"/>
        <item x="529"/>
        <item x="838"/>
        <item x="446"/>
        <item x="300"/>
        <item x="88"/>
        <item x="1491"/>
        <item x="1009"/>
        <item x="182"/>
        <item x="332"/>
        <item x="706"/>
        <item x="1590"/>
        <item x="1731"/>
        <item x="21"/>
        <item x="1335"/>
        <item x="1129"/>
        <item x="261"/>
        <item x="1055"/>
        <item x="417"/>
        <item x="1689"/>
        <item x="1711"/>
        <item x="1327"/>
        <item x="259"/>
        <item x="668"/>
        <item x="9"/>
        <item x="32"/>
        <item x="1705"/>
        <item x="484"/>
        <item x="1553"/>
        <item x="1640"/>
        <item x="695"/>
        <item x="208"/>
        <item x="1319"/>
        <item x="885"/>
        <item x="274"/>
        <item x="278"/>
        <item x="46"/>
        <item x="409"/>
        <item x="1627"/>
        <item x="614"/>
        <item x="198"/>
        <item x="1509"/>
        <item x="340"/>
        <item x="365"/>
        <item x="209"/>
        <item x="1322"/>
        <item x="68"/>
        <item x="938"/>
        <item x="1077"/>
        <item x="994"/>
        <item x="66"/>
        <item x="1191"/>
        <item x="906"/>
        <item x="58"/>
        <item x="1370"/>
        <item x="29"/>
        <item x="1060"/>
        <item x="76"/>
        <item x="1188"/>
        <item x="1489"/>
        <item x="1698"/>
        <item x="336"/>
        <item x="1336"/>
        <item x="1154"/>
        <item x="1120"/>
        <item x="1171"/>
        <item x="26"/>
        <item x="1357"/>
        <item x="1754"/>
        <item x="1444"/>
        <item x="317"/>
        <item x="186"/>
        <item x="1518"/>
        <item x="1579"/>
        <item x="1508"/>
        <item x="625"/>
        <item x="1267"/>
        <item x="578"/>
        <item x="1719"/>
        <item x="1272"/>
        <item x="504"/>
        <item x="81"/>
        <item x="1666"/>
        <item x="1056"/>
        <item x="1690"/>
        <item x="447"/>
        <item x="69"/>
        <item x="963"/>
        <item x="1014"/>
        <item x="1552"/>
        <item x="1651"/>
        <item x="886"/>
        <item x="992"/>
        <item x="663"/>
        <item x="27"/>
        <item x="467"/>
        <item x="1058"/>
        <item x="1059"/>
        <item x="388"/>
        <item x="979"/>
        <item x="1475"/>
        <item x="1303"/>
        <item x="717"/>
        <item x="1777"/>
        <item x="197"/>
        <item x="1667"/>
        <item x="616"/>
        <item x="96"/>
        <item x="452"/>
        <item x="1750"/>
        <item x="1381"/>
        <item x="926"/>
        <item x="543"/>
        <item x="1542"/>
        <item x="327"/>
        <item x="1102"/>
        <item x="292"/>
        <item x="699"/>
        <item x="1517"/>
        <item x="1429"/>
        <item x="1334"/>
        <item x="1562"/>
        <item x="1310"/>
        <item x="379"/>
        <item x="1768"/>
        <item x="568"/>
        <item x="1559"/>
        <item x="1144"/>
        <item x="930"/>
        <item x="1788"/>
        <item x="590"/>
        <item x="40"/>
        <item x="1326"/>
        <item x="231"/>
        <item x="249"/>
        <item x="1544"/>
        <item x="321"/>
        <item x="166"/>
        <item x="1318"/>
        <item x="1031"/>
        <item x="1494"/>
        <item x="63"/>
        <item x="517"/>
        <item x="769"/>
        <item x="660"/>
        <item x="1465"/>
        <item x="1795"/>
        <item x="847"/>
        <item x="254"/>
        <item x="970"/>
        <item x="1728"/>
        <item x="1379"/>
        <item x="181"/>
        <item x="1094"/>
        <item x="424"/>
        <item x="1756"/>
        <item x="711"/>
        <item x="1733"/>
        <item x="1210"/>
        <item x="85"/>
        <item x="497"/>
        <item x="1636"/>
        <item x="1363"/>
        <item x="1051"/>
        <item x="152"/>
        <item x="1087"/>
        <item x="1526"/>
        <item x="596"/>
        <item x="89"/>
        <item x="1596"/>
        <item x="851"/>
        <item x="1299"/>
        <item x="240"/>
        <item x="1419"/>
        <item x="1732"/>
        <item x="1347"/>
        <item x="1738"/>
        <item x="671"/>
        <item x="1259"/>
        <item x="1148"/>
        <item x="470"/>
        <item x="1470"/>
        <item x="964"/>
        <item x="749"/>
        <item x="664"/>
        <item x="1545"/>
        <item x="440"/>
        <item x="833"/>
        <item x="781"/>
        <item x="931"/>
        <item x="654"/>
        <item x="10"/>
        <item x="325"/>
        <item x="1434"/>
        <item x="1706"/>
        <item x="1126"/>
        <item x="188"/>
        <item x="31"/>
        <item x="305"/>
        <item x="985"/>
        <item x="1140"/>
        <item x="1629"/>
        <item x="1607"/>
        <item x="1135"/>
        <item x="814"/>
        <item x="1466"/>
        <item x="1764"/>
        <item x="1269"/>
        <item x="745"/>
        <item x="368"/>
        <item x="47"/>
        <item x="92"/>
        <item x="1139"/>
        <item x="846"/>
        <item x="1054"/>
        <item x="608"/>
        <item x="1620"/>
        <item x="1235"/>
        <item x="1097"/>
        <item x="571"/>
        <item x="1337"/>
        <item x="516"/>
        <item x="350"/>
        <item x="67"/>
        <item x="551"/>
        <item x="266"/>
        <item x="1296"/>
        <item x="1790"/>
        <item x="1787"/>
        <item x="1279"/>
        <item x="411"/>
        <item x="109"/>
        <item x="854"/>
        <item x="1036"/>
        <item x="941"/>
        <item x="643"/>
        <item x="691"/>
        <item x="471"/>
        <item x="1618"/>
        <item x="1439"/>
        <item x="952"/>
        <item x="550"/>
        <item x="1502"/>
        <item x="638"/>
        <item x="928"/>
        <item x="1740"/>
        <item x="1474"/>
        <item x="1145"/>
        <item x="1076"/>
        <item x="1435"/>
        <item x="1000"/>
        <item x="146"/>
        <item x="788"/>
        <item x="354"/>
        <item x="1392"/>
        <item x="672"/>
        <item x="1487"/>
        <item x="1801"/>
        <item x="910"/>
        <item x="1198"/>
        <item x="1445"/>
        <item x="763"/>
        <item x="1240"/>
        <item x="241"/>
        <item x="848"/>
        <item x="324"/>
        <item x="956"/>
        <item x="967"/>
        <item x="82"/>
        <item x="1107"/>
        <item x="1796"/>
        <item x="1437"/>
        <item x="1577"/>
        <item x="391"/>
        <item x="54"/>
        <item x="1033"/>
        <item x="687"/>
        <item x="120"/>
        <item x="948"/>
        <item x="339"/>
        <item x="83"/>
        <item x="390"/>
        <item x="1125"/>
        <item x="1189"/>
        <item x="75"/>
        <item x="1371"/>
        <item x="765"/>
        <item x="1752"/>
        <item x="752"/>
        <item x="598"/>
        <item x="1624"/>
        <item x="17"/>
        <item x="218"/>
        <item x="18"/>
        <item x="675"/>
        <item x="563"/>
        <item x="1717"/>
        <item x="680"/>
        <item x="523"/>
        <item x="1791"/>
        <item x="547"/>
        <item x="738"/>
        <item x="950"/>
        <item x="1131"/>
        <item x="1409"/>
        <item x="1017"/>
        <item x="133"/>
        <item x="149"/>
        <item x="1765"/>
        <item x="337"/>
        <item x="338"/>
        <item x="494"/>
        <item x="1774"/>
        <item x="1751"/>
        <item x="806"/>
        <item x="1314"/>
        <item x="4"/>
        <item x="1180"/>
        <item x="1695"/>
        <item x="857"/>
        <item x="1137"/>
        <item x="1598"/>
        <item x="592"/>
        <item x="1441"/>
        <item x="178"/>
        <item x="1786"/>
        <item x="602"/>
        <item x="258"/>
        <item x="1443"/>
        <item x="477"/>
        <item x="53"/>
        <item x="1537"/>
        <item x="1587"/>
        <item x="1753"/>
        <item x="1700"/>
        <item x="1572"/>
        <item x="1656"/>
        <item x="328"/>
        <item x="291"/>
        <item x="148"/>
        <item x="6"/>
        <item x="1426"/>
        <item x="882"/>
        <item x="843"/>
        <item x="1541"/>
        <item x="617"/>
        <item x="921"/>
        <item x="12"/>
        <item x="597"/>
        <item x="1256"/>
        <item x="1361"/>
        <item x="1556"/>
        <item x="748"/>
        <item x="613"/>
        <item x="971"/>
        <item x="878"/>
        <item x="837"/>
        <item x="1422"/>
        <item x="1460"/>
        <item x="1734"/>
        <item x="502"/>
        <item x="789"/>
        <item x="1177"/>
        <item x="601"/>
        <item x="3"/>
        <item x="966"/>
        <item x="1519"/>
        <item x="935"/>
        <item x="670"/>
        <item x="1430"/>
        <item x="960"/>
        <item x="162"/>
        <item x="780"/>
        <item x="1020"/>
        <item x="700"/>
        <item x="987"/>
        <item x="803"/>
        <item x="1724"/>
        <item x="1468"/>
        <item x="130"/>
        <item x="1113"/>
        <item x="1276"/>
        <item x="627"/>
        <item x="1350"/>
        <item x="20"/>
        <item x="591"/>
        <item x="1641"/>
        <item x="1669"/>
        <item x="1403"/>
        <item x="237"/>
        <item x="1766"/>
        <item x="496"/>
        <item x="1247"/>
        <item x="145"/>
        <item x="482"/>
        <item x="1376"/>
        <item x="43"/>
        <item x="30"/>
        <item x="521"/>
        <item x="1726"/>
        <item x="662"/>
        <item x="1197"/>
        <item x="1446"/>
        <item x="682"/>
        <item x="977"/>
        <item x="1057"/>
        <item x="773"/>
        <item x="584"/>
        <item x="786"/>
        <item x="91"/>
        <item x="1610"/>
        <item x="95"/>
        <item x="514"/>
        <item x="779"/>
        <item x="1599"/>
        <item x="279"/>
        <item x="1678"/>
        <item x="276"/>
        <item x="647"/>
        <item x="288"/>
        <item x="1075"/>
        <item x="1718"/>
        <item x="302"/>
        <item x="35"/>
        <item x="580"/>
        <item x="1406"/>
        <item x="1101"/>
        <item x="807"/>
        <item x="1040"/>
        <item x="881"/>
        <item x="1117"/>
        <item x="991"/>
        <item x="1648"/>
        <item x="884"/>
        <item x="1605"/>
        <item x="1192"/>
        <item x="1729"/>
        <item x="322"/>
        <item x="1274"/>
        <item x="1539"/>
        <item x="1374"/>
        <item x="1799"/>
        <item x="1501"/>
        <item x="1312"/>
        <item x="1345"/>
        <item x="1270"/>
        <item x="480"/>
        <item x="1603"/>
        <item x="1338"/>
        <item x="1331"/>
        <item x="915"/>
        <item x="1573"/>
        <item x="86"/>
        <item x="731"/>
        <item x="544"/>
        <item x="282"/>
        <item x="1554"/>
        <item x="1792"/>
        <item x="560"/>
        <item x="870"/>
        <item x="865"/>
        <item x="1260"/>
        <item x="1725"/>
        <item x="1412"/>
        <item x="135"/>
        <item x="751"/>
        <item x="412"/>
        <item x="1290"/>
        <item x="138"/>
        <item x="79"/>
        <item x="640"/>
        <item x="113"/>
        <item x="119"/>
        <item x="1264"/>
        <item x="505"/>
        <item x="852"/>
        <item x="1258"/>
        <item x="526"/>
        <item x="1062"/>
        <item x="728"/>
        <item x="478"/>
        <item x="1124"/>
        <item x="630"/>
        <item x="33"/>
        <item x="405"/>
        <item x="1589"/>
        <item x="399"/>
        <item x="1401"/>
        <item x="1037"/>
        <item x="323"/>
        <item x="1178"/>
        <item x="15"/>
        <item x="474"/>
        <item x="984"/>
        <item x="1168"/>
        <item x="351"/>
        <item x="147"/>
        <item x="1660"/>
        <item x="1078"/>
        <item x="874"/>
        <item x="582"/>
        <item x="177"/>
        <item x="429"/>
        <item x="835"/>
        <item x="1776"/>
        <item x="77"/>
        <item x="1761"/>
        <item x="316"/>
        <item x="341"/>
        <item x="577"/>
        <item x="676"/>
        <item x="74"/>
        <item x="821"/>
        <item x="173"/>
        <item x="444"/>
        <item x="413"/>
        <item x="488"/>
        <item x="443"/>
        <item x="1305"/>
        <item x="1684"/>
        <item x="1355"/>
        <item x="1612"/>
        <item x="247"/>
        <item x="1005"/>
        <item x="1012"/>
        <item x="42"/>
        <item x="309"/>
        <item x="1167"/>
        <item x="50"/>
        <item x="1477"/>
        <item x="949"/>
        <item x="1600"/>
        <item x="554"/>
        <item x="1432"/>
        <item x="527"/>
        <item x="1727"/>
        <item x="1285"/>
        <item x="117"/>
        <item x="1294"/>
        <item x="217"/>
        <item x="461"/>
        <item x="501"/>
        <item x="1090"/>
        <item x="925"/>
        <item x="1775"/>
        <item x="1213"/>
        <item x="487"/>
        <item x="0"/>
        <item x="760"/>
        <item x="41"/>
        <item x="87"/>
        <item x="1735"/>
        <item x="265"/>
        <item x="161"/>
        <item x="817"/>
        <item x="1147"/>
        <item x="1164"/>
        <item x="1280"/>
        <item x="720"/>
        <item x="1592"/>
        <item x="908"/>
        <item x="1309"/>
        <item x="1742"/>
        <item x="61"/>
        <item x="785"/>
        <item x="615"/>
        <item x="1175"/>
        <item x="1219"/>
        <item x="1652"/>
        <item x="1672"/>
        <item x="1635"/>
        <item x="742"/>
        <item x="1208"/>
        <item x="1436"/>
        <item x="1782"/>
        <item x="132"/>
        <item x="1560"/>
        <item x="1613"/>
        <item x="1585"/>
        <item x="1022"/>
        <item x="1110"/>
        <item x="184"/>
        <item x="895"/>
        <item x="1138"/>
        <item x="1675"/>
        <item x="445"/>
        <item x="168"/>
        <item x="183"/>
        <item x="114"/>
        <item x="329"/>
        <item x="141"/>
        <item x="1730"/>
        <item x="1250"/>
        <item x="1608"/>
        <item x="123"/>
        <item x="815"/>
        <item x="772"/>
        <item x="226"/>
        <item x="1687"/>
        <item x="1538"/>
        <item x="1549"/>
        <item x="195"/>
        <item x="436"/>
        <item x="678"/>
        <item x="989"/>
        <item x="1293"/>
        <item x="124"/>
        <item x="395"/>
        <item x="657"/>
        <item x="864"/>
        <item x="923"/>
        <item x="1068"/>
        <item x="375"/>
        <item x="205"/>
        <item x="797"/>
        <item x="373"/>
        <item x="653"/>
        <item x="1694"/>
        <item x="919"/>
        <item x="688"/>
        <item x="834"/>
        <item x="719"/>
        <item x="1295"/>
        <item x="1697"/>
        <item x="207"/>
        <item x="1404"/>
        <item x="1378"/>
        <item x="1543"/>
        <item x="880"/>
        <item x="621"/>
        <item x="463"/>
        <item x="689"/>
        <item x="1525"/>
        <item x="727"/>
        <item x="1006"/>
        <item x="997"/>
        <item x="1778"/>
        <item x="1366"/>
        <item x="1041"/>
        <item x="1215"/>
        <item x="244"/>
        <item x="1232"/>
        <item x="1204"/>
        <item x="1712"/>
        <item x="1262"/>
        <item x="955"/>
        <item x="1301"/>
        <item x="202"/>
        <item x="84"/>
        <item x="1405"/>
        <item x="1307"/>
        <item x="1463"/>
        <item x="221"/>
        <item x="131"/>
        <item x="1018"/>
        <item x="890"/>
        <item x="1358"/>
        <item x="1626"/>
        <item x="1214"/>
        <item x="1024"/>
        <item x="875"/>
        <item x="566"/>
        <item x="1316"/>
        <item x="419"/>
        <item x="1461"/>
        <item x="920"/>
        <item x="1646"/>
        <item x="319"/>
        <item x="277"/>
        <item x="811"/>
        <item x="191"/>
        <item x="246"/>
        <item x="953"/>
        <item x="1561"/>
        <item x="1048"/>
        <item x="556"/>
        <item x="1709"/>
        <item x="961"/>
        <item x="56"/>
        <item x="1248"/>
        <item x="933"/>
        <item x="414"/>
        <item x="693"/>
        <item x="1352"/>
        <item x="345"/>
        <item x="1114"/>
        <item x="1535"/>
        <item x="1049"/>
        <item x="1485"/>
        <item x="1389"/>
        <item x="386"/>
        <item x="1622"/>
        <item x="169"/>
        <item x="1611"/>
        <item x="243"/>
        <item x="1349"/>
        <item x="723"/>
        <item x="520"/>
        <item x="476"/>
        <item x="872"/>
        <item x="318"/>
        <item x="972"/>
        <item x="289"/>
        <item x="1438"/>
        <item x="900"/>
        <item x="275"/>
        <item x="1143"/>
        <item x="822"/>
        <item x="912"/>
        <item x="465"/>
        <item x="1614"/>
        <item x="824"/>
        <item x="536"/>
        <item x="1046"/>
        <item x="639"/>
        <item x="586"/>
        <item x="726"/>
        <item x="1216"/>
        <item x="1407"/>
        <item x="607"/>
        <item x="850"/>
        <item x="475"/>
        <item x="1380"/>
        <item x="758"/>
        <item x="1297"/>
        <item x="1196"/>
        <item x="666"/>
        <item x="223"/>
        <item x="101"/>
        <item x="65"/>
        <item x="293"/>
        <item x="201"/>
        <item x="348"/>
        <item x="754"/>
        <item x="216"/>
        <item x="1459"/>
        <item x="356"/>
        <item x="52"/>
        <item x="732"/>
        <item x="170"/>
        <item x="1112"/>
        <item x="816"/>
        <item x="1769"/>
        <item x="1748"/>
        <item x="1696"/>
        <item x="426"/>
        <item x="1373"/>
        <item x="1042"/>
        <item x="531"/>
        <item x="55"/>
        <item x="384"/>
        <item x="685"/>
        <item x="510"/>
        <item x="583"/>
        <item x="573"/>
        <item x="1134"/>
        <item x="1226"/>
        <item x="1246"/>
        <item x="1631"/>
        <item x="160"/>
        <item x="359"/>
        <item x="830"/>
        <item x="1615"/>
        <item x="1402"/>
        <item x="1576"/>
        <item x="1529"/>
        <item x="739"/>
        <item x="1586"/>
        <item x="252"/>
        <item x="962"/>
        <item x="245"/>
        <item x="677"/>
        <item x="1222"/>
        <item x="1245"/>
        <item x="914"/>
        <item x="72"/>
        <item x="334"/>
        <item x="659"/>
        <item x="795"/>
        <item x="1342"/>
        <item x="902"/>
        <item x="856"/>
        <item x="163"/>
        <item x="623"/>
        <item x="1643"/>
        <item x="1367"/>
        <item x="522"/>
        <item x="250"/>
        <item x="499"/>
        <item x="1082"/>
        <item x="645"/>
        <item x="704"/>
        <item x="1680"/>
        <item x="1253"/>
        <item x="1744"/>
        <item x="1662"/>
        <item x="530"/>
        <item x="715"/>
        <item x="708"/>
        <item x="1683"/>
        <item x="764"/>
        <item x="1693"/>
        <item x="1779"/>
        <item x="290"/>
        <item x="800"/>
        <item x="398"/>
        <item x="1507"/>
        <item x="512"/>
        <item x="683"/>
        <item x="918"/>
        <item x="222"/>
        <item x="692"/>
        <item x="1249"/>
        <item x="587"/>
        <item x="1447"/>
        <item x="304"/>
        <item x="799"/>
        <item x="1173"/>
        <item x="1038"/>
        <item x="269"/>
        <item x="553"/>
        <item x="1027"/>
        <item x="1671"/>
        <item x="871"/>
        <item x="1224"/>
        <item x="1111"/>
        <item x="827"/>
        <item x="1035"/>
        <item x="1745"/>
        <item x="441"/>
        <item x="1231"/>
        <item x="1073"/>
        <item x="1569"/>
        <item x="684"/>
        <item x="90"/>
        <item x="1789"/>
        <item x="944"/>
        <item x="1511"/>
        <item x="1176"/>
        <item x="14"/>
        <item x="99"/>
        <item x="203"/>
        <item x="1701"/>
        <item x="1755"/>
        <item x="957"/>
        <item x="1451"/>
        <item x="1261"/>
        <item x="658"/>
        <item x="600"/>
        <item x="750"/>
        <item x="1362"/>
        <item x="427"/>
        <item x="855"/>
        <item x="1515"/>
        <item x="158"/>
        <item x="1160"/>
        <item x="1458"/>
        <item x="1206"/>
        <item x="1284"/>
        <item x="973"/>
        <item x="995"/>
        <item x="829"/>
        <item x="858"/>
        <item x="626"/>
        <item x="139"/>
        <item x="400"/>
        <item x="164"/>
        <item x="1254"/>
        <item x="1179"/>
        <item x="1"/>
        <item x="1601"/>
        <item x="1685"/>
        <item x="1708"/>
        <item x="747"/>
        <item x="106"/>
        <item x="740"/>
        <item x="435"/>
        <item x="442"/>
        <item x="458"/>
        <item x="1558"/>
        <item x="724"/>
        <item x="283"/>
        <item x="942"/>
        <item x="1632"/>
        <item x="165"/>
        <item x="618"/>
        <item x="1546"/>
        <item x="1109"/>
        <item x="515"/>
        <item x="774"/>
        <item x="1564"/>
        <item x="1132"/>
        <item x="1153"/>
        <item x="116"/>
        <item x="239"/>
        <item x="1181"/>
        <item x="790"/>
        <item x="716"/>
        <item x="1019"/>
        <item x="142"/>
        <item x="1479"/>
        <item x="93"/>
        <item x="947"/>
        <item x="1118"/>
        <item x="1747"/>
        <item x="464"/>
        <item x="1372"/>
        <item x="1428"/>
        <item x="1574"/>
        <item x="1377"/>
        <item x="519"/>
        <item x="1291"/>
        <item x="187"/>
        <item x="976"/>
        <item x="548"/>
        <item x="1182"/>
        <item x="229"/>
        <item x="1332"/>
        <item x="636"/>
        <item x="1395"/>
        <item x="156"/>
        <item x="707"/>
        <item x="652"/>
        <item x="1713"/>
        <item x="1418"/>
        <item x="1369"/>
        <item x="1302"/>
        <item x="1665"/>
        <item x="1716"/>
        <item x="508"/>
        <item x="538"/>
        <item x="1462"/>
        <item x="698"/>
        <item x="761"/>
        <item x="270"/>
        <item x="1583"/>
        <item x="1200"/>
        <item x="1353"/>
        <item x="1185"/>
        <item x="932"/>
        <item x="342"/>
        <item x="733"/>
        <item x="575"/>
        <item x="809"/>
        <item x="1496"/>
        <item x="713"/>
        <item x="1343"/>
        <item x="867"/>
        <item x="569"/>
        <item x="509"/>
        <item x="813"/>
        <item x="1737"/>
        <item x="725"/>
        <item x="820"/>
        <item x="190"/>
        <item x="1780"/>
        <item x="97"/>
        <item x="599"/>
        <item x="1304"/>
        <item x="1647"/>
        <item x="1534"/>
        <item x="787"/>
        <item x="24"/>
        <item x="808"/>
        <item x="1003"/>
        <item x="792"/>
        <item x="1692"/>
        <item x="1536"/>
        <item x="57"/>
        <item x="1773"/>
        <item x="604"/>
        <item x="1505"/>
        <item x="1686"/>
        <item x="1287"/>
        <item x="714"/>
        <item x="983"/>
        <item x="1311"/>
        <item x="111"/>
        <item x="1604"/>
        <item x="330"/>
        <item x="1548"/>
        <item x="418"/>
        <item x="1236"/>
        <item x="98"/>
        <item x="1394"/>
        <item x="1427"/>
        <item x="981"/>
        <item x="1016"/>
        <item x="1223"/>
        <item x="1278"/>
        <item x="741"/>
        <item x="555"/>
        <item x="500"/>
        <item x="1158"/>
        <item x="511"/>
        <item x="126"/>
        <item x="1242"/>
        <item x="286"/>
        <item x="495"/>
        <item x="363"/>
        <item x="629"/>
        <item x="1722"/>
        <item x="7"/>
        <item x="904"/>
        <item x="958"/>
        <item x="460"/>
        <item x="1229"/>
        <item x="1527"/>
        <item x="238"/>
        <item x="1141"/>
        <item x="866"/>
        <item x="1452"/>
        <item x="701"/>
        <item x="1681"/>
        <item x="1673"/>
        <item x="144"/>
        <item x="951"/>
        <item x="661"/>
        <item x="913"/>
        <item x="791"/>
        <item x="1411"/>
        <item x="5"/>
        <item x="280"/>
        <item x="641"/>
        <item x="1707"/>
        <item x="189"/>
        <item x="1029"/>
        <item x="175"/>
        <item x="1306"/>
        <item x="13"/>
        <item x="982"/>
        <item x="185"/>
        <item x="1283"/>
        <item x="986"/>
        <item x="927"/>
        <item x="1211"/>
        <item x="439"/>
        <item x="646"/>
        <item x="2"/>
        <item x="1074"/>
        <item x="1520"/>
        <item x="1066"/>
        <item x="431"/>
        <item x="78"/>
        <item x="320"/>
        <item x="943"/>
        <item x="1351"/>
        <item x="783"/>
        <item x="762"/>
        <item x="267"/>
        <item x="1228"/>
        <item x="1013"/>
        <item x="314"/>
        <item x="1425"/>
        <item x="450"/>
        <item x="839"/>
        <item x="1658"/>
        <item x="1609"/>
        <item x="771"/>
        <item x="1241"/>
        <item x="128"/>
        <item x="1746"/>
        <item x="1625"/>
        <item x="1289"/>
        <item x="1591"/>
        <item x="619"/>
        <item x="572"/>
        <item x="1679"/>
        <item x="248"/>
        <item x="428"/>
        <item x="125"/>
        <item x="382"/>
        <item x="759"/>
        <item x="1069"/>
        <item x="722"/>
        <item x="1282"/>
        <item x="877"/>
        <item x="1523"/>
        <item x="581"/>
        <item x="492"/>
        <item x="1396"/>
        <item x="922"/>
        <item x="36"/>
        <item x="1522"/>
        <item x="235"/>
        <item x="1619"/>
        <item x="315"/>
        <item x="1045"/>
        <item x="490"/>
        <item x="59"/>
        <item x="1199"/>
        <item x="939"/>
        <item x="22"/>
        <item x="1328"/>
        <item x="525"/>
        <item x="565"/>
        <item x="1676"/>
        <item x="49"/>
        <item x="485"/>
        <item x="1205"/>
        <item x="697"/>
        <item x="344"/>
        <item x="268"/>
        <item x="136"/>
        <item x="370"/>
        <item x="1704"/>
        <item x="909"/>
        <item x="633"/>
        <item x="112"/>
        <item x="1653"/>
        <item x="1449"/>
        <item x="234"/>
        <item x="242"/>
        <item x="200"/>
        <item x="349"/>
        <item x="946"/>
        <item x="1263"/>
        <item x="103"/>
        <item x="25"/>
        <item x="796"/>
        <item x="1739"/>
        <item x="541"/>
        <item x="1424"/>
        <item x="407"/>
        <item x="729"/>
        <item x="228"/>
        <item x="1453"/>
        <item x="437"/>
        <item x="298"/>
        <item x="1212"/>
        <item x="1480"/>
        <item x="64"/>
        <item x="667"/>
        <item x="1207"/>
        <item x="469"/>
        <item x="1339"/>
        <item x="39"/>
        <item x="1288"/>
        <item x="1456"/>
        <item x="1032"/>
        <item x="491"/>
        <item x="1015"/>
        <item x="438"/>
        <item x="1420"/>
        <item x="1099"/>
        <item x="1169"/>
        <item x="978"/>
        <item x="804"/>
        <item x="1568"/>
        <item x="1533"/>
        <item t="default"/>
      </items>
    </pivotField>
    <pivotField showAll="0"/>
    <pivotField showAll="0"/>
    <pivotField numFmtId="2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9">
    <i>
      <x v="103"/>
    </i>
    <i>
      <x v="144"/>
    </i>
    <i>
      <x v="145"/>
    </i>
    <i>
      <x v="230"/>
    </i>
    <i>
      <x v="464"/>
    </i>
    <i>
      <x v="693"/>
    </i>
    <i>
      <x v="806"/>
    </i>
    <i>
      <x v="835"/>
    </i>
    <i>
      <x v="853"/>
    </i>
    <i>
      <x v="867"/>
    </i>
    <i>
      <x v="939"/>
    </i>
    <i>
      <x v="1028"/>
    </i>
    <i>
      <x v="1151"/>
    </i>
    <i>
      <x v="1183"/>
    </i>
    <i>
      <x v="1209"/>
    </i>
    <i>
      <x v="1261"/>
    </i>
    <i>
      <x v="1481"/>
    </i>
    <i>
      <x v="1486"/>
    </i>
    <i>
      <x v="1564"/>
    </i>
  </rowItems>
  <colItems count="1">
    <i/>
  </colItems>
  <dataFields count="1">
    <dataField name="Count of Name" fld="0" subtotal="count" baseField="0" baseItem="0"/>
  </dataFields>
  <formats count="41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6" type="button" dataOnly="0" labelOnly="1" outline="0" axis="axisRow" fieldPosition="0"/>
    </format>
    <format dxfId="69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8">
      <pivotArea dataOnly="0" labelOnly="1" fieldPosition="0">
        <references count="1">
          <reference field="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7">
      <pivotArea dataOnly="0" labelOnly="1" fieldPosition="0">
        <references count="1">
          <reference field="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6">
      <pivotArea dataOnly="0" labelOnly="1" fieldPosition="0">
        <references count="1">
          <reference field="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5">
      <pivotArea dataOnly="0" labelOnly="1" fieldPosition="0">
        <references count="1">
          <reference field="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4">
      <pivotArea dataOnly="0" labelOnly="1" fieldPosition="0">
        <references count="1">
          <reference field="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3">
      <pivotArea dataOnly="0" labelOnly="1" fieldPosition="0">
        <references count="1">
          <reference field="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2">
      <pivotArea dataOnly="0" labelOnly="1" fieldPosition="0">
        <references count="1">
          <reference field="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1">
      <pivotArea dataOnly="0" labelOnly="1" fieldPosition="0">
        <references count="1">
          <reference field="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60">
      <pivotArea dataOnly="0" labelOnly="1" fieldPosition="0">
        <references count="1">
          <reference field="6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59">
      <pivotArea dataOnly="0" labelOnly="1" fieldPosition="0">
        <references count="1">
          <reference field="6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58">
      <pivotArea dataOnly="0" labelOnly="1" fieldPosition="0">
        <references count="1">
          <reference field="6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57">
      <pivotArea dataOnly="0" labelOnly="1" fieldPosition="0">
        <references count="1">
          <reference field="6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56">
      <pivotArea dataOnly="0" labelOnly="1" fieldPosition="0">
        <references count="1">
          <reference field="6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55">
      <pivotArea dataOnly="0" labelOnly="1" fieldPosition="0">
        <references count="1">
          <reference field="6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54">
      <pivotArea dataOnly="0" labelOnly="1" fieldPosition="0">
        <references count="1">
          <reference field="6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53">
      <pivotArea dataOnly="0" labelOnly="1" fieldPosition="0">
        <references count="1">
          <reference field="6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52">
      <pivotArea dataOnly="0" labelOnly="1" fieldPosition="0">
        <references count="1">
          <reference field="6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51">
      <pivotArea dataOnly="0" labelOnly="1" fieldPosition="0">
        <references count="1">
          <reference field="6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50">
      <pivotArea dataOnly="0" labelOnly="1" fieldPosition="0">
        <references count="1">
          <reference field="6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49">
      <pivotArea dataOnly="0" labelOnly="1" fieldPosition="0">
        <references count="1">
          <reference field="6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48">
      <pivotArea dataOnly="0" labelOnly="1" fieldPosition="0">
        <references count="1">
          <reference field="6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47">
      <pivotArea dataOnly="0" labelOnly="1" fieldPosition="0">
        <references count="1">
          <reference field="6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46">
      <pivotArea dataOnly="0" labelOnly="1" fieldPosition="0">
        <references count="1">
          <reference field="6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45">
      <pivotArea dataOnly="0" labelOnly="1" fieldPosition="0">
        <references count="1">
          <reference field="6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44">
      <pivotArea dataOnly="0" labelOnly="1" fieldPosition="0">
        <references count="1">
          <reference field="6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43">
      <pivotArea dataOnly="0" labelOnly="1" fieldPosition="0">
        <references count="1">
          <reference field="6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42">
      <pivotArea dataOnly="0" labelOnly="1" fieldPosition="0">
        <references count="1">
          <reference field="6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41">
      <pivotArea dataOnly="0" labelOnly="1" fieldPosition="0">
        <references count="1">
          <reference field="6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40">
      <pivotArea dataOnly="0" labelOnly="1" fieldPosition="0">
        <references count="1">
          <reference field="6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39">
      <pivotArea dataOnly="0" labelOnly="1" fieldPosition="0">
        <references count="1">
          <reference field="6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38">
      <pivotArea dataOnly="0" labelOnly="1" fieldPosition="0">
        <references count="1">
          <reference field="6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37">
      <pivotArea dataOnly="0" labelOnly="1" fieldPosition="0">
        <references count="1">
          <reference field="6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36">
      <pivotArea dataOnly="0" labelOnly="1" fieldPosition="0">
        <references count="1">
          <reference field="6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35">
      <pivotArea dataOnly="0" labelOnly="1" fieldPosition="0">
        <references count="1">
          <reference field="6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34">
      <pivotArea dataOnly="0" labelOnly="1" fieldPosition="0">
        <references count="1">
          <reference field="6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33">
      <pivotArea dataOnly="0" labelOnly="1" fieldPosition="0">
        <references count="1">
          <reference field="6" count="7">
            <x v="1800"/>
            <x v="1801"/>
            <x v="1802"/>
            <x v="1803"/>
            <x v="1804"/>
            <x v="1805"/>
            <x v="1806"/>
          </reference>
        </references>
      </pivotArea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0AE86-8F80-47BC-BC4E-2CE0664DDD0C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7:I10" firstHeaderRow="1" firstDataRow="1" firstDataCol="1"/>
  <pivotFields count="19"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2" showAll="0"/>
    <pivotField showAll="0"/>
    <pivotField axis="axisRow" showAll="0">
      <items count="4">
        <item x="2"/>
        <item x="1"/>
        <item x="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>
      <x v="2"/>
    </i>
  </rowItems>
  <colItems count="1">
    <i/>
  </colItems>
  <dataFields count="1">
    <dataField name="Count of Name" fld="0" subtotal="count" baseField="0" baseItem="0"/>
  </dataFields>
  <formats count="5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1" type="button" dataOnly="0" labelOnly="1" outline="0" axis="axisRow" fieldPosition="0"/>
    </format>
    <format dxfId="74">
      <pivotArea dataOnly="0" labelOnly="1" fieldPosition="0">
        <references count="1">
          <reference field="11" count="0"/>
        </references>
      </pivotArea>
    </format>
    <format dxfId="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BF97F-DF88-4751-A9DA-760F6BE99E53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7:F9" firstHeaderRow="1" firstDataRow="1" firstDataCol="1"/>
  <pivotFields count="19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showAll="0"/>
    <pivotField numFmtId="2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/>
    </i>
    <i>
      <x v="1"/>
    </i>
  </rowItems>
  <colItems count="1">
    <i/>
  </colItems>
  <dataFields count="1">
    <dataField name="Count of Name" fld="0" subtotal="count" baseField="0" baseItem="0"/>
  </dataFields>
  <formats count="5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2" type="button" dataOnly="0" labelOnly="1" outline="0" axis="axisRow" fieldPosition="0"/>
    </format>
    <format dxfId="79">
      <pivotArea dataOnly="0" labelOnly="1" fieldPosition="0">
        <references count="1">
          <reference field="2" count="0"/>
        </references>
      </pivotArea>
    </format>
    <format dxfId="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388CD-7FCD-4F1A-BEB5-E32BCF933B5E}" name="Table1" displayName="Table1" ref="A1:S1828" totalsRowShown="0" dataDxfId="102">
  <autoFilter ref="A1:S1828" xr:uid="{0B6CB2CA-9BB5-4546-9C33-B836B3D4BD25}"/>
  <tableColumns count="19">
    <tableColumn id="1" xr3:uid="{EEBB9A9A-D3D8-44C6-B729-7C050CE56083}" name="Name" dataDxfId="101"/>
    <tableColumn id="2" xr3:uid="{26452C03-7EA8-474F-AA8F-3ACCF134C72A}" name="Age" dataDxfId="100"/>
    <tableColumn id="3" xr3:uid="{A65D70B4-A577-4CAC-9011-8B463F0285FA}" name="Gender" dataDxfId="99"/>
    <tableColumn id="4" xr3:uid="{8343E67F-06BE-447A-B552-332293B500AE}" name="Blood Type" dataDxfId="98"/>
    <tableColumn id="5" xr3:uid="{D4B8AA31-3DEF-45B3-AFB3-CC59358D8024}" name="Medical Condition" dataDxfId="97"/>
    <tableColumn id="6" xr3:uid="{ABD0DCE4-3807-4245-9147-ECD04037D72E}" name="Date of Admission" dataDxfId="96"/>
    <tableColumn id="7" xr3:uid="{3546A7B3-F266-4949-B21E-6371B253EA0E}" name="Doctor" dataDxfId="95"/>
    <tableColumn id="8" xr3:uid="{8F9C9CA5-A4DE-4DC8-8207-9282287DB3D4}" name="Hospital" dataDxfId="94"/>
    <tableColumn id="9" xr3:uid="{55B4B197-B578-4F88-980C-DBF8228A4098}" name="Insurance Provider" dataDxfId="93"/>
    <tableColumn id="10" xr3:uid="{B114D9DE-6B3C-4D38-9D3B-D8FF4C95C853}" name="Billing Amount" dataDxfId="92"/>
    <tableColumn id="11" xr3:uid="{84DE60E2-9FB6-45FA-90E6-FC071BF073BC}" name="Room Number" dataDxfId="91"/>
    <tableColumn id="12" xr3:uid="{86D2DB76-08B5-4C38-AC04-ABD0527309FD}" name="Admission Type" dataDxfId="90"/>
    <tableColumn id="13" xr3:uid="{835604AF-1B37-4B82-A2E9-7A99C7C7BBDE}" name="Discharge Date" dataDxfId="89"/>
    <tableColumn id="14" xr3:uid="{94BA0C66-65E9-40C2-82E4-7BEE040D22A9}" name="Medication" dataDxfId="88"/>
    <tableColumn id="15" xr3:uid="{1DF07857-2EB6-43A3-A4AE-DB6460B3C711}" name="Test Results" dataDxfId="87"/>
    <tableColumn id="16" xr3:uid="{8DEF02E4-65D4-464C-B1EF-C3742404C377}" name="Billing Category" dataDxfId="86">
      <calculatedColumnFormula>IF(Table1[[#This Row],[Billing Amount]]&lt;5000,"Low",IF(Table1[[#This Row],[Billing Amount]]&lt;=15000,"Medium","High"))</calculatedColumnFormula>
    </tableColumn>
    <tableColumn id="17" xr3:uid="{6557558E-A061-42E5-BBC9-7498D54C78A6}" name="Patient Status" dataDxfId="85">
      <calculatedColumnFormula>IF(Table1[[#This Row],[Discharge Date]]="Yes","Discharged","Under Treatment")</calculatedColumnFormula>
    </tableColumn>
    <tableColumn id="18" xr3:uid="{63BAD1EC-1DFD-4575-A109-479D291785AC}" name="Risk Flag" dataDxfId="84">
      <calculatedColumnFormula>IF(Table1[[#This Row],[Test Results]]&gt;120,"High Risk","Normal")</calculatedColumnFormula>
    </tableColumn>
    <tableColumn id="19" xr3:uid="{5675E232-584E-4DE3-9EB2-51A308B2D21C}" name="Age_Group" dataDxfId="83">
      <calculatedColumnFormula>IF(Table1[[#This Row],[Age]]&lt;=18,"0-18",IF(Table1[[#This Row],[Age]]&lt;=35,"19-35",IF(Table1[[#This Row],[Age]]&lt;=50,"36-50",IF(Table1[[#This Row],[Age]]&lt;=65,"51-65","65+"))))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B2CA-9BB5-4546-9C33-B836B3D4BD25}">
  <dimension ref="A1:S1828"/>
  <sheetViews>
    <sheetView showGridLines="0" tabSelected="1" topLeftCell="J2" workbookViewId="0">
      <selection activeCell="U19" sqref="U19"/>
    </sheetView>
  </sheetViews>
  <sheetFormatPr defaultRowHeight="14.4" x14ac:dyDescent="0.3"/>
  <cols>
    <col min="3" max="3" width="9" customWidth="1"/>
    <col min="4" max="4" width="12.33203125" customWidth="1"/>
    <col min="5" max="5" width="18.21875" customWidth="1"/>
    <col min="6" max="6" width="18.109375" style="1" customWidth="1"/>
    <col min="8" max="8" width="9.6640625" customWidth="1"/>
    <col min="9" max="9" width="18.6640625" customWidth="1"/>
    <col min="10" max="10" width="15.21875" style="2" customWidth="1"/>
    <col min="11" max="11" width="15.88671875" customWidth="1"/>
    <col min="12" max="12" width="16.109375" customWidth="1"/>
    <col min="13" max="13" width="15.33203125" style="1" customWidth="1"/>
    <col min="14" max="14" width="13.6640625" customWidth="1"/>
    <col min="15" max="15" width="12.6640625" customWidth="1"/>
    <col min="16" max="16" width="17.77734375" customWidth="1"/>
    <col min="17" max="17" width="14.21875" customWidth="1"/>
    <col min="22" max="22" width="18" bestFit="1" customWidth="1"/>
    <col min="23" max="23" width="12.6640625" bestFit="1" customWidth="1"/>
    <col min="24" max="24" width="7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5468</v>
      </c>
      <c r="Q1" t="s">
        <v>5469</v>
      </c>
      <c r="R1" t="s">
        <v>5470</v>
      </c>
      <c r="S1" t="s">
        <v>5473</v>
      </c>
    </row>
    <row r="2" spans="1:19" x14ac:dyDescent="0.3">
      <c r="A2" s="3" t="s">
        <v>15</v>
      </c>
      <c r="B2" s="3">
        <v>30</v>
      </c>
      <c r="C2" s="3" t="s">
        <v>16</v>
      </c>
      <c r="D2" s="3" t="s">
        <v>17</v>
      </c>
      <c r="E2" s="3" t="s">
        <v>18</v>
      </c>
      <c r="F2" s="4">
        <v>45322</v>
      </c>
      <c r="G2" s="3" t="s">
        <v>19</v>
      </c>
      <c r="H2" s="3" t="s">
        <v>20</v>
      </c>
      <c r="I2" s="3" t="s">
        <v>21</v>
      </c>
      <c r="J2" s="5">
        <v>18856.2813059781</v>
      </c>
      <c r="K2" s="3">
        <v>328</v>
      </c>
      <c r="L2" s="3" t="s">
        <v>22</v>
      </c>
      <c r="M2" s="4">
        <v>45324</v>
      </c>
      <c r="N2" s="3" t="s">
        <v>23</v>
      </c>
      <c r="O2" s="3" t="s">
        <v>24</v>
      </c>
      <c r="P2" s="3" t="str">
        <f>IF(Table1[[#This Row],[Billing Amount]]&lt;5000,"Low",IF(Table1[[#This Row],[Billing Amount]]&lt;=15000,"Medium","High"))</f>
        <v>High</v>
      </c>
      <c r="Q2" s="3" t="str">
        <f>IF(Table1[[#This Row],[Discharge Date]]="Yes","Discharged","Under Treatment")</f>
        <v>Under Treatment</v>
      </c>
      <c r="R2" s="3" t="str">
        <f>IF(Table1[[#This Row],[Test Results]]&gt;120,"High Risk","Normal")</f>
        <v>High Risk</v>
      </c>
      <c r="S2" s="3" t="str">
        <f>IF(Table1[[#This Row],[Age]]&lt;=18,"0-18",IF(Table1[[#This Row],[Age]]&lt;=35,"19-35",IF(Table1[[#This Row],[Age]]&lt;=50,"36-50",IF(Table1[[#This Row],[Age]]&lt;=65,"51-65","65+"))))</f>
        <v>19-35</v>
      </c>
    </row>
    <row r="3" spans="1:19" x14ac:dyDescent="0.3">
      <c r="A3" s="3" t="s">
        <v>25</v>
      </c>
      <c r="B3" s="3">
        <v>62</v>
      </c>
      <c r="C3" s="3" t="s">
        <v>16</v>
      </c>
      <c r="D3" s="3" t="s">
        <v>26</v>
      </c>
      <c r="E3" s="3" t="s">
        <v>27</v>
      </c>
      <c r="F3" s="4">
        <v>43697</v>
      </c>
      <c r="G3" s="3" t="s">
        <v>28</v>
      </c>
      <c r="H3" s="3" t="s">
        <v>29</v>
      </c>
      <c r="I3" s="3" t="s">
        <v>30</v>
      </c>
      <c r="J3" s="5">
        <v>33643.327286577798</v>
      </c>
      <c r="K3" s="3">
        <v>265</v>
      </c>
      <c r="L3" s="3" t="s">
        <v>31</v>
      </c>
      <c r="M3" s="4">
        <v>43703</v>
      </c>
      <c r="N3" s="3" t="s">
        <v>32</v>
      </c>
      <c r="O3" s="3" t="s">
        <v>33</v>
      </c>
      <c r="P3" s="3" t="str">
        <f>IF(Table1[[#This Row],[Billing Amount]]&lt;5000,"Low",IF(Table1[[#This Row],[Billing Amount]]&lt;=15000,"Medium","High"))</f>
        <v>High</v>
      </c>
      <c r="Q3" s="3" t="str">
        <f>IF(Table1[[#This Row],[Discharge Date]]="Yes","Discharged","Under Treatment")</f>
        <v>Under Treatment</v>
      </c>
      <c r="R3" s="3" t="str">
        <f>IF(Table1[[#This Row],[Test Results]]&gt;120,"High Risk","Normal")</f>
        <v>High Risk</v>
      </c>
      <c r="S3" s="3" t="str">
        <f>IF(Table1[[#This Row],[Age]]&lt;=18,"0-18",IF(Table1[[#This Row],[Age]]&lt;=35,"19-35",IF(Table1[[#This Row],[Age]]&lt;=50,"36-50",IF(Table1[[#This Row],[Age]]&lt;=65,"51-65","65+"))))</f>
        <v>51-65</v>
      </c>
    </row>
    <row r="4" spans="1:19" x14ac:dyDescent="0.3">
      <c r="A4" s="3" t="s">
        <v>34</v>
      </c>
      <c r="B4" s="3">
        <v>76</v>
      </c>
      <c r="C4" s="3" t="s">
        <v>35</v>
      </c>
      <c r="D4" s="3" t="s">
        <v>36</v>
      </c>
      <c r="E4" s="3" t="s">
        <v>27</v>
      </c>
      <c r="F4" s="4">
        <v>44826</v>
      </c>
      <c r="G4" s="3" t="s">
        <v>37</v>
      </c>
      <c r="H4" s="3" t="s">
        <v>38</v>
      </c>
      <c r="I4" s="3" t="s">
        <v>39</v>
      </c>
      <c r="J4" s="5">
        <v>27955.096078842402</v>
      </c>
      <c r="K4" s="3">
        <v>205</v>
      </c>
      <c r="L4" s="3" t="s">
        <v>31</v>
      </c>
      <c r="M4" s="4">
        <v>44841</v>
      </c>
      <c r="N4" s="3" t="s">
        <v>40</v>
      </c>
      <c r="O4" s="3" t="s">
        <v>24</v>
      </c>
      <c r="P4" s="3" t="str">
        <f>IF(Table1[[#This Row],[Billing Amount]]&lt;5000,"Low",IF(Table1[[#This Row],[Billing Amount]]&lt;=15000,"Medium","High"))</f>
        <v>High</v>
      </c>
      <c r="Q4" s="3" t="str">
        <f>IF(Table1[[#This Row],[Discharge Date]]="Yes","Discharged","Under Treatment")</f>
        <v>Under Treatment</v>
      </c>
      <c r="R4" s="3" t="str">
        <f>IF(Table1[[#This Row],[Test Results]]&gt;120,"High Risk","Normal")</f>
        <v>High Risk</v>
      </c>
      <c r="S4" s="3" t="str">
        <f>IF(Table1[[#This Row],[Age]]&lt;=18,"0-18",IF(Table1[[#This Row],[Age]]&lt;=35,"19-35",IF(Table1[[#This Row],[Age]]&lt;=50,"36-50",IF(Table1[[#This Row],[Age]]&lt;=65,"51-65","65+"))))</f>
        <v>65+</v>
      </c>
    </row>
    <row r="5" spans="1:19" x14ac:dyDescent="0.3">
      <c r="A5" s="3" t="s">
        <v>41</v>
      </c>
      <c r="B5" s="3">
        <v>28</v>
      </c>
      <c r="C5" s="3" t="s">
        <v>35</v>
      </c>
      <c r="D5" s="3" t="s">
        <v>42</v>
      </c>
      <c r="E5" s="3" t="s">
        <v>43</v>
      </c>
      <c r="F5" s="4">
        <v>44153</v>
      </c>
      <c r="G5" s="3" t="s">
        <v>44</v>
      </c>
      <c r="H5" s="3" t="s">
        <v>45</v>
      </c>
      <c r="I5" s="3" t="s">
        <v>30</v>
      </c>
      <c r="J5" s="5">
        <v>37909.782409875203</v>
      </c>
      <c r="K5" s="3">
        <v>450</v>
      </c>
      <c r="L5" s="3" t="s">
        <v>46</v>
      </c>
      <c r="M5" s="4">
        <v>44183</v>
      </c>
      <c r="N5" s="3" t="s">
        <v>32</v>
      </c>
      <c r="O5" s="3" t="s">
        <v>47</v>
      </c>
      <c r="P5" s="3" t="str">
        <f>IF(Table1[[#This Row],[Billing Amount]]&lt;5000,"Low",IF(Table1[[#This Row],[Billing Amount]]&lt;=15000,"Medium","High"))</f>
        <v>High</v>
      </c>
      <c r="Q5" s="3" t="str">
        <f>IF(Table1[[#This Row],[Discharge Date]]="Yes","Discharged","Under Treatment")</f>
        <v>Under Treatment</v>
      </c>
      <c r="R5" s="3" t="str">
        <f>IF(Table1[[#This Row],[Test Results]]&gt;120,"High Risk","Normal")</f>
        <v>High Risk</v>
      </c>
      <c r="S5" s="3" t="str">
        <f>IF(Table1[[#This Row],[Age]]&lt;=18,"0-18",IF(Table1[[#This Row],[Age]]&lt;=35,"19-35",IF(Table1[[#This Row],[Age]]&lt;=50,"36-50",IF(Table1[[#This Row],[Age]]&lt;=65,"51-65","65+"))))</f>
        <v>19-35</v>
      </c>
    </row>
    <row r="6" spans="1:19" x14ac:dyDescent="0.3">
      <c r="A6" s="3" t="s">
        <v>48</v>
      </c>
      <c r="B6" s="3">
        <v>43</v>
      </c>
      <c r="C6" s="3" t="s">
        <v>35</v>
      </c>
      <c r="D6" s="3" t="s">
        <v>49</v>
      </c>
      <c r="E6" s="3" t="s">
        <v>18</v>
      </c>
      <c r="F6" s="4">
        <v>44823</v>
      </c>
      <c r="G6" s="3" t="s">
        <v>50</v>
      </c>
      <c r="H6" s="3" t="s">
        <v>51</v>
      </c>
      <c r="I6" s="3" t="s">
        <v>39</v>
      </c>
      <c r="J6" s="5">
        <v>14238.3178139376</v>
      </c>
      <c r="K6" s="3">
        <v>458</v>
      </c>
      <c r="L6" s="3" t="s">
        <v>22</v>
      </c>
      <c r="M6" s="4">
        <v>44843</v>
      </c>
      <c r="N6" s="3" t="s">
        <v>52</v>
      </c>
      <c r="O6" s="3" t="s">
        <v>47</v>
      </c>
      <c r="P6" s="3" t="str">
        <f>IF(Table1[[#This Row],[Billing Amount]]&lt;5000,"Low",IF(Table1[[#This Row],[Billing Amount]]&lt;=15000,"Medium","High"))</f>
        <v>Medium</v>
      </c>
      <c r="Q6" s="3" t="str">
        <f>IF(Table1[[#This Row],[Discharge Date]]="Yes","Discharged","Under Treatment")</f>
        <v>Under Treatment</v>
      </c>
      <c r="R6" s="3" t="str">
        <f>IF(Table1[[#This Row],[Test Results]]&gt;120,"High Risk","Normal")</f>
        <v>High Risk</v>
      </c>
      <c r="S6" s="3" t="str">
        <f>IF(Table1[[#This Row],[Age]]&lt;=18,"0-18",IF(Table1[[#This Row],[Age]]&lt;=35,"19-35",IF(Table1[[#This Row],[Age]]&lt;=50,"36-50",IF(Table1[[#This Row],[Age]]&lt;=65,"51-65","65+"))))</f>
        <v>36-50</v>
      </c>
    </row>
    <row r="7" spans="1:19" x14ac:dyDescent="0.3">
      <c r="A7" s="3" t="s">
        <v>53</v>
      </c>
      <c r="B7" s="3">
        <v>36</v>
      </c>
      <c r="C7" s="3" t="s">
        <v>16</v>
      </c>
      <c r="D7" s="3" t="s">
        <v>26</v>
      </c>
      <c r="E7" s="3" t="s">
        <v>54</v>
      </c>
      <c r="F7" s="4">
        <v>45280</v>
      </c>
      <c r="G7" s="3" t="s">
        <v>55</v>
      </c>
      <c r="H7" s="3" t="s">
        <v>56</v>
      </c>
      <c r="I7" s="3" t="s">
        <v>57</v>
      </c>
      <c r="J7" s="5">
        <v>48145.110951041803</v>
      </c>
      <c r="K7" s="3">
        <v>389</v>
      </c>
      <c r="L7" s="3" t="s">
        <v>22</v>
      </c>
      <c r="M7" s="4">
        <v>45284</v>
      </c>
      <c r="N7" s="3" t="s">
        <v>32</v>
      </c>
      <c r="O7" s="3" t="s">
        <v>24</v>
      </c>
      <c r="P7" s="3" t="str">
        <f>IF(Table1[[#This Row],[Billing Amount]]&lt;5000,"Low",IF(Table1[[#This Row],[Billing Amount]]&lt;=15000,"Medium","High"))</f>
        <v>High</v>
      </c>
      <c r="Q7" s="3" t="str">
        <f>IF(Table1[[#This Row],[Discharge Date]]="Yes","Discharged","Under Treatment")</f>
        <v>Under Treatment</v>
      </c>
      <c r="R7" s="3" t="str">
        <f>IF(Table1[[#This Row],[Test Results]]&gt;120,"High Risk","Normal")</f>
        <v>High Risk</v>
      </c>
      <c r="S7" s="3" t="str">
        <f>IF(Table1[[#This Row],[Age]]&lt;=18,"0-18",IF(Table1[[#This Row],[Age]]&lt;=35,"19-35",IF(Table1[[#This Row],[Age]]&lt;=50,"36-50",IF(Table1[[#This Row],[Age]]&lt;=65,"51-65","65+"))))</f>
        <v>36-50</v>
      </c>
    </row>
    <row r="8" spans="1:19" x14ac:dyDescent="0.3">
      <c r="A8" s="3" t="s">
        <v>58</v>
      </c>
      <c r="B8" s="3">
        <v>21</v>
      </c>
      <c r="C8" s="3" t="s">
        <v>35</v>
      </c>
      <c r="D8" s="3" t="s">
        <v>59</v>
      </c>
      <c r="E8" s="3" t="s">
        <v>43</v>
      </c>
      <c r="F8" s="4">
        <v>44138</v>
      </c>
      <c r="G8" s="3" t="s">
        <v>60</v>
      </c>
      <c r="H8" s="3" t="s">
        <v>61</v>
      </c>
      <c r="I8" s="3" t="s">
        <v>30</v>
      </c>
      <c r="J8" s="5">
        <v>19580.872344860902</v>
      </c>
      <c r="K8" s="3">
        <v>389</v>
      </c>
      <c r="L8" s="3" t="s">
        <v>31</v>
      </c>
      <c r="M8" s="4">
        <v>44150</v>
      </c>
      <c r="N8" s="3" t="s">
        <v>23</v>
      </c>
      <c r="O8" s="3" t="s">
        <v>33</v>
      </c>
      <c r="P8" s="3" t="str">
        <f>IF(Table1[[#This Row],[Billing Amount]]&lt;5000,"Low",IF(Table1[[#This Row],[Billing Amount]]&lt;=15000,"Medium","High"))</f>
        <v>High</v>
      </c>
      <c r="Q8" s="3" t="str">
        <f>IF(Table1[[#This Row],[Discharge Date]]="Yes","Discharged","Under Treatment")</f>
        <v>Under Treatment</v>
      </c>
      <c r="R8" s="3" t="str">
        <f>IF(Table1[[#This Row],[Test Results]]&gt;120,"High Risk","Normal")</f>
        <v>High Risk</v>
      </c>
      <c r="S8" s="3" t="str">
        <f>IF(Table1[[#This Row],[Age]]&lt;=18,"0-18",IF(Table1[[#This Row],[Age]]&lt;=35,"19-35",IF(Table1[[#This Row],[Age]]&lt;=50,"36-50",IF(Table1[[#This Row],[Age]]&lt;=65,"51-65","65+"))))</f>
        <v>19-35</v>
      </c>
    </row>
    <row r="9" spans="1:19" x14ac:dyDescent="0.3">
      <c r="A9" s="3" t="s">
        <v>62</v>
      </c>
      <c r="B9" s="3">
        <v>20</v>
      </c>
      <c r="C9" s="3" t="s">
        <v>35</v>
      </c>
      <c r="D9" s="3" t="s">
        <v>26</v>
      </c>
      <c r="E9" s="3" t="s">
        <v>18</v>
      </c>
      <c r="F9" s="4">
        <v>44558</v>
      </c>
      <c r="G9" s="3" t="s">
        <v>63</v>
      </c>
      <c r="H9" s="3" t="s">
        <v>64</v>
      </c>
      <c r="I9" s="3" t="s">
        <v>65</v>
      </c>
      <c r="J9" s="5">
        <v>45820.4627215945</v>
      </c>
      <c r="K9" s="3">
        <v>277</v>
      </c>
      <c r="L9" s="3" t="s">
        <v>31</v>
      </c>
      <c r="M9" s="4">
        <v>44568</v>
      </c>
      <c r="N9" s="3" t="s">
        <v>23</v>
      </c>
      <c r="O9" s="3" t="s">
        <v>33</v>
      </c>
      <c r="P9" s="3" t="str">
        <f>IF(Table1[[#This Row],[Billing Amount]]&lt;5000,"Low",IF(Table1[[#This Row],[Billing Amount]]&lt;=15000,"Medium","High"))</f>
        <v>High</v>
      </c>
      <c r="Q9" s="3" t="str">
        <f>IF(Table1[[#This Row],[Discharge Date]]="Yes","Discharged","Under Treatment")</f>
        <v>Under Treatment</v>
      </c>
      <c r="R9" s="3" t="str">
        <f>IF(Table1[[#This Row],[Test Results]]&gt;120,"High Risk","Normal")</f>
        <v>High Risk</v>
      </c>
      <c r="S9" s="3" t="str">
        <f>IF(Table1[[#This Row],[Age]]&lt;=18,"0-18",IF(Table1[[#This Row],[Age]]&lt;=35,"19-35",IF(Table1[[#This Row],[Age]]&lt;=50,"36-50",IF(Table1[[#This Row],[Age]]&lt;=65,"51-65","65+"))))</f>
        <v>19-35</v>
      </c>
    </row>
    <row r="10" spans="1:19" x14ac:dyDescent="0.3">
      <c r="A10" s="3" t="s">
        <v>66</v>
      </c>
      <c r="B10" s="3">
        <v>82</v>
      </c>
      <c r="C10" s="3" t="s">
        <v>16</v>
      </c>
      <c r="D10" s="3" t="s">
        <v>49</v>
      </c>
      <c r="E10" s="3" t="s">
        <v>54</v>
      </c>
      <c r="F10" s="4">
        <v>44013</v>
      </c>
      <c r="G10" s="3" t="s">
        <v>67</v>
      </c>
      <c r="H10" s="3" t="s">
        <v>68</v>
      </c>
      <c r="I10" s="3" t="s">
        <v>65</v>
      </c>
      <c r="J10" s="5">
        <v>50119.222791548498</v>
      </c>
      <c r="K10" s="3">
        <v>316</v>
      </c>
      <c r="L10" s="3" t="s">
        <v>46</v>
      </c>
      <c r="M10" s="4">
        <v>44026</v>
      </c>
      <c r="N10" s="3" t="s">
        <v>40</v>
      </c>
      <c r="O10" s="3" t="s">
        <v>47</v>
      </c>
      <c r="P10" s="3" t="str">
        <f>IF(Table1[[#This Row],[Billing Amount]]&lt;5000,"Low",IF(Table1[[#This Row],[Billing Amount]]&lt;=15000,"Medium","High"))</f>
        <v>High</v>
      </c>
      <c r="Q10" s="3" t="str">
        <f>IF(Table1[[#This Row],[Discharge Date]]="Yes","Discharged","Under Treatment")</f>
        <v>Under Treatment</v>
      </c>
      <c r="R10" s="3" t="str">
        <f>IF(Table1[[#This Row],[Test Results]]&gt;120,"High Risk","Normal")</f>
        <v>High Risk</v>
      </c>
      <c r="S10" s="3" t="str">
        <f>IF(Table1[[#This Row],[Age]]&lt;=18,"0-18",IF(Table1[[#This Row],[Age]]&lt;=35,"19-35",IF(Table1[[#This Row],[Age]]&lt;=50,"36-50",IF(Table1[[#This Row],[Age]]&lt;=65,"51-65","65+"))))</f>
        <v>65+</v>
      </c>
    </row>
    <row r="11" spans="1:19" x14ac:dyDescent="0.3">
      <c r="A11" s="3" t="s">
        <v>69</v>
      </c>
      <c r="B11" s="3">
        <v>58</v>
      </c>
      <c r="C11" s="3" t="s">
        <v>35</v>
      </c>
      <c r="D11" s="3" t="s">
        <v>59</v>
      </c>
      <c r="E11" s="3" t="s">
        <v>18</v>
      </c>
      <c r="F11" s="4">
        <v>44339</v>
      </c>
      <c r="G11" s="3" t="s">
        <v>70</v>
      </c>
      <c r="H11" s="3" t="s">
        <v>71</v>
      </c>
      <c r="I11" s="3" t="s">
        <v>57</v>
      </c>
      <c r="J11" s="5">
        <v>19784.631062210701</v>
      </c>
      <c r="K11" s="3">
        <v>249</v>
      </c>
      <c r="L11" s="3" t="s">
        <v>46</v>
      </c>
      <c r="M11" s="4">
        <v>44369</v>
      </c>
      <c r="N11" s="3" t="s">
        <v>23</v>
      </c>
      <c r="O11" s="3" t="s">
        <v>33</v>
      </c>
      <c r="P11" s="3" t="str">
        <f>IF(Table1[[#This Row],[Billing Amount]]&lt;5000,"Low",IF(Table1[[#This Row],[Billing Amount]]&lt;=15000,"Medium","High"))</f>
        <v>High</v>
      </c>
      <c r="Q11" s="3" t="str">
        <f>IF(Table1[[#This Row],[Discharge Date]]="Yes","Discharged","Under Treatment")</f>
        <v>Under Treatment</v>
      </c>
      <c r="R11" s="3" t="str">
        <f>IF(Table1[[#This Row],[Test Results]]&gt;120,"High Risk","Normal")</f>
        <v>High Risk</v>
      </c>
      <c r="S11" s="3" t="str">
        <f>IF(Table1[[#This Row],[Age]]&lt;=18,"0-18",IF(Table1[[#This Row],[Age]]&lt;=35,"19-35",IF(Table1[[#This Row],[Age]]&lt;=50,"36-50",IF(Table1[[#This Row],[Age]]&lt;=65,"51-65","65+"))))</f>
        <v>51-65</v>
      </c>
    </row>
    <row r="12" spans="1:19" x14ac:dyDescent="0.3">
      <c r="A12" s="3" t="s">
        <v>72</v>
      </c>
      <c r="B12" s="3">
        <v>72</v>
      </c>
      <c r="C12" s="3" t="s">
        <v>16</v>
      </c>
      <c r="D12" s="3" t="s">
        <v>42</v>
      </c>
      <c r="E12" s="3" t="s">
        <v>18</v>
      </c>
      <c r="F12" s="4">
        <v>43940</v>
      </c>
      <c r="G12" s="3" t="s">
        <v>73</v>
      </c>
      <c r="H12" s="3" t="s">
        <v>74</v>
      </c>
      <c r="I12" s="3" t="s">
        <v>30</v>
      </c>
      <c r="J12" s="5">
        <v>12576.795609050199</v>
      </c>
      <c r="K12" s="3">
        <v>394</v>
      </c>
      <c r="L12" s="3" t="s">
        <v>22</v>
      </c>
      <c r="M12" s="4">
        <v>43943</v>
      </c>
      <c r="N12" s="3" t="s">
        <v>23</v>
      </c>
      <c r="O12" s="3" t="s">
        <v>24</v>
      </c>
      <c r="P12" s="3" t="str">
        <f>IF(Table1[[#This Row],[Billing Amount]]&lt;5000,"Low",IF(Table1[[#This Row],[Billing Amount]]&lt;=15000,"Medium","High"))</f>
        <v>Medium</v>
      </c>
      <c r="Q12" s="3" t="str">
        <f>IF(Table1[[#This Row],[Discharge Date]]="Yes","Discharged","Under Treatment")</f>
        <v>Under Treatment</v>
      </c>
      <c r="R12" s="3" t="str">
        <f>IF(Table1[[#This Row],[Test Results]]&gt;120,"High Risk","Normal")</f>
        <v>High Risk</v>
      </c>
      <c r="S12" s="3" t="str">
        <f>IF(Table1[[#This Row],[Age]]&lt;=18,"0-18",IF(Table1[[#This Row],[Age]]&lt;=35,"19-35",IF(Table1[[#This Row],[Age]]&lt;=50,"36-50",IF(Table1[[#This Row],[Age]]&lt;=65,"51-65","65+"))))</f>
        <v>65+</v>
      </c>
    </row>
    <row r="13" spans="1:19" x14ac:dyDescent="0.3">
      <c r="A13" s="3" t="s">
        <v>75</v>
      </c>
      <c r="B13" s="3">
        <v>38</v>
      </c>
      <c r="C13" s="3" t="s">
        <v>35</v>
      </c>
      <c r="D13" s="3" t="s">
        <v>36</v>
      </c>
      <c r="E13" s="3" t="s">
        <v>76</v>
      </c>
      <c r="F13" s="4">
        <v>45151</v>
      </c>
      <c r="G13" s="3" t="s">
        <v>77</v>
      </c>
      <c r="H13" s="3" t="s">
        <v>78</v>
      </c>
      <c r="I13" s="3" t="s">
        <v>30</v>
      </c>
      <c r="J13" s="5">
        <v>7999.5868796041796</v>
      </c>
      <c r="K13" s="3">
        <v>288</v>
      </c>
      <c r="L13" s="3" t="s">
        <v>22</v>
      </c>
      <c r="M13" s="4">
        <v>45174</v>
      </c>
      <c r="N13" s="3" t="s">
        <v>79</v>
      </c>
      <c r="O13" s="3" t="s">
        <v>33</v>
      </c>
      <c r="P13" s="3" t="str">
        <f>IF(Table1[[#This Row],[Billing Amount]]&lt;5000,"Low",IF(Table1[[#This Row],[Billing Amount]]&lt;=15000,"Medium","High"))</f>
        <v>Medium</v>
      </c>
      <c r="Q13" s="3" t="str">
        <f>IF(Table1[[#This Row],[Discharge Date]]="Yes","Discharged","Under Treatment")</f>
        <v>Under Treatment</v>
      </c>
      <c r="R13" s="3" t="str">
        <f>IF(Table1[[#This Row],[Test Results]]&gt;120,"High Risk","Normal")</f>
        <v>High Risk</v>
      </c>
      <c r="S13" s="3" t="str">
        <f>IF(Table1[[#This Row],[Age]]&lt;=18,"0-18",IF(Table1[[#This Row],[Age]]&lt;=35,"19-35",IF(Table1[[#This Row],[Age]]&lt;=50,"36-50",IF(Table1[[#This Row],[Age]]&lt;=65,"51-65","65+"))))</f>
        <v>36-50</v>
      </c>
    </row>
    <row r="14" spans="1:19" x14ac:dyDescent="0.3">
      <c r="A14" s="3" t="s">
        <v>80</v>
      </c>
      <c r="B14" s="3">
        <v>75</v>
      </c>
      <c r="C14" s="3" t="s">
        <v>35</v>
      </c>
      <c r="D14" s="3" t="s">
        <v>26</v>
      </c>
      <c r="E14" s="3" t="s">
        <v>43</v>
      </c>
      <c r="F14" s="4">
        <v>43811</v>
      </c>
      <c r="G14" s="3" t="s">
        <v>81</v>
      </c>
      <c r="H14" s="3" t="s">
        <v>82</v>
      </c>
      <c r="I14" s="3" t="s">
        <v>65</v>
      </c>
      <c r="J14" s="5">
        <v>43282.283357704298</v>
      </c>
      <c r="K14" s="3">
        <v>134</v>
      </c>
      <c r="L14" s="3" t="s">
        <v>31</v>
      </c>
      <c r="M14" s="4">
        <v>43827</v>
      </c>
      <c r="N14" s="3" t="s">
        <v>52</v>
      </c>
      <c r="O14" s="3" t="s">
        <v>47</v>
      </c>
      <c r="P14" s="3" t="str">
        <f>IF(Table1[[#This Row],[Billing Amount]]&lt;5000,"Low",IF(Table1[[#This Row],[Billing Amount]]&lt;=15000,"Medium","High"))</f>
        <v>High</v>
      </c>
      <c r="Q14" s="3" t="str">
        <f>IF(Table1[[#This Row],[Discharge Date]]="Yes","Discharged","Under Treatment")</f>
        <v>Under Treatment</v>
      </c>
      <c r="R14" s="3" t="str">
        <f>IF(Table1[[#This Row],[Test Results]]&gt;120,"High Risk","Normal")</f>
        <v>High Risk</v>
      </c>
      <c r="S14" s="3" t="str">
        <f>IF(Table1[[#This Row],[Age]]&lt;=18,"0-18",IF(Table1[[#This Row],[Age]]&lt;=35,"19-35",IF(Table1[[#This Row],[Age]]&lt;=50,"36-50",IF(Table1[[#This Row],[Age]]&lt;=65,"51-65","65+"))))</f>
        <v>65+</v>
      </c>
    </row>
    <row r="15" spans="1:19" x14ac:dyDescent="0.3">
      <c r="A15" s="3" t="s">
        <v>83</v>
      </c>
      <c r="B15" s="3">
        <v>68</v>
      </c>
      <c r="C15" s="3" t="s">
        <v>35</v>
      </c>
      <c r="D15" s="3" t="s">
        <v>49</v>
      </c>
      <c r="E15" s="3" t="s">
        <v>54</v>
      </c>
      <c r="F15" s="4">
        <v>43973</v>
      </c>
      <c r="G15" s="3" t="s">
        <v>84</v>
      </c>
      <c r="H15" s="3" t="s">
        <v>85</v>
      </c>
      <c r="I15" s="3" t="s">
        <v>57</v>
      </c>
      <c r="J15" s="5">
        <v>33207.706633729598</v>
      </c>
      <c r="K15" s="3">
        <v>309</v>
      </c>
      <c r="L15" s="3" t="s">
        <v>22</v>
      </c>
      <c r="M15" s="4">
        <v>44001</v>
      </c>
      <c r="N15" s="3" t="s">
        <v>79</v>
      </c>
      <c r="O15" s="3" t="s">
        <v>24</v>
      </c>
      <c r="P15" s="3" t="str">
        <f>IF(Table1[[#This Row],[Billing Amount]]&lt;5000,"Low",IF(Table1[[#This Row],[Billing Amount]]&lt;=15000,"Medium","High"))</f>
        <v>High</v>
      </c>
      <c r="Q15" s="3" t="str">
        <f>IF(Table1[[#This Row],[Discharge Date]]="Yes","Discharged","Under Treatment")</f>
        <v>Under Treatment</v>
      </c>
      <c r="R15" s="3" t="str">
        <f>IF(Table1[[#This Row],[Test Results]]&gt;120,"High Risk","Normal")</f>
        <v>High Risk</v>
      </c>
      <c r="S15" s="3" t="str">
        <f>IF(Table1[[#This Row],[Age]]&lt;=18,"0-18",IF(Table1[[#This Row],[Age]]&lt;=35,"19-35",IF(Table1[[#This Row],[Age]]&lt;=50,"36-50",IF(Table1[[#This Row],[Age]]&lt;=65,"51-65","65+"))))</f>
        <v>65+</v>
      </c>
    </row>
    <row r="16" spans="1:19" x14ac:dyDescent="0.3">
      <c r="A16" s="3" t="s">
        <v>86</v>
      </c>
      <c r="B16" s="3">
        <v>44</v>
      </c>
      <c r="C16" s="3" t="s">
        <v>35</v>
      </c>
      <c r="D16" s="3" t="s">
        <v>49</v>
      </c>
      <c r="E16" s="3" t="s">
        <v>18</v>
      </c>
      <c r="F16" s="4">
        <v>44477</v>
      </c>
      <c r="G16" s="3" t="s">
        <v>87</v>
      </c>
      <c r="H16" s="3" t="s">
        <v>88</v>
      </c>
      <c r="I16" s="3" t="s">
        <v>57</v>
      </c>
      <c r="J16" s="5">
        <v>40701.599227308703</v>
      </c>
      <c r="K16" s="3">
        <v>182</v>
      </c>
      <c r="L16" s="3" t="s">
        <v>22</v>
      </c>
      <c r="M16" s="4">
        <v>44482</v>
      </c>
      <c r="N16" s="3" t="s">
        <v>23</v>
      </c>
      <c r="O16" s="3" t="s">
        <v>24</v>
      </c>
      <c r="P16" s="3" t="str">
        <f>IF(Table1[[#This Row],[Billing Amount]]&lt;5000,"Low",IF(Table1[[#This Row],[Billing Amount]]&lt;=15000,"Medium","High"))</f>
        <v>High</v>
      </c>
      <c r="Q16" s="3" t="str">
        <f>IF(Table1[[#This Row],[Discharge Date]]="Yes","Discharged","Under Treatment")</f>
        <v>Under Treatment</v>
      </c>
      <c r="R16" s="3" t="str">
        <f>IF(Table1[[#This Row],[Test Results]]&gt;120,"High Risk","Normal")</f>
        <v>High Risk</v>
      </c>
      <c r="S16" s="3" t="str">
        <f>IF(Table1[[#This Row],[Age]]&lt;=18,"0-18",IF(Table1[[#This Row],[Age]]&lt;=35,"19-35",IF(Table1[[#This Row],[Age]]&lt;=50,"36-50",IF(Table1[[#This Row],[Age]]&lt;=65,"51-65","65+"))))</f>
        <v>36-50</v>
      </c>
    </row>
    <row r="17" spans="1:19" x14ac:dyDescent="0.3">
      <c r="A17" s="3" t="s">
        <v>89</v>
      </c>
      <c r="B17" s="3">
        <v>46</v>
      </c>
      <c r="C17" s="3" t="s">
        <v>35</v>
      </c>
      <c r="D17" s="3" t="s">
        <v>59</v>
      </c>
      <c r="E17" s="3" t="s">
        <v>27</v>
      </c>
      <c r="F17" s="4">
        <v>44927</v>
      </c>
      <c r="G17" s="3" t="s">
        <v>90</v>
      </c>
      <c r="H17" s="3" t="s">
        <v>91</v>
      </c>
      <c r="I17" s="3" t="s">
        <v>21</v>
      </c>
      <c r="J17" s="5">
        <v>12263.357425021301</v>
      </c>
      <c r="K17" s="3">
        <v>465</v>
      </c>
      <c r="L17" s="3" t="s">
        <v>46</v>
      </c>
      <c r="M17" s="4">
        <v>44937</v>
      </c>
      <c r="N17" s="3" t="s">
        <v>40</v>
      </c>
      <c r="O17" s="3" t="s">
        <v>33</v>
      </c>
      <c r="P17" s="3" t="str">
        <f>IF(Table1[[#This Row],[Billing Amount]]&lt;5000,"Low",IF(Table1[[#This Row],[Billing Amount]]&lt;=15000,"Medium","High"))</f>
        <v>Medium</v>
      </c>
      <c r="Q17" s="3" t="str">
        <f>IF(Table1[[#This Row],[Discharge Date]]="Yes","Discharged","Under Treatment")</f>
        <v>Under Treatment</v>
      </c>
      <c r="R17" s="3" t="str">
        <f>IF(Table1[[#This Row],[Test Results]]&gt;120,"High Risk","Normal")</f>
        <v>High Risk</v>
      </c>
      <c r="S17" s="3" t="str">
        <f>IF(Table1[[#This Row],[Age]]&lt;=18,"0-18",IF(Table1[[#This Row],[Age]]&lt;=35,"19-35",IF(Table1[[#This Row],[Age]]&lt;=50,"36-50",IF(Table1[[#This Row],[Age]]&lt;=65,"51-65","65+"))))</f>
        <v>36-50</v>
      </c>
    </row>
    <row r="18" spans="1:19" x14ac:dyDescent="0.3">
      <c r="A18" s="3" t="s">
        <v>92</v>
      </c>
      <c r="B18" s="3">
        <v>63</v>
      </c>
      <c r="C18" s="3" t="s">
        <v>35</v>
      </c>
      <c r="D18" s="3" t="s">
        <v>26</v>
      </c>
      <c r="E18" s="3" t="s">
        <v>93</v>
      </c>
      <c r="F18" s="4">
        <v>44005</v>
      </c>
      <c r="G18" s="3" t="s">
        <v>94</v>
      </c>
      <c r="H18" s="3" t="s">
        <v>95</v>
      </c>
      <c r="I18" s="3" t="s">
        <v>57</v>
      </c>
      <c r="J18" s="5">
        <v>24499.8479037365</v>
      </c>
      <c r="K18" s="3">
        <v>114</v>
      </c>
      <c r="L18" s="3" t="s">
        <v>46</v>
      </c>
      <c r="M18" s="4">
        <v>44026</v>
      </c>
      <c r="N18" s="3" t="s">
        <v>23</v>
      </c>
      <c r="O18" s="3" t="s">
        <v>24</v>
      </c>
      <c r="P18" s="3" t="str">
        <f>IF(Table1[[#This Row],[Billing Amount]]&lt;5000,"Low",IF(Table1[[#This Row],[Billing Amount]]&lt;=15000,"Medium","High"))</f>
        <v>High</v>
      </c>
      <c r="Q18" s="3" t="str">
        <f>IF(Table1[[#This Row],[Discharge Date]]="Yes","Discharged","Under Treatment")</f>
        <v>Under Treatment</v>
      </c>
      <c r="R18" s="3" t="str">
        <f>IF(Table1[[#This Row],[Test Results]]&gt;120,"High Risk","Normal")</f>
        <v>High Risk</v>
      </c>
      <c r="S18" s="3" t="str">
        <f>IF(Table1[[#This Row],[Age]]&lt;=18,"0-18",IF(Table1[[#This Row],[Age]]&lt;=35,"19-35",IF(Table1[[#This Row],[Age]]&lt;=50,"36-50",IF(Table1[[#This Row],[Age]]&lt;=65,"51-65","65+"))))</f>
        <v>51-65</v>
      </c>
    </row>
    <row r="19" spans="1:19" x14ac:dyDescent="0.3">
      <c r="A19" s="3" t="s">
        <v>96</v>
      </c>
      <c r="B19" s="3">
        <v>38</v>
      </c>
      <c r="C19" s="3" t="s">
        <v>16</v>
      </c>
      <c r="D19" s="3" t="s">
        <v>59</v>
      </c>
      <c r="E19" s="3" t="s">
        <v>27</v>
      </c>
      <c r="F19" s="4">
        <v>43898</v>
      </c>
      <c r="G19" s="3" t="s">
        <v>97</v>
      </c>
      <c r="H19" s="3" t="s">
        <v>98</v>
      </c>
      <c r="I19" s="3" t="s">
        <v>65</v>
      </c>
      <c r="J19" s="5">
        <v>17440.465444124598</v>
      </c>
      <c r="K19" s="3">
        <v>449</v>
      </c>
      <c r="L19" s="3" t="s">
        <v>22</v>
      </c>
      <c r="M19" s="4">
        <v>43923</v>
      </c>
      <c r="N19" s="3" t="s">
        <v>23</v>
      </c>
      <c r="O19" s="3" t="s">
        <v>47</v>
      </c>
      <c r="P19" s="3" t="str">
        <f>IF(Table1[[#This Row],[Billing Amount]]&lt;5000,"Low",IF(Table1[[#This Row],[Billing Amount]]&lt;=15000,"Medium","High"))</f>
        <v>High</v>
      </c>
      <c r="Q19" s="3" t="str">
        <f>IF(Table1[[#This Row],[Discharge Date]]="Yes","Discharged","Under Treatment")</f>
        <v>Under Treatment</v>
      </c>
      <c r="R19" s="3" t="str">
        <f>IF(Table1[[#This Row],[Test Results]]&gt;120,"High Risk","Normal")</f>
        <v>High Risk</v>
      </c>
      <c r="S19" s="3" t="str">
        <f>IF(Table1[[#This Row],[Age]]&lt;=18,"0-18",IF(Table1[[#This Row],[Age]]&lt;=35,"19-35",IF(Table1[[#This Row],[Age]]&lt;=50,"36-50",IF(Table1[[#This Row],[Age]]&lt;=65,"51-65","65+"))))</f>
        <v>36-50</v>
      </c>
    </row>
    <row r="20" spans="1:19" x14ac:dyDescent="0.3">
      <c r="A20" s="3" t="s">
        <v>99</v>
      </c>
      <c r="B20" s="3">
        <v>34</v>
      </c>
      <c r="C20" s="3" t="s">
        <v>35</v>
      </c>
      <c r="D20" s="3" t="s">
        <v>36</v>
      </c>
      <c r="E20" s="3" t="s">
        <v>76</v>
      </c>
      <c r="F20" s="4">
        <v>44259</v>
      </c>
      <c r="G20" s="3" t="s">
        <v>100</v>
      </c>
      <c r="H20" s="3" t="s">
        <v>101</v>
      </c>
      <c r="I20" s="3" t="s">
        <v>21</v>
      </c>
      <c r="J20" s="5">
        <v>18843.023017834101</v>
      </c>
      <c r="K20" s="3">
        <v>260</v>
      </c>
      <c r="L20" s="3" t="s">
        <v>46</v>
      </c>
      <c r="M20" s="4">
        <v>44269</v>
      </c>
      <c r="N20" s="3" t="s">
        <v>40</v>
      </c>
      <c r="O20" s="3" t="s">
        <v>47</v>
      </c>
      <c r="P20" s="3" t="str">
        <f>IF(Table1[[#This Row],[Billing Amount]]&lt;5000,"Low",IF(Table1[[#This Row],[Billing Amount]]&lt;=15000,"Medium","High"))</f>
        <v>High</v>
      </c>
      <c r="Q20" s="3" t="str">
        <f>IF(Table1[[#This Row],[Discharge Date]]="Yes","Discharged","Under Treatment")</f>
        <v>Under Treatment</v>
      </c>
      <c r="R20" s="3" t="str">
        <f>IF(Table1[[#This Row],[Test Results]]&gt;120,"High Risk","Normal")</f>
        <v>High Risk</v>
      </c>
      <c r="S20" s="3" t="str">
        <f>IF(Table1[[#This Row],[Age]]&lt;=18,"0-18",IF(Table1[[#This Row],[Age]]&lt;=35,"19-35",IF(Table1[[#This Row],[Age]]&lt;=50,"36-50",IF(Table1[[#This Row],[Age]]&lt;=65,"51-65","65+"))))</f>
        <v>19-35</v>
      </c>
    </row>
    <row r="21" spans="1:19" x14ac:dyDescent="0.3">
      <c r="A21" s="3" t="s">
        <v>102</v>
      </c>
      <c r="B21" s="3">
        <v>63</v>
      </c>
      <c r="C21" s="3" t="s">
        <v>16</v>
      </c>
      <c r="D21" s="3" t="s">
        <v>103</v>
      </c>
      <c r="E21" s="3" t="s">
        <v>54</v>
      </c>
      <c r="F21" s="4">
        <v>44880</v>
      </c>
      <c r="G21" s="3" t="s">
        <v>104</v>
      </c>
      <c r="H21" s="3" t="s">
        <v>105</v>
      </c>
      <c r="I21" s="3" t="s">
        <v>65</v>
      </c>
      <c r="J21" s="5">
        <v>23762.2035790595</v>
      </c>
      <c r="K21" s="3">
        <v>465</v>
      </c>
      <c r="L21" s="3" t="s">
        <v>46</v>
      </c>
      <c r="M21" s="4">
        <v>44887</v>
      </c>
      <c r="N21" s="3" t="s">
        <v>52</v>
      </c>
      <c r="O21" s="3" t="s">
        <v>24</v>
      </c>
      <c r="P21" s="3" t="str">
        <f>IF(Table1[[#This Row],[Billing Amount]]&lt;5000,"Low",IF(Table1[[#This Row],[Billing Amount]]&lt;=15000,"Medium","High"))</f>
        <v>High</v>
      </c>
      <c r="Q21" s="3" t="str">
        <f>IF(Table1[[#This Row],[Discharge Date]]="Yes","Discharged","Under Treatment")</f>
        <v>Under Treatment</v>
      </c>
      <c r="R21" s="3" t="str">
        <f>IF(Table1[[#This Row],[Test Results]]&gt;120,"High Risk","Normal")</f>
        <v>High Risk</v>
      </c>
      <c r="S21" s="3" t="str">
        <f>IF(Table1[[#This Row],[Age]]&lt;=18,"0-18",IF(Table1[[#This Row],[Age]]&lt;=35,"19-35",IF(Table1[[#This Row],[Age]]&lt;=50,"36-50",IF(Table1[[#This Row],[Age]]&lt;=65,"51-65","65+"))))</f>
        <v>51-65</v>
      </c>
    </row>
    <row r="22" spans="1:19" x14ac:dyDescent="0.3">
      <c r="A22" s="3" t="s">
        <v>106</v>
      </c>
      <c r="B22" s="3">
        <v>67</v>
      </c>
      <c r="C22" s="3" t="s">
        <v>35</v>
      </c>
      <c r="D22" s="3" t="s">
        <v>36</v>
      </c>
      <c r="E22" s="3" t="s">
        <v>54</v>
      </c>
      <c r="F22" s="4">
        <v>45105</v>
      </c>
      <c r="G22" s="3" t="s">
        <v>107</v>
      </c>
      <c r="H22" s="3" t="s">
        <v>108</v>
      </c>
      <c r="I22" s="3" t="s">
        <v>21</v>
      </c>
      <c r="J22" s="5">
        <v>42.514588553324302</v>
      </c>
      <c r="K22" s="3">
        <v>115</v>
      </c>
      <c r="L22" s="3" t="s">
        <v>46</v>
      </c>
      <c r="M22" s="4">
        <v>45109</v>
      </c>
      <c r="N22" s="3" t="s">
        <v>40</v>
      </c>
      <c r="O22" s="3" t="s">
        <v>24</v>
      </c>
      <c r="P22" s="3" t="str">
        <f>IF(Table1[[#This Row],[Billing Amount]]&lt;5000,"Low",IF(Table1[[#This Row],[Billing Amount]]&lt;=15000,"Medium","High"))</f>
        <v>Low</v>
      </c>
      <c r="Q22" s="3" t="str">
        <f>IF(Table1[[#This Row],[Discharge Date]]="Yes","Discharged","Under Treatment")</f>
        <v>Under Treatment</v>
      </c>
      <c r="R22" s="3" t="str">
        <f>IF(Table1[[#This Row],[Test Results]]&gt;120,"High Risk","Normal")</f>
        <v>High Risk</v>
      </c>
      <c r="S22" s="3" t="str">
        <f>IF(Table1[[#This Row],[Age]]&lt;=18,"0-18",IF(Table1[[#This Row],[Age]]&lt;=35,"19-35",IF(Table1[[#This Row],[Age]]&lt;=50,"36-50",IF(Table1[[#This Row],[Age]]&lt;=65,"51-65","65+"))))</f>
        <v>65+</v>
      </c>
    </row>
    <row r="23" spans="1:19" x14ac:dyDescent="0.3">
      <c r="A23" s="3" t="s">
        <v>109</v>
      </c>
      <c r="B23" s="3">
        <v>48</v>
      </c>
      <c r="C23" s="3" t="s">
        <v>16</v>
      </c>
      <c r="D23" s="3" t="s">
        <v>103</v>
      </c>
      <c r="E23" s="3" t="s">
        <v>54</v>
      </c>
      <c r="F23" s="4">
        <v>43851</v>
      </c>
      <c r="G23" s="3" t="s">
        <v>110</v>
      </c>
      <c r="H23" s="3" t="s">
        <v>111</v>
      </c>
      <c r="I23" s="3" t="s">
        <v>39</v>
      </c>
      <c r="J23" s="5">
        <v>17695.9116223438</v>
      </c>
      <c r="K23" s="3">
        <v>295</v>
      </c>
      <c r="L23" s="3" t="s">
        <v>22</v>
      </c>
      <c r="M23" s="4">
        <v>43870</v>
      </c>
      <c r="N23" s="3" t="s">
        <v>79</v>
      </c>
      <c r="O23" s="3" t="s">
        <v>24</v>
      </c>
      <c r="P23" s="3" t="str">
        <f>IF(Table1[[#This Row],[Billing Amount]]&lt;5000,"Low",IF(Table1[[#This Row],[Billing Amount]]&lt;=15000,"Medium","High"))</f>
        <v>High</v>
      </c>
      <c r="Q23" s="3" t="str">
        <f>IF(Table1[[#This Row],[Discharge Date]]="Yes","Discharged","Under Treatment")</f>
        <v>Under Treatment</v>
      </c>
      <c r="R23" s="3" t="str">
        <f>IF(Table1[[#This Row],[Test Results]]&gt;120,"High Risk","Normal")</f>
        <v>High Risk</v>
      </c>
      <c r="S23" s="3" t="str">
        <f>IF(Table1[[#This Row],[Age]]&lt;=18,"0-18",IF(Table1[[#This Row],[Age]]&lt;=35,"19-35",IF(Table1[[#This Row],[Age]]&lt;=50,"36-50",IF(Table1[[#This Row],[Age]]&lt;=65,"51-65","65+"))))</f>
        <v>36-50</v>
      </c>
    </row>
    <row r="24" spans="1:19" x14ac:dyDescent="0.3">
      <c r="A24" s="3" t="s">
        <v>112</v>
      </c>
      <c r="B24" s="3">
        <v>58</v>
      </c>
      <c r="C24" s="3" t="s">
        <v>35</v>
      </c>
      <c r="D24" s="3" t="s">
        <v>42</v>
      </c>
      <c r="E24" s="3" t="s">
        <v>93</v>
      </c>
      <c r="F24" s="4">
        <v>44693</v>
      </c>
      <c r="G24" s="3" t="s">
        <v>113</v>
      </c>
      <c r="H24" s="3" t="s">
        <v>114</v>
      </c>
      <c r="I24" s="3" t="s">
        <v>39</v>
      </c>
      <c r="J24" s="5">
        <v>5998.1029081959095</v>
      </c>
      <c r="K24" s="3">
        <v>327</v>
      </c>
      <c r="L24" s="3" t="s">
        <v>22</v>
      </c>
      <c r="M24" s="4">
        <v>44722</v>
      </c>
      <c r="N24" s="3" t="s">
        <v>79</v>
      </c>
      <c r="O24" s="3" t="s">
        <v>33</v>
      </c>
      <c r="P24" s="3" t="str">
        <f>IF(Table1[[#This Row],[Billing Amount]]&lt;5000,"Low",IF(Table1[[#This Row],[Billing Amount]]&lt;=15000,"Medium","High"))</f>
        <v>Medium</v>
      </c>
      <c r="Q24" s="3" t="str">
        <f>IF(Table1[[#This Row],[Discharge Date]]="Yes","Discharged","Under Treatment")</f>
        <v>Under Treatment</v>
      </c>
      <c r="R24" s="3" t="str">
        <f>IF(Table1[[#This Row],[Test Results]]&gt;120,"High Risk","Normal")</f>
        <v>High Risk</v>
      </c>
      <c r="S24" s="3" t="str">
        <f>IF(Table1[[#This Row],[Age]]&lt;=18,"0-18",IF(Table1[[#This Row],[Age]]&lt;=35,"19-35",IF(Table1[[#This Row],[Age]]&lt;=50,"36-50",IF(Table1[[#This Row],[Age]]&lt;=65,"51-65","65+"))))</f>
        <v>51-65</v>
      </c>
    </row>
    <row r="25" spans="1:19" x14ac:dyDescent="0.3">
      <c r="A25" s="3" t="s">
        <v>115</v>
      </c>
      <c r="B25" s="3">
        <v>59</v>
      </c>
      <c r="C25" s="3" t="s">
        <v>16</v>
      </c>
      <c r="D25" s="3" t="s">
        <v>26</v>
      </c>
      <c r="E25" s="3" t="s">
        <v>54</v>
      </c>
      <c r="F25" s="4">
        <v>44410</v>
      </c>
      <c r="G25" s="3" t="s">
        <v>116</v>
      </c>
      <c r="H25" s="3" t="s">
        <v>117</v>
      </c>
      <c r="I25" s="3" t="s">
        <v>39</v>
      </c>
      <c r="J25" s="5">
        <v>25250.052428216099</v>
      </c>
      <c r="K25" s="3">
        <v>119</v>
      </c>
      <c r="L25" s="3" t="s">
        <v>22</v>
      </c>
      <c r="M25" s="4">
        <v>44420</v>
      </c>
      <c r="N25" s="3" t="s">
        <v>79</v>
      </c>
      <c r="O25" s="3" t="s">
        <v>33</v>
      </c>
      <c r="P25" s="3" t="str">
        <f>IF(Table1[[#This Row],[Billing Amount]]&lt;5000,"Low",IF(Table1[[#This Row],[Billing Amount]]&lt;=15000,"Medium","High"))</f>
        <v>High</v>
      </c>
      <c r="Q25" s="3" t="str">
        <f>IF(Table1[[#This Row],[Discharge Date]]="Yes","Discharged","Under Treatment")</f>
        <v>Under Treatment</v>
      </c>
      <c r="R25" s="3" t="str">
        <f>IF(Table1[[#This Row],[Test Results]]&gt;120,"High Risk","Normal")</f>
        <v>High Risk</v>
      </c>
      <c r="S25" s="3" t="str">
        <f>IF(Table1[[#This Row],[Age]]&lt;=18,"0-18",IF(Table1[[#This Row],[Age]]&lt;=35,"19-35",IF(Table1[[#This Row],[Age]]&lt;=50,"36-50",IF(Table1[[#This Row],[Age]]&lt;=65,"51-65","65+"))))</f>
        <v>51-65</v>
      </c>
    </row>
    <row r="26" spans="1:19" x14ac:dyDescent="0.3">
      <c r="A26" s="3" t="s">
        <v>118</v>
      </c>
      <c r="B26" s="3">
        <v>72</v>
      </c>
      <c r="C26" s="3" t="s">
        <v>35</v>
      </c>
      <c r="D26" s="3" t="s">
        <v>49</v>
      </c>
      <c r="E26" s="3" t="s">
        <v>76</v>
      </c>
      <c r="F26" s="4">
        <v>43966</v>
      </c>
      <c r="G26" s="3" t="s">
        <v>119</v>
      </c>
      <c r="H26" s="3" t="s">
        <v>120</v>
      </c>
      <c r="I26" s="3" t="s">
        <v>30</v>
      </c>
      <c r="J26" s="5">
        <v>33211.295419012</v>
      </c>
      <c r="K26" s="3">
        <v>109</v>
      </c>
      <c r="L26" s="3" t="s">
        <v>31</v>
      </c>
      <c r="M26" s="4">
        <v>43990</v>
      </c>
      <c r="N26" s="3" t="s">
        <v>23</v>
      </c>
      <c r="O26" s="3" t="s">
        <v>33</v>
      </c>
      <c r="P26" s="3" t="str">
        <f>IF(Table1[[#This Row],[Billing Amount]]&lt;5000,"Low",IF(Table1[[#This Row],[Billing Amount]]&lt;=15000,"Medium","High"))</f>
        <v>High</v>
      </c>
      <c r="Q26" s="3" t="str">
        <f>IF(Table1[[#This Row],[Discharge Date]]="Yes","Discharged","Under Treatment")</f>
        <v>Under Treatment</v>
      </c>
      <c r="R26" s="3" t="str">
        <f>IF(Table1[[#This Row],[Test Results]]&gt;120,"High Risk","Normal")</f>
        <v>High Risk</v>
      </c>
      <c r="S26" s="3" t="str">
        <f>IF(Table1[[#This Row],[Age]]&lt;=18,"0-18",IF(Table1[[#This Row],[Age]]&lt;=35,"19-35",IF(Table1[[#This Row],[Age]]&lt;=50,"36-50",IF(Table1[[#This Row],[Age]]&lt;=65,"51-65","65+"))))</f>
        <v>65+</v>
      </c>
    </row>
    <row r="27" spans="1:19" x14ac:dyDescent="0.3">
      <c r="A27" s="3" t="s">
        <v>121</v>
      </c>
      <c r="B27" s="3">
        <v>51</v>
      </c>
      <c r="C27" s="3" t="s">
        <v>35</v>
      </c>
      <c r="D27" s="3" t="s">
        <v>122</v>
      </c>
      <c r="E27" s="3" t="s">
        <v>54</v>
      </c>
      <c r="F27" s="4">
        <v>45283</v>
      </c>
      <c r="G27" s="3" t="s">
        <v>123</v>
      </c>
      <c r="H27" s="3" t="s">
        <v>124</v>
      </c>
      <c r="I27" s="3" t="s">
        <v>21</v>
      </c>
      <c r="J27" s="5">
        <v>26786.529555311201</v>
      </c>
      <c r="K27" s="3">
        <v>401</v>
      </c>
      <c r="L27" s="3" t="s">
        <v>46</v>
      </c>
      <c r="M27" s="4">
        <v>45310</v>
      </c>
      <c r="N27" s="3" t="s">
        <v>32</v>
      </c>
      <c r="O27" s="3" t="s">
        <v>24</v>
      </c>
      <c r="P27" s="3" t="str">
        <f>IF(Table1[[#This Row],[Billing Amount]]&lt;5000,"Low",IF(Table1[[#This Row],[Billing Amount]]&lt;=15000,"Medium","High"))</f>
        <v>High</v>
      </c>
      <c r="Q27" s="3" t="str">
        <f>IF(Table1[[#This Row],[Discharge Date]]="Yes","Discharged","Under Treatment")</f>
        <v>Under Treatment</v>
      </c>
      <c r="R27" s="3" t="str">
        <f>IF(Table1[[#This Row],[Test Results]]&gt;120,"High Risk","Normal")</f>
        <v>High Risk</v>
      </c>
      <c r="S27" s="3" t="str">
        <f>IF(Table1[[#This Row],[Age]]&lt;=18,"0-18",IF(Table1[[#This Row],[Age]]&lt;=35,"19-35",IF(Table1[[#This Row],[Age]]&lt;=50,"36-50",IF(Table1[[#This Row],[Age]]&lt;=65,"51-65","65+"))))</f>
        <v>51-65</v>
      </c>
    </row>
    <row r="28" spans="1:19" x14ac:dyDescent="0.3">
      <c r="A28" s="3" t="s">
        <v>125</v>
      </c>
      <c r="B28" s="3">
        <v>34</v>
      </c>
      <c r="C28" s="3" t="s">
        <v>35</v>
      </c>
      <c r="D28" s="3" t="s">
        <v>26</v>
      </c>
      <c r="E28" s="3" t="s">
        <v>43</v>
      </c>
      <c r="F28" s="4">
        <v>44733</v>
      </c>
      <c r="G28" s="3" t="s">
        <v>126</v>
      </c>
      <c r="H28" s="3" t="s">
        <v>127</v>
      </c>
      <c r="I28" s="3" t="s">
        <v>57</v>
      </c>
      <c r="J28" s="5">
        <v>18834.801341178299</v>
      </c>
      <c r="K28" s="3">
        <v>157</v>
      </c>
      <c r="L28" s="3" t="s">
        <v>31</v>
      </c>
      <c r="M28" s="4">
        <v>44742</v>
      </c>
      <c r="N28" s="3" t="s">
        <v>79</v>
      </c>
      <c r="O28" s="3" t="s">
        <v>47</v>
      </c>
      <c r="P28" s="3" t="str">
        <f>IF(Table1[[#This Row],[Billing Amount]]&lt;5000,"Low",IF(Table1[[#This Row],[Billing Amount]]&lt;=15000,"Medium","High"))</f>
        <v>High</v>
      </c>
      <c r="Q28" s="3" t="str">
        <f>IF(Table1[[#This Row],[Discharge Date]]="Yes","Discharged","Under Treatment")</f>
        <v>Under Treatment</v>
      </c>
      <c r="R28" s="3" t="str">
        <f>IF(Table1[[#This Row],[Test Results]]&gt;120,"High Risk","Normal")</f>
        <v>High Risk</v>
      </c>
      <c r="S28" s="3" t="str">
        <f>IF(Table1[[#This Row],[Age]]&lt;=18,"0-18",IF(Table1[[#This Row],[Age]]&lt;=35,"19-35",IF(Table1[[#This Row],[Age]]&lt;=50,"36-50",IF(Table1[[#This Row],[Age]]&lt;=65,"51-65","65+"))))</f>
        <v>19-35</v>
      </c>
    </row>
    <row r="29" spans="1:19" x14ac:dyDescent="0.3">
      <c r="A29" s="3" t="s">
        <v>128</v>
      </c>
      <c r="B29" s="3">
        <v>38</v>
      </c>
      <c r="C29" s="3" t="s">
        <v>35</v>
      </c>
      <c r="D29" s="3" t="s">
        <v>122</v>
      </c>
      <c r="E29" s="3" t="s">
        <v>76</v>
      </c>
      <c r="F29" s="4">
        <v>44199</v>
      </c>
      <c r="G29" s="3" t="s">
        <v>129</v>
      </c>
      <c r="H29" s="3" t="s">
        <v>130</v>
      </c>
      <c r="I29" s="3" t="s">
        <v>65</v>
      </c>
      <c r="J29" s="5">
        <v>32643.2993532771</v>
      </c>
      <c r="K29" s="3">
        <v>223</v>
      </c>
      <c r="L29" s="3" t="s">
        <v>31</v>
      </c>
      <c r="M29" s="4">
        <v>44212</v>
      </c>
      <c r="N29" s="3" t="s">
        <v>52</v>
      </c>
      <c r="O29" s="3" t="s">
        <v>24</v>
      </c>
      <c r="P29" s="3" t="str">
        <f>IF(Table1[[#This Row],[Billing Amount]]&lt;5000,"Low",IF(Table1[[#This Row],[Billing Amount]]&lt;=15000,"Medium","High"))</f>
        <v>High</v>
      </c>
      <c r="Q29" s="3" t="str">
        <f>IF(Table1[[#This Row],[Discharge Date]]="Yes","Discharged","Under Treatment")</f>
        <v>Under Treatment</v>
      </c>
      <c r="R29" s="3" t="str">
        <f>IF(Table1[[#This Row],[Test Results]]&gt;120,"High Risk","Normal")</f>
        <v>High Risk</v>
      </c>
      <c r="S29" s="3" t="str">
        <f>IF(Table1[[#This Row],[Age]]&lt;=18,"0-18",IF(Table1[[#This Row],[Age]]&lt;=35,"19-35",IF(Table1[[#This Row],[Age]]&lt;=50,"36-50",IF(Table1[[#This Row],[Age]]&lt;=65,"51-65","65+"))))</f>
        <v>36-50</v>
      </c>
    </row>
    <row r="30" spans="1:19" x14ac:dyDescent="0.3">
      <c r="A30" s="3" t="s">
        <v>131</v>
      </c>
      <c r="B30" s="3">
        <v>63</v>
      </c>
      <c r="C30" s="3" t="s">
        <v>35</v>
      </c>
      <c r="D30" s="3" t="s">
        <v>103</v>
      </c>
      <c r="E30" s="3" t="s">
        <v>76</v>
      </c>
      <c r="F30" s="4">
        <v>45202</v>
      </c>
      <c r="G30" s="3" t="s">
        <v>132</v>
      </c>
      <c r="H30" s="3" t="s">
        <v>133</v>
      </c>
      <c r="I30" s="3" t="s">
        <v>39</v>
      </c>
      <c r="J30" s="5">
        <v>5767.0110538160097</v>
      </c>
      <c r="K30" s="3">
        <v>293</v>
      </c>
      <c r="L30" s="3" t="s">
        <v>46</v>
      </c>
      <c r="M30" s="4">
        <v>45211</v>
      </c>
      <c r="N30" s="3" t="s">
        <v>23</v>
      </c>
      <c r="O30" s="3" t="s">
        <v>47</v>
      </c>
      <c r="P30" s="3" t="str">
        <f>IF(Table1[[#This Row],[Billing Amount]]&lt;5000,"Low",IF(Table1[[#This Row],[Billing Amount]]&lt;=15000,"Medium","High"))</f>
        <v>Medium</v>
      </c>
      <c r="Q30" s="3" t="str">
        <f>IF(Table1[[#This Row],[Discharge Date]]="Yes","Discharged","Under Treatment")</f>
        <v>Under Treatment</v>
      </c>
      <c r="R30" s="3" t="str">
        <f>IF(Table1[[#This Row],[Test Results]]&gt;120,"High Risk","Normal")</f>
        <v>High Risk</v>
      </c>
      <c r="S30" s="3" t="str">
        <f>IF(Table1[[#This Row],[Age]]&lt;=18,"0-18",IF(Table1[[#This Row],[Age]]&lt;=35,"19-35",IF(Table1[[#This Row],[Age]]&lt;=50,"36-50",IF(Table1[[#This Row],[Age]]&lt;=65,"51-65","65+"))))</f>
        <v>51-65</v>
      </c>
    </row>
    <row r="31" spans="1:19" x14ac:dyDescent="0.3">
      <c r="A31" s="3" t="s">
        <v>134</v>
      </c>
      <c r="B31" s="3">
        <v>34</v>
      </c>
      <c r="C31" s="3" t="s">
        <v>16</v>
      </c>
      <c r="D31" s="3" t="s">
        <v>17</v>
      </c>
      <c r="E31" s="3" t="s">
        <v>54</v>
      </c>
      <c r="F31" s="4">
        <v>43695</v>
      </c>
      <c r="G31" s="3" t="s">
        <v>135</v>
      </c>
      <c r="H31" s="3" t="s">
        <v>136</v>
      </c>
      <c r="I31" s="3" t="s">
        <v>65</v>
      </c>
      <c r="J31" s="5">
        <v>47909.128809874899</v>
      </c>
      <c r="K31" s="3">
        <v>371</v>
      </c>
      <c r="L31" s="3" t="s">
        <v>22</v>
      </c>
      <c r="M31" s="4">
        <v>43709</v>
      </c>
      <c r="N31" s="3" t="s">
        <v>32</v>
      </c>
      <c r="O31" s="3" t="s">
        <v>33</v>
      </c>
      <c r="P31" s="3" t="str">
        <f>IF(Table1[[#This Row],[Billing Amount]]&lt;5000,"Low",IF(Table1[[#This Row],[Billing Amount]]&lt;=15000,"Medium","High"))</f>
        <v>High</v>
      </c>
      <c r="Q31" s="3" t="str">
        <f>IF(Table1[[#This Row],[Discharge Date]]="Yes","Discharged","Under Treatment")</f>
        <v>Under Treatment</v>
      </c>
      <c r="R31" s="3" t="str">
        <f>IF(Table1[[#This Row],[Test Results]]&gt;120,"High Risk","Normal")</f>
        <v>High Risk</v>
      </c>
      <c r="S31" s="3" t="str">
        <f>IF(Table1[[#This Row],[Age]]&lt;=18,"0-18",IF(Table1[[#This Row],[Age]]&lt;=35,"19-35",IF(Table1[[#This Row],[Age]]&lt;=50,"36-50",IF(Table1[[#This Row],[Age]]&lt;=65,"51-65","65+"))))</f>
        <v>19-35</v>
      </c>
    </row>
    <row r="32" spans="1:19" x14ac:dyDescent="0.3">
      <c r="A32" s="3" t="s">
        <v>137</v>
      </c>
      <c r="B32" s="3">
        <v>23</v>
      </c>
      <c r="C32" s="3" t="s">
        <v>35</v>
      </c>
      <c r="D32" s="3" t="s">
        <v>26</v>
      </c>
      <c r="E32" s="3" t="s">
        <v>93</v>
      </c>
      <c r="F32" s="4">
        <v>43772</v>
      </c>
      <c r="G32" s="3" t="s">
        <v>138</v>
      </c>
      <c r="H32" s="3" t="s">
        <v>139</v>
      </c>
      <c r="I32" s="3" t="s">
        <v>57</v>
      </c>
      <c r="J32" s="5">
        <v>25835.323594688201</v>
      </c>
      <c r="K32" s="3">
        <v>108</v>
      </c>
      <c r="L32" s="3" t="s">
        <v>22</v>
      </c>
      <c r="M32" s="4">
        <v>43798</v>
      </c>
      <c r="N32" s="3" t="s">
        <v>52</v>
      </c>
      <c r="O32" s="3" t="s">
        <v>47</v>
      </c>
      <c r="P32" s="3" t="str">
        <f>IF(Table1[[#This Row],[Billing Amount]]&lt;5000,"Low",IF(Table1[[#This Row],[Billing Amount]]&lt;=15000,"Medium","High"))</f>
        <v>High</v>
      </c>
      <c r="Q32" s="3" t="str">
        <f>IF(Table1[[#This Row],[Discharge Date]]="Yes","Discharged","Under Treatment")</f>
        <v>Under Treatment</v>
      </c>
      <c r="R32" s="3" t="str">
        <f>IF(Table1[[#This Row],[Test Results]]&gt;120,"High Risk","Normal")</f>
        <v>High Risk</v>
      </c>
      <c r="S32" s="3" t="str">
        <f>IF(Table1[[#This Row],[Age]]&lt;=18,"0-18",IF(Table1[[#This Row],[Age]]&lt;=35,"19-35",IF(Table1[[#This Row],[Age]]&lt;=50,"36-50",IF(Table1[[#This Row],[Age]]&lt;=65,"51-65","65+"))))</f>
        <v>19-35</v>
      </c>
    </row>
    <row r="33" spans="1:19" x14ac:dyDescent="0.3">
      <c r="A33" s="3" t="s">
        <v>140</v>
      </c>
      <c r="B33" s="3">
        <v>78</v>
      </c>
      <c r="C33" s="3" t="s">
        <v>16</v>
      </c>
      <c r="D33" s="3" t="s">
        <v>59</v>
      </c>
      <c r="E33" s="3" t="s">
        <v>93</v>
      </c>
      <c r="F33" s="4">
        <v>45064</v>
      </c>
      <c r="G33" s="3" t="s">
        <v>141</v>
      </c>
      <c r="H33" s="3" t="s">
        <v>142</v>
      </c>
      <c r="I33" s="3" t="s">
        <v>30</v>
      </c>
      <c r="J33" s="5">
        <v>17993.226200015499</v>
      </c>
      <c r="K33" s="3">
        <v>245</v>
      </c>
      <c r="L33" s="3" t="s">
        <v>46</v>
      </c>
      <c r="M33" s="4">
        <v>45092</v>
      </c>
      <c r="N33" s="3" t="s">
        <v>52</v>
      </c>
      <c r="O33" s="3" t="s">
        <v>24</v>
      </c>
      <c r="P33" s="3" t="str">
        <f>IF(Table1[[#This Row],[Billing Amount]]&lt;5000,"Low",IF(Table1[[#This Row],[Billing Amount]]&lt;=15000,"Medium","High"))</f>
        <v>High</v>
      </c>
      <c r="Q33" s="3" t="str">
        <f>IF(Table1[[#This Row],[Discharge Date]]="Yes","Discharged","Under Treatment")</f>
        <v>Under Treatment</v>
      </c>
      <c r="R33" s="3" t="str">
        <f>IF(Table1[[#This Row],[Test Results]]&gt;120,"High Risk","Normal")</f>
        <v>High Risk</v>
      </c>
      <c r="S33" s="3" t="str">
        <f>IF(Table1[[#This Row],[Age]]&lt;=18,"0-18",IF(Table1[[#This Row],[Age]]&lt;=35,"19-35",IF(Table1[[#This Row],[Age]]&lt;=50,"36-50",IF(Table1[[#This Row],[Age]]&lt;=65,"51-65","65+"))))</f>
        <v>65+</v>
      </c>
    </row>
    <row r="34" spans="1:19" x14ac:dyDescent="0.3">
      <c r="A34" s="3" t="s">
        <v>143</v>
      </c>
      <c r="B34" s="3">
        <v>43</v>
      </c>
      <c r="C34" s="3" t="s">
        <v>16</v>
      </c>
      <c r="D34" s="3" t="s">
        <v>59</v>
      </c>
      <c r="E34" s="3" t="s">
        <v>18</v>
      </c>
      <c r="F34" s="4">
        <v>45070</v>
      </c>
      <c r="G34" s="3" t="s">
        <v>144</v>
      </c>
      <c r="H34" s="3" t="s">
        <v>145</v>
      </c>
      <c r="I34" s="3" t="s">
        <v>30</v>
      </c>
      <c r="J34" s="5">
        <v>21185.953530394199</v>
      </c>
      <c r="K34" s="3">
        <v>494</v>
      </c>
      <c r="L34" s="3" t="s">
        <v>46</v>
      </c>
      <c r="M34" s="4">
        <v>45080</v>
      </c>
      <c r="N34" s="3" t="s">
        <v>32</v>
      </c>
      <c r="O34" s="3" t="s">
        <v>24</v>
      </c>
      <c r="P34" s="3" t="str">
        <f>IF(Table1[[#This Row],[Billing Amount]]&lt;5000,"Low",IF(Table1[[#This Row],[Billing Amount]]&lt;=15000,"Medium","High"))</f>
        <v>High</v>
      </c>
      <c r="Q34" s="3" t="str">
        <f>IF(Table1[[#This Row],[Discharge Date]]="Yes","Discharged","Under Treatment")</f>
        <v>Under Treatment</v>
      </c>
      <c r="R34" s="3" t="str">
        <f>IF(Table1[[#This Row],[Test Results]]&gt;120,"High Risk","Normal")</f>
        <v>High Risk</v>
      </c>
      <c r="S34" s="3" t="str">
        <f>IF(Table1[[#This Row],[Age]]&lt;=18,"0-18",IF(Table1[[#This Row],[Age]]&lt;=35,"19-35",IF(Table1[[#This Row],[Age]]&lt;=50,"36-50",IF(Table1[[#This Row],[Age]]&lt;=65,"51-65","65+"))))</f>
        <v>36-50</v>
      </c>
    </row>
    <row r="35" spans="1:19" x14ac:dyDescent="0.3">
      <c r="A35" s="3" t="s">
        <v>146</v>
      </c>
      <c r="B35" s="3">
        <v>30</v>
      </c>
      <c r="C35" s="3" t="s">
        <v>35</v>
      </c>
      <c r="D35" s="3" t="s">
        <v>49</v>
      </c>
      <c r="E35" s="3" t="s">
        <v>43</v>
      </c>
      <c r="F35" s="4">
        <v>43847</v>
      </c>
      <c r="G35" s="3" t="s">
        <v>147</v>
      </c>
      <c r="H35" s="3" t="s">
        <v>148</v>
      </c>
      <c r="I35" s="3" t="s">
        <v>21</v>
      </c>
      <c r="J35" s="5">
        <v>8408.9493542919499</v>
      </c>
      <c r="K35" s="3">
        <v>285</v>
      </c>
      <c r="L35" s="3" t="s">
        <v>31</v>
      </c>
      <c r="M35" s="4">
        <v>43871</v>
      </c>
      <c r="N35" s="3" t="s">
        <v>79</v>
      </c>
      <c r="O35" s="3" t="s">
        <v>24</v>
      </c>
      <c r="P35" s="3" t="str">
        <f>IF(Table1[[#This Row],[Billing Amount]]&lt;5000,"Low",IF(Table1[[#This Row],[Billing Amount]]&lt;=15000,"Medium","High"))</f>
        <v>Medium</v>
      </c>
      <c r="Q35" s="3" t="str">
        <f>IF(Table1[[#This Row],[Discharge Date]]="Yes","Discharged","Under Treatment")</f>
        <v>Under Treatment</v>
      </c>
      <c r="R35" s="3" t="str">
        <f>IF(Table1[[#This Row],[Test Results]]&gt;120,"High Risk","Normal")</f>
        <v>High Risk</v>
      </c>
      <c r="S35" s="3" t="str">
        <f>IF(Table1[[#This Row],[Age]]&lt;=18,"0-18",IF(Table1[[#This Row],[Age]]&lt;=35,"19-35",IF(Table1[[#This Row],[Age]]&lt;=50,"36-50",IF(Table1[[#This Row],[Age]]&lt;=65,"51-65","65+"))))</f>
        <v>19-35</v>
      </c>
    </row>
    <row r="36" spans="1:19" x14ac:dyDescent="0.3">
      <c r="A36" s="3" t="s">
        <v>149</v>
      </c>
      <c r="B36" s="3">
        <v>25</v>
      </c>
      <c r="C36" s="3" t="s">
        <v>35</v>
      </c>
      <c r="D36" s="3" t="s">
        <v>49</v>
      </c>
      <c r="E36" s="3" t="s">
        <v>54</v>
      </c>
      <c r="F36" s="4">
        <v>44203</v>
      </c>
      <c r="G36" s="3" t="s">
        <v>150</v>
      </c>
      <c r="H36" s="3" t="s">
        <v>151</v>
      </c>
      <c r="I36" s="3" t="s">
        <v>30</v>
      </c>
      <c r="J36" s="5">
        <v>45453.418545665103</v>
      </c>
      <c r="K36" s="3">
        <v>228</v>
      </c>
      <c r="L36" s="3" t="s">
        <v>46</v>
      </c>
      <c r="M36" s="4">
        <v>44222</v>
      </c>
      <c r="N36" s="3" t="s">
        <v>79</v>
      </c>
      <c r="O36" s="3" t="s">
        <v>47</v>
      </c>
      <c r="P36" s="3" t="str">
        <f>IF(Table1[[#This Row],[Billing Amount]]&lt;5000,"Low",IF(Table1[[#This Row],[Billing Amount]]&lt;=15000,"Medium","High"))</f>
        <v>High</v>
      </c>
      <c r="Q36" s="3" t="str">
        <f>IF(Table1[[#This Row],[Discharge Date]]="Yes","Discharged","Under Treatment")</f>
        <v>Under Treatment</v>
      </c>
      <c r="R36" s="3" t="str">
        <f>IF(Table1[[#This Row],[Test Results]]&gt;120,"High Risk","Normal")</f>
        <v>High Risk</v>
      </c>
      <c r="S36" s="3" t="str">
        <f>IF(Table1[[#This Row],[Age]]&lt;=18,"0-18",IF(Table1[[#This Row],[Age]]&lt;=35,"19-35",IF(Table1[[#This Row],[Age]]&lt;=50,"36-50",IF(Table1[[#This Row],[Age]]&lt;=65,"51-65","65+"))))</f>
        <v>19-35</v>
      </c>
    </row>
    <row r="37" spans="1:19" x14ac:dyDescent="0.3">
      <c r="A37" s="3" t="s">
        <v>152</v>
      </c>
      <c r="B37" s="3">
        <v>33</v>
      </c>
      <c r="C37" s="3" t="s">
        <v>16</v>
      </c>
      <c r="D37" s="3" t="s">
        <v>49</v>
      </c>
      <c r="E37" s="3" t="s">
        <v>43</v>
      </c>
      <c r="F37" s="4">
        <v>43752</v>
      </c>
      <c r="G37" s="3" t="s">
        <v>153</v>
      </c>
      <c r="H37" s="3" t="s">
        <v>154</v>
      </c>
      <c r="I37" s="3" t="s">
        <v>39</v>
      </c>
      <c r="J37" s="5">
        <v>4397.77699541333</v>
      </c>
      <c r="K37" s="3">
        <v>481</v>
      </c>
      <c r="L37" s="3" t="s">
        <v>22</v>
      </c>
      <c r="M37" s="4">
        <v>43757</v>
      </c>
      <c r="N37" s="3" t="s">
        <v>23</v>
      </c>
      <c r="O37" s="3" t="s">
        <v>33</v>
      </c>
      <c r="P37" s="3" t="str">
        <f>IF(Table1[[#This Row],[Billing Amount]]&lt;5000,"Low",IF(Table1[[#This Row],[Billing Amount]]&lt;=15000,"Medium","High"))</f>
        <v>Low</v>
      </c>
      <c r="Q37" s="3" t="str">
        <f>IF(Table1[[#This Row],[Discharge Date]]="Yes","Discharged","Under Treatment")</f>
        <v>Under Treatment</v>
      </c>
      <c r="R37" s="3" t="str">
        <f>IF(Table1[[#This Row],[Test Results]]&gt;120,"High Risk","Normal")</f>
        <v>High Risk</v>
      </c>
      <c r="S37" s="3" t="str">
        <f>IF(Table1[[#This Row],[Age]]&lt;=18,"0-18",IF(Table1[[#This Row],[Age]]&lt;=35,"19-35",IF(Table1[[#This Row],[Age]]&lt;=50,"36-50",IF(Table1[[#This Row],[Age]]&lt;=65,"51-65","65+"))))</f>
        <v>19-35</v>
      </c>
    </row>
    <row r="38" spans="1:19" x14ac:dyDescent="0.3">
      <c r="A38" s="3" t="s">
        <v>155</v>
      </c>
      <c r="B38" s="3">
        <v>26</v>
      </c>
      <c r="C38" s="3" t="s">
        <v>35</v>
      </c>
      <c r="D38" s="3" t="s">
        <v>17</v>
      </c>
      <c r="E38" s="3" t="s">
        <v>76</v>
      </c>
      <c r="F38" s="4">
        <v>44549</v>
      </c>
      <c r="G38" s="3" t="s">
        <v>156</v>
      </c>
      <c r="H38" s="3" t="s">
        <v>157</v>
      </c>
      <c r="I38" s="3" t="s">
        <v>39</v>
      </c>
      <c r="J38" s="5">
        <v>9380.3259675284298</v>
      </c>
      <c r="K38" s="3">
        <v>212</v>
      </c>
      <c r="L38" s="3" t="s">
        <v>22</v>
      </c>
      <c r="M38" s="4">
        <v>44577</v>
      </c>
      <c r="N38" s="3" t="s">
        <v>32</v>
      </c>
      <c r="O38" s="3" t="s">
        <v>24</v>
      </c>
      <c r="P38" s="3" t="str">
        <f>IF(Table1[[#This Row],[Billing Amount]]&lt;5000,"Low",IF(Table1[[#This Row],[Billing Amount]]&lt;=15000,"Medium","High"))</f>
        <v>Medium</v>
      </c>
      <c r="Q38" s="3" t="str">
        <f>IF(Table1[[#This Row],[Discharge Date]]="Yes","Discharged","Under Treatment")</f>
        <v>Under Treatment</v>
      </c>
      <c r="R38" s="3" t="str">
        <f>IF(Table1[[#This Row],[Test Results]]&gt;120,"High Risk","Normal")</f>
        <v>High Risk</v>
      </c>
      <c r="S38" s="3" t="str">
        <f>IF(Table1[[#This Row],[Age]]&lt;=18,"0-18",IF(Table1[[#This Row],[Age]]&lt;=35,"19-35",IF(Table1[[#This Row],[Age]]&lt;=50,"36-50",IF(Table1[[#This Row],[Age]]&lt;=65,"51-65","65+"))))</f>
        <v>19-35</v>
      </c>
    </row>
    <row r="39" spans="1:19" x14ac:dyDescent="0.3">
      <c r="A39" s="3" t="s">
        <v>158</v>
      </c>
      <c r="B39" s="3">
        <v>70</v>
      </c>
      <c r="C39" s="3" t="s">
        <v>35</v>
      </c>
      <c r="D39" s="3" t="s">
        <v>122</v>
      </c>
      <c r="E39" s="3" t="s">
        <v>43</v>
      </c>
      <c r="F39" s="4">
        <v>44632</v>
      </c>
      <c r="G39" s="3" t="s">
        <v>159</v>
      </c>
      <c r="H39" s="3" t="s">
        <v>160</v>
      </c>
      <c r="I39" s="3" t="s">
        <v>65</v>
      </c>
      <c r="J39" s="5">
        <v>48290.693407364102</v>
      </c>
      <c r="K39" s="3">
        <v>113</v>
      </c>
      <c r="L39" s="3" t="s">
        <v>31</v>
      </c>
      <c r="M39" s="4">
        <v>44649</v>
      </c>
      <c r="N39" s="3" t="s">
        <v>79</v>
      </c>
      <c r="O39" s="3" t="s">
        <v>47</v>
      </c>
      <c r="P39" s="3" t="str">
        <f>IF(Table1[[#This Row],[Billing Amount]]&lt;5000,"Low",IF(Table1[[#This Row],[Billing Amount]]&lt;=15000,"Medium","High"))</f>
        <v>High</v>
      </c>
      <c r="Q39" s="3" t="str">
        <f>IF(Table1[[#This Row],[Discharge Date]]="Yes","Discharged","Under Treatment")</f>
        <v>Under Treatment</v>
      </c>
      <c r="R39" s="3" t="str">
        <f>IF(Table1[[#This Row],[Test Results]]&gt;120,"High Risk","Normal")</f>
        <v>High Risk</v>
      </c>
      <c r="S39" s="3" t="str">
        <f>IF(Table1[[#This Row],[Age]]&lt;=18,"0-18",IF(Table1[[#This Row],[Age]]&lt;=35,"19-35",IF(Table1[[#This Row],[Age]]&lt;=50,"36-50",IF(Table1[[#This Row],[Age]]&lt;=65,"51-65","65+"))))</f>
        <v>65+</v>
      </c>
    </row>
    <row r="40" spans="1:19" x14ac:dyDescent="0.3">
      <c r="A40" s="3" t="s">
        <v>161</v>
      </c>
      <c r="B40" s="3">
        <v>57</v>
      </c>
      <c r="C40" s="3" t="s">
        <v>35</v>
      </c>
      <c r="D40" s="3" t="s">
        <v>17</v>
      </c>
      <c r="E40" s="3" t="s">
        <v>27</v>
      </c>
      <c r="F40" s="4">
        <v>44213</v>
      </c>
      <c r="G40" s="3" t="s">
        <v>162</v>
      </c>
      <c r="H40" s="3" t="s">
        <v>163</v>
      </c>
      <c r="I40" s="3" t="s">
        <v>30</v>
      </c>
      <c r="J40" s="5">
        <v>32973.940832966196</v>
      </c>
      <c r="K40" s="3">
        <v>272</v>
      </c>
      <c r="L40" s="3" t="s">
        <v>22</v>
      </c>
      <c r="M40" s="4">
        <v>44225</v>
      </c>
      <c r="N40" s="3" t="s">
        <v>52</v>
      </c>
      <c r="O40" s="3" t="s">
        <v>47</v>
      </c>
      <c r="P40" s="3" t="str">
        <f>IF(Table1[[#This Row],[Billing Amount]]&lt;5000,"Low",IF(Table1[[#This Row],[Billing Amount]]&lt;=15000,"Medium","High"))</f>
        <v>High</v>
      </c>
      <c r="Q40" s="3" t="str">
        <f>IF(Table1[[#This Row],[Discharge Date]]="Yes","Discharged","Under Treatment")</f>
        <v>Under Treatment</v>
      </c>
      <c r="R40" s="3" t="str">
        <f>IF(Table1[[#This Row],[Test Results]]&gt;120,"High Risk","Normal")</f>
        <v>High Risk</v>
      </c>
      <c r="S40" s="3" t="str">
        <f>IF(Table1[[#This Row],[Age]]&lt;=18,"0-18",IF(Table1[[#This Row],[Age]]&lt;=35,"19-35",IF(Table1[[#This Row],[Age]]&lt;=50,"36-50",IF(Table1[[#This Row],[Age]]&lt;=65,"51-65","65+"))))</f>
        <v>51-65</v>
      </c>
    </row>
    <row r="41" spans="1:19" x14ac:dyDescent="0.3">
      <c r="A41" s="3" t="s">
        <v>164</v>
      </c>
      <c r="B41" s="3">
        <v>74</v>
      </c>
      <c r="C41" s="3" t="s">
        <v>35</v>
      </c>
      <c r="D41" s="3" t="s">
        <v>17</v>
      </c>
      <c r="E41" s="3" t="s">
        <v>76</v>
      </c>
      <c r="F41" s="4">
        <v>44454</v>
      </c>
      <c r="G41" s="3" t="s">
        <v>165</v>
      </c>
      <c r="H41" s="3" t="s">
        <v>166</v>
      </c>
      <c r="I41" s="3" t="s">
        <v>65</v>
      </c>
      <c r="J41" s="5">
        <v>49943.2784987872</v>
      </c>
      <c r="K41" s="3">
        <v>478</v>
      </c>
      <c r="L41" s="3" t="s">
        <v>31</v>
      </c>
      <c r="M41" s="4">
        <v>44474</v>
      </c>
      <c r="N41" s="3" t="s">
        <v>79</v>
      </c>
      <c r="O41" s="3" t="s">
        <v>24</v>
      </c>
      <c r="P41" s="3" t="str">
        <f>IF(Table1[[#This Row],[Billing Amount]]&lt;5000,"Low",IF(Table1[[#This Row],[Billing Amount]]&lt;=15000,"Medium","High"))</f>
        <v>High</v>
      </c>
      <c r="Q41" s="3" t="str">
        <f>IF(Table1[[#This Row],[Discharge Date]]="Yes","Discharged","Under Treatment")</f>
        <v>Under Treatment</v>
      </c>
      <c r="R41" s="3" t="str">
        <f>IF(Table1[[#This Row],[Test Results]]&gt;120,"High Risk","Normal")</f>
        <v>High Risk</v>
      </c>
      <c r="S41" s="3" t="str">
        <f>IF(Table1[[#This Row],[Age]]&lt;=18,"0-18",IF(Table1[[#This Row],[Age]]&lt;=35,"19-35",IF(Table1[[#This Row],[Age]]&lt;=50,"36-50",IF(Table1[[#This Row],[Age]]&lt;=65,"51-65","65+"))))</f>
        <v>65+</v>
      </c>
    </row>
    <row r="42" spans="1:19" x14ac:dyDescent="0.3">
      <c r="A42" s="3" t="s">
        <v>167</v>
      </c>
      <c r="B42" s="3">
        <v>81</v>
      </c>
      <c r="C42" s="3" t="s">
        <v>16</v>
      </c>
      <c r="D42" s="3" t="s">
        <v>26</v>
      </c>
      <c r="E42" s="3" t="s">
        <v>76</v>
      </c>
      <c r="F42" s="4">
        <v>43857</v>
      </c>
      <c r="G42" s="3" t="s">
        <v>168</v>
      </c>
      <c r="H42" s="3" t="s">
        <v>169</v>
      </c>
      <c r="I42" s="3" t="s">
        <v>65</v>
      </c>
      <c r="J42" s="5">
        <v>35633.955454387797</v>
      </c>
      <c r="K42" s="3">
        <v>196</v>
      </c>
      <c r="L42" s="3" t="s">
        <v>22</v>
      </c>
      <c r="M42" s="4">
        <v>43870</v>
      </c>
      <c r="N42" s="3" t="s">
        <v>40</v>
      </c>
      <c r="O42" s="3" t="s">
        <v>24</v>
      </c>
      <c r="P42" s="3" t="str">
        <f>IF(Table1[[#This Row],[Billing Amount]]&lt;5000,"Low",IF(Table1[[#This Row],[Billing Amount]]&lt;=15000,"Medium","High"))</f>
        <v>High</v>
      </c>
      <c r="Q42" s="3" t="str">
        <f>IF(Table1[[#This Row],[Discharge Date]]="Yes","Discharged","Under Treatment")</f>
        <v>Under Treatment</v>
      </c>
      <c r="R42" s="3" t="str">
        <f>IF(Table1[[#This Row],[Test Results]]&gt;120,"High Risk","Normal")</f>
        <v>High Risk</v>
      </c>
      <c r="S42" s="3" t="str">
        <f>IF(Table1[[#This Row],[Age]]&lt;=18,"0-18",IF(Table1[[#This Row],[Age]]&lt;=35,"19-35",IF(Table1[[#This Row],[Age]]&lt;=50,"36-50",IF(Table1[[#This Row],[Age]]&lt;=65,"51-65","65+"))))</f>
        <v>65+</v>
      </c>
    </row>
    <row r="43" spans="1:19" x14ac:dyDescent="0.3">
      <c r="A43" s="3" t="s">
        <v>170</v>
      </c>
      <c r="B43" s="3">
        <v>49</v>
      </c>
      <c r="C43" s="3" t="s">
        <v>35</v>
      </c>
      <c r="D43" s="3" t="s">
        <v>36</v>
      </c>
      <c r="E43" s="3" t="s">
        <v>54</v>
      </c>
      <c r="F43" s="4">
        <v>44736</v>
      </c>
      <c r="G43" s="3" t="s">
        <v>171</v>
      </c>
      <c r="H43" s="3" t="s">
        <v>172</v>
      </c>
      <c r="I43" s="3" t="s">
        <v>65</v>
      </c>
      <c r="J43" s="5">
        <v>25966.328610220899</v>
      </c>
      <c r="K43" s="3">
        <v>418</v>
      </c>
      <c r="L43" s="3" t="s">
        <v>46</v>
      </c>
      <c r="M43" s="4">
        <v>44760</v>
      </c>
      <c r="N43" s="3" t="s">
        <v>23</v>
      </c>
      <c r="O43" s="3" t="s">
        <v>24</v>
      </c>
      <c r="P43" s="3" t="str">
        <f>IF(Table1[[#This Row],[Billing Amount]]&lt;5000,"Low",IF(Table1[[#This Row],[Billing Amount]]&lt;=15000,"Medium","High"))</f>
        <v>High</v>
      </c>
      <c r="Q43" s="3" t="str">
        <f>IF(Table1[[#This Row],[Discharge Date]]="Yes","Discharged","Under Treatment")</f>
        <v>Under Treatment</v>
      </c>
      <c r="R43" s="3" t="str">
        <f>IF(Table1[[#This Row],[Test Results]]&gt;120,"High Risk","Normal")</f>
        <v>High Risk</v>
      </c>
      <c r="S43" s="3" t="str">
        <f>IF(Table1[[#This Row],[Age]]&lt;=18,"0-18",IF(Table1[[#This Row],[Age]]&lt;=35,"19-35",IF(Table1[[#This Row],[Age]]&lt;=50,"36-50",IF(Table1[[#This Row],[Age]]&lt;=65,"51-65","65+"))))</f>
        <v>36-50</v>
      </c>
    </row>
    <row r="44" spans="1:19" x14ac:dyDescent="0.3">
      <c r="A44" s="3" t="s">
        <v>173</v>
      </c>
      <c r="B44" s="3">
        <v>26</v>
      </c>
      <c r="C44" s="3" t="s">
        <v>35</v>
      </c>
      <c r="D44" s="3" t="s">
        <v>49</v>
      </c>
      <c r="E44" s="3" t="s">
        <v>27</v>
      </c>
      <c r="F44" s="4">
        <v>44356</v>
      </c>
      <c r="G44" s="3" t="s">
        <v>174</v>
      </c>
      <c r="H44" s="3" t="s">
        <v>175</v>
      </c>
      <c r="I44" s="3" t="s">
        <v>57</v>
      </c>
      <c r="J44" s="5">
        <v>21784.445070723599</v>
      </c>
      <c r="K44" s="3">
        <v>410</v>
      </c>
      <c r="L44" s="3" t="s">
        <v>22</v>
      </c>
      <c r="M44" s="4">
        <v>44378</v>
      </c>
      <c r="N44" s="3" t="s">
        <v>23</v>
      </c>
      <c r="O44" s="3" t="s">
        <v>24</v>
      </c>
      <c r="P44" s="3" t="str">
        <f>IF(Table1[[#This Row],[Billing Amount]]&lt;5000,"Low",IF(Table1[[#This Row],[Billing Amount]]&lt;=15000,"Medium","High"))</f>
        <v>High</v>
      </c>
      <c r="Q44" s="3" t="str">
        <f>IF(Table1[[#This Row],[Discharge Date]]="Yes","Discharged","Under Treatment")</f>
        <v>Under Treatment</v>
      </c>
      <c r="R44" s="3" t="str">
        <f>IF(Table1[[#This Row],[Test Results]]&gt;120,"High Risk","Normal")</f>
        <v>High Risk</v>
      </c>
      <c r="S44" s="3" t="str">
        <f>IF(Table1[[#This Row],[Age]]&lt;=18,"0-18",IF(Table1[[#This Row],[Age]]&lt;=35,"19-35",IF(Table1[[#This Row],[Age]]&lt;=50,"36-50",IF(Table1[[#This Row],[Age]]&lt;=65,"51-65","65+"))))</f>
        <v>19-35</v>
      </c>
    </row>
    <row r="45" spans="1:19" x14ac:dyDescent="0.3">
      <c r="A45" s="3" t="s">
        <v>176</v>
      </c>
      <c r="B45" s="3">
        <v>81</v>
      </c>
      <c r="C45" s="3" t="s">
        <v>35</v>
      </c>
      <c r="D45" s="3" t="s">
        <v>59</v>
      </c>
      <c r="E45" s="3" t="s">
        <v>18</v>
      </c>
      <c r="F45" s="4">
        <v>44066</v>
      </c>
      <c r="G45" s="3" t="s">
        <v>177</v>
      </c>
      <c r="H45" s="3" t="s">
        <v>178</v>
      </c>
      <c r="I45" s="3" t="s">
        <v>30</v>
      </c>
      <c r="J45" s="5">
        <v>42684.558884550199</v>
      </c>
      <c r="K45" s="3">
        <v>328</v>
      </c>
      <c r="L45" s="3" t="s">
        <v>22</v>
      </c>
      <c r="M45" s="4">
        <v>44082</v>
      </c>
      <c r="N45" s="3" t="s">
        <v>52</v>
      </c>
      <c r="O45" s="3" t="s">
        <v>47</v>
      </c>
      <c r="P45" s="3" t="str">
        <f>IF(Table1[[#This Row],[Billing Amount]]&lt;5000,"Low",IF(Table1[[#This Row],[Billing Amount]]&lt;=15000,"Medium","High"))</f>
        <v>High</v>
      </c>
      <c r="Q45" s="3" t="str">
        <f>IF(Table1[[#This Row],[Discharge Date]]="Yes","Discharged","Under Treatment")</f>
        <v>Under Treatment</v>
      </c>
      <c r="R45" s="3" t="str">
        <f>IF(Table1[[#This Row],[Test Results]]&gt;120,"High Risk","Normal")</f>
        <v>High Risk</v>
      </c>
      <c r="S45" s="3" t="str">
        <f>IF(Table1[[#This Row],[Age]]&lt;=18,"0-18",IF(Table1[[#This Row],[Age]]&lt;=35,"19-35",IF(Table1[[#This Row],[Age]]&lt;=50,"36-50",IF(Table1[[#This Row],[Age]]&lt;=65,"51-65","65+"))))</f>
        <v>65+</v>
      </c>
    </row>
    <row r="46" spans="1:19" x14ac:dyDescent="0.3">
      <c r="A46" s="3" t="s">
        <v>179</v>
      </c>
      <c r="B46" s="3">
        <v>65</v>
      </c>
      <c r="C46" s="3" t="s">
        <v>16</v>
      </c>
      <c r="D46" s="3" t="s">
        <v>42</v>
      </c>
      <c r="E46" s="3" t="s">
        <v>18</v>
      </c>
      <c r="F46" s="4">
        <v>44846</v>
      </c>
      <c r="G46" s="3" t="s">
        <v>180</v>
      </c>
      <c r="H46" s="3" t="s">
        <v>181</v>
      </c>
      <c r="I46" s="3" t="s">
        <v>30</v>
      </c>
      <c r="J46" s="5">
        <v>45585.886559939398</v>
      </c>
      <c r="K46" s="3">
        <v>300</v>
      </c>
      <c r="L46" s="3" t="s">
        <v>31</v>
      </c>
      <c r="M46" s="4">
        <v>44867</v>
      </c>
      <c r="N46" s="3" t="s">
        <v>52</v>
      </c>
      <c r="O46" s="3" t="s">
        <v>24</v>
      </c>
      <c r="P46" s="3" t="str">
        <f>IF(Table1[[#This Row],[Billing Amount]]&lt;5000,"Low",IF(Table1[[#This Row],[Billing Amount]]&lt;=15000,"Medium","High"))</f>
        <v>High</v>
      </c>
      <c r="Q46" s="3" t="str">
        <f>IF(Table1[[#This Row],[Discharge Date]]="Yes","Discharged","Under Treatment")</f>
        <v>Under Treatment</v>
      </c>
      <c r="R46" s="3" t="str">
        <f>IF(Table1[[#This Row],[Test Results]]&gt;120,"High Risk","Normal")</f>
        <v>High Risk</v>
      </c>
      <c r="S46" s="3" t="str">
        <f>IF(Table1[[#This Row],[Age]]&lt;=18,"0-18",IF(Table1[[#This Row],[Age]]&lt;=35,"19-35",IF(Table1[[#This Row],[Age]]&lt;=50,"36-50",IF(Table1[[#This Row],[Age]]&lt;=65,"51-65","65+"))))</f>
        <v>51-65</v>
      </c>
    </row>
    <row r="47" spans="1:19" x14ac:dyDescent="0.3">
      <c r="A47" s="3" t="s">
        <v>182</v>
      </c>
      <c r="B47" s="3">
        <v>31</v>
      </c>
      <c r="C47" s="3" t="s">
        <v>35</v>
      </c>
      <c r="D47" s="3" t="s">
        <v>42</v>
      </c>
      <c r="E47" s="3" t="s">
        <v>76</v>
      </c>
      <c r="F47" s="4">
        <v>44531</v>
      </c>
      <c r="G47" s="3" t="s">
        <v>183</v>
      </c>
      <c r="H47" s="3" t="s">
        <v>184</v>
      </c>
      <c r="I47" s="3" t="s">
        <v>65</v>
      </c>
      <c r="J47" s="5">
        <v>29615.441863646101</v>
      </c>
      <c r="K47" s="3">
        <v>211</v>
      </c>
      <c r="L47" s="3" t="s">
        <v>46</v>
      </c>
      <c r="M47" s="4">
        <v>44539</v>
      </c>
      <c r="N47" s="3" t="s">
        <v>23</v>
      </c>
      <c r="O47" s="3" t="s">
        <v>24</v>
      </c>
      <c r="P47" s="3" t="str">
        <f>IF(Table1[[#This Row],[Billing Amount]]&lt;5000,"Low",IF(Table1[[#This Row],[Billing Amount]]&lt;=15000,"Medium","High"))</f>
        <v>High</v>
      </c>
      <c r="Q47" s="3" t="str">
        <f>IF(Table1[[#This Row],[Discharge Date]]="Yes","Discharged","Under Treatment")</f>
        <v>Under Treatment</v>
      </c>
      <c r="R47" s="3" t="str">
        <f>IF(Table1[[#This Row],[Test Results]]&gt;120,"High Risk","Normal")</f>
        <v>High Risk</v>
      </c>
      <c r="S47" s="3" t="str">
        <f>IF(Table1[[#This Row],[Age]]&lt;=18,"0-18",IF(Table1[[#This Row],[Age]]&lt;=35,"19-35",IF(Table1[[#This Row],[Age]]&lt;=50,"36-50",IF(Table1[[#This Row],[Age]]&lt;=65,"51-65","65+"))))</f>
        <v>19-35</v>
      </c>
    </row>
    <row r="48" spans="1:19" x14ac:dyDescent="0.3">
      <c r="A48" s="3" t="s">
        <v>185</v>
      </c>
      <c r="B48" s="3">
        <v>58</v>
      </c>
      <c r="C48" s="3" t="s">
        <v>16</v>
      </c>
      <c r="D48" s="3" t="s">
        <v>36</v>
      </c>
      <c r="E48" s="3" t="s">
        <v>43</v>
      </c>
      <c r="F48" s="4">
        <v>43955</v>
      </c>
      <c r="G48" s="3" t="s">
        <v>186</v>
      </c>
      <c r="H48" s="3" t="s">
        <v>187</v>
      </c>
      <c r="I48" s="3" t="s">
        <v>65</v>
      </c>
      <c r="J48" s="5">
        <v>36992.2736882838</v>
      </c>
      <c r="K48" s="3">
        <v>413</v>
      </c>
      <c r="L48" s="3" t="s">
        <v>22</v>
      </c>
      <c r="M48" s="4">
        <v>43964</v>
      </c>
      <c r="N48" s="3" t="s">
        <v>40</v>
      </c>
      <c r="O48" s="3" t="s">
        <v>24</v>
      </c>
      <c r="P48" s="3" t="str">
        <f>IF(Table1[[#This Row],[Billing Amount]]&lt;5000,"Low",IF(Table1[[#This Row],[Billing Amount]]&lt;=15000,"Medium","High"))</f>
        <v>High</v>
      </c>
      <c r="Q48" s="3" t="str">
        <f>IF(Table1[[#This Row],[Discharge Date]]="Yes","Discharged","Under Treatment")</f>
        <v>Under Treatment</v>
      </c>
      <c r="R48" s="3" t="str">
        <f>IF(Table1[[#This Row],[Test Results]]&gt;120,"High Risk","Normal")</f>
        <v>High Risk</v>
      </c>
      <c r="S48" s="3" t="str">
        <f>IF(Table1[[#This Row],[Age]]&lt;=18,"0-18",IF(Table1[[#This Row],[Age]]&lt;=35,"19-35",IF(Table1[[#This Row],[Age]]&lt;=50,"36-50",IF(Table1[[#This Row],[Age]]&lt;=65,"51-65","65+"))))</f>
        <v>51-65</v>
      </c>
    </row>
    <row r="49" spans="1:19" x14ac:dyDescent="0.3">
      <c r="A49" s="3" t="s">
        <v>188</v>
      </c>
      <c r="B49" s="3">
        <v>22</v>
      </c>
      <c r="C49" s="3" t="s">
        <v>16</v>
      </c>
      <c r="D49" s="3" t="s">
        <v>42</v>
      </c>
      <c r="E49" s="3" t="s">
        <v>76</v>
      </c>
      <c r="F49" s="4">
        <v>45178</v>
      </c>
      <c r="G49" s="3" t="s">
        <v>189</v>
      </c>
      <c r="H49" s="3" t="s">
        <v>190</v>
      </c>
      <c r="I49" s="3" t="s">
        <v>57</v>
      </c>
      <c r="J49" s="5">
        <v>28051.4994839463</v>
      </c>
      <c r="K49" s="3">
        <v>157</v>
      </c>
      <c r="L49" s="3" t="s">
        <v>22</v>
      </c>
      <c r="M49" s="4">
        <v>45192</v>
      </c>
      <c r="N49" s="3" t="s">
        <v>32</v>
      </c>
      <c r="O49" s="3" t="s">
        <v>47</v>
      </c>
      <c r="P49" s="3" t="str">
        <f>IF(Table1[[#This Row],[Billing Amount]]&lt;5000,"Low",IF(Table1[[#This Row],[Billing Amount]]&lt;=15000,"Medium","High"))</f>
        <v>High</v>
      </c>
      <c r="Q49" s="3" t="str">
        <f>IF(Table1[[#This Row],[Discharge Date]]="Yes","Discharged","Under Treatment")</f>
        <v>Under Treatment</v>
      </c>
      <c r="R49" s="3" t="str">
        <f>IF(Table1[[#This Row],[Test Results]]&gt;120,"High Risk","Normal")</f>
        <v>High Risk</v>
      </c>
      <c r="S49" s="3" t="str">
        <f>IF(Table1[[#This Row],[Age]]&lt;=18,"0-18",IF(Table1[[#This Row],[Age]]&lt;=35,"19-35",IF(Table1[[#This Row],[Age]]&lt;=50,"36-50",IF(Table1[[#This Row],[Age]]&lt;=65,"51-65","65+"))))</f>
        <v>19-35</v>
      </c>
    </row>
    <row r="50" spans="1:19" x14ac:dyDescent="0.3">
      <c r="A50" s="3" t="s">
        <v>191</v>
      </c>
      <c r="B50" s="3">
        <v>77</v>
      </c>
      <c r="C50" s="3" t="s">
        <v>35</v>
      </c>
      <c r="D50" s="3" t="s">
        <v>42</v>
      </c>
      <c r="E50" s="3" t="s">
        <v>54</v>
      </c>
      <c r="F50" s="4">
        <v>43665</v>
      </c>
      <c r="G50" s="3" t="s">
        <v>192</v>
      </c>
      <c r="H50" s="3" t="s">
        <v>193</v>
      </c>
      <c r="I50" s="3" t="s">
        <v>65</v>
      </c>
      <c r="J50" s="5">
        <v>16320.232447271799</v>
      </c>
      <c r="K50" s="3">
        <v>138</v>
      </c>
      <c r="L50" s="3" t="s">
        <v>22</v>
      </c>
      <c r="M50" s="4">
        <v>43675</v>
      </c>
      <c r="N50" s="3" t="s">
        <v>32</v>
      </c>
      <c r="O50" s="3" t="s">
        <v>47</v>
      </c>
      <c r="P50" s="3" t="str">
        <f>IF(Table1[[#This Row],[Billing Amount]]&lt;5000,"Low",IF(Table1[[#This Row],[Billing Amount]]&lt;=15000,"Medium","High"))</f>
        <v>High</v>
      </c>
      <c r="Q50" s="3" t="str">
        <f>IF(Table1[[#This Row],[Discharge Date]]="Yes","Discharged","Under Treatment")</f>
        <v>Under Treatment</v>
      </c>
      <c r="R50" s="3" t="str">
        <f>IF(Table1[[#This Row],[Test Results]]&gt;120,"High Risk","Normal")</f>
        <v>High Risk</v>
      </c>
      <c r="S50" s="3" t="str">
        <f>IF(Table1[[#This Row],[Age]]&lt;=18,"0-18",IF(Table1[[#This Row],[Age]]&lt;=35,"19-35",IF(Table1[[#This Row],[Age]]&lt;=50,"36-50",IF(Table1[[#This Row],[Age]]&lt;=65,"51-65","65+"))))</f>
        <v>65+</v>
      </c>
    </row>
    <row r="51" spans="1:19" x14ac:dyDescent="0.3">
      <c r="A51" s="3" t="s">
        <v>194</v>
      </c>
      <c r="B51" s="3">
        <v>30</v>
      </c>
      <c r="C51" s="3" t="s">
        <v>16</v>
      </c>
      <c r="D51" s="3" t="s">
        <v>59</v>
      </c>
      <c r="E51" s="3" t="s">
        <v>76</v>
      </c>
      <c r="F51" s="4">
        <v>45387</v>
      </c>
      <c r="G51" s="3" t="s">
        <v>195</v>
      </c>
      <c r="H51" s="3" t="s">
        <v>196</v>
      </c>
      <c r="I51" s="3" t="s">
        <v>30</v>
      </c>
      <c r="J51" s="5">
        <v>30590.5418063406</v>
      </c>
      <c r="K51" s="3">
        <v>456</v>
      </c>
      <c r="L51" s="3" t="s">
        <v>31</v>
      </c>
      <c r="M51" s="4">
        <v>45404</v>
      </c>
      <c r="N51" s="3" t="s">
        <v>23</v>
      </c>
      <c r="O51" s="3" t="s">
        <v>33</v>
      </c>
      <c r="P51" s="3" t="str">
        <f>IF(Table1[[#This Row],[Billing Amount]]&lt;5000,"Low",IF(Table1[[#This Row],[Billing Amount]]&lt;=15000,"Medium","High"))</f>
        <v>High</v>
      </c>
      <c r="Q51" s="3" t="str">
        <f>IF(Table1[[#This Row],[Discharge Date]]="Yes","Discharged","Under Treatment")</f>
        <v>Under Treatment</v>
      </c>
      <c r="R51" s="3" t="str">
        <f>IF(Table1[[#This Row],[Test Results]]&gt;120,"High Risk","Normal")</f>
        <v>High Risk</v>
      </c>
      <c r="S51" s="3" t="str">
        <f>IF(Table1[[#This Row],[Age]]&lt;=18,"0-18",IF(Table1[[#This Row],[Age]]&lt;=35,"19-35",IF(Table1[[#This Row],[Age]]&lt;=50,"36-50",IF(Table1[[#This Row],[Age]]&lt;=65,"51-65","65+"))))</f>
        <v>19-35</v>
      </c>
    </row>
    <row r="52" spans="1:19" x14ac:dyDescent="0.3">
      <c r="A52" s="3" t="s">
        <v>197</v>
      </c>
      <c r="B52" s="3">
        <v>42</v>
      </c>
      <c r="C52" s="3" t="s">
        <v>35</v>
      </c>
      <c r="D52" s="3" t="s">
        <v>36</v>
      </c>
      <c r="E52" s="3" t="s">
        <v>18</v>
      </c>
      <c r="F52" s="4">
        <v>43631</v>
      </c>
      <c r="G52" s="3" t="s">
        <v>198</v>
      </c>
      <c r="H52" s="3" t="s">
        <v>199</v>
      </c>
      <c r="I52" s="3" t="s">
        <v>39</v>
      </c>
      <c r="J52" s="5">
        <v>14681.016360125899</v>
      </c>
      <c r="K52" s="3">
        <v>234</v>
      </c>
      <c r="L52" s="3" t="s">
        <v>31</v>
      </c>
      <c r="M52" s="4">
        <v>43651</v>
      </c>
      <c r="N52" s="3" t="s">
        <v>32</v>
      </c>
      <c r="O52" s="3" t="s">
        <v>47</v>
      </c>
      <c r="P52" s="3" t="str">
        <f>IF(Table1[[#This Row],[Billing Amount]]&lt;5000,"Low",IF(Table1[[#This Row],[Billing Amount]]&lt;=15000,"Medium","High"))</f>
        <v>Medium</v>
      </c>
      <c r="Q52" s="3" t="str">
        <f>IF(Table1[[#This Row],[Discharge Date]]="Yes","Discharged","Under Treatment")</f>
        <v>Under Treatment</v>
      </c>
      <c r="R52" s="3" t="str">
        <f>IF(Table1[[#This Row],[Test Results]]&gt;120,"High Risk","Normal")</f>
        <v>High Risk</v>
      </c>
      <c r="S52" s="3" t="str">
        <f>IF(Table1[[#This Row],[Age]]&lt;=18,"0-18",IF(Table1[[#This Row],[Age]]&lt;=35,"19-35",IF(Table1[[#This Row],[Age]]&lt;=50,"36-50",IF(Table1[[#This Row],[Age]]&lt;=65,"51-65","65+"))))</f>
        <v>36-50</v>
      </c>
    </row>
    <row r="53" spans="1:19" x14ac:dyDescent="0.3">
      <c r="A53" s="3" t="s">
        <v>200</v>
      </c>
      <c r="B53" s="3">
        <v>67</v>
      </c>
      <c r="C53" s="3" t="s">
        <v>35</v>
      </c>
      <c r="D53" s="3" t="s">
        <v>49</v>
      </c>
      <c r="E53" s="3" t="s">
        <v>18</v>
      </c>
      <c r="F53" s="4">
        <v>44863</v>
      </c>
      <c r="G53" s="3" t="s">
        <v>201</v>
      </c>
      <c r="H53" s="3" t="s">
        <v>202</v>
      </c>
      <c r="I53" s="3" t="s">
        <v>39</v>
      </c>
      <c r="J53" s="5">
        <v>21879.531911063499</v>
      </c>
      <c r="K53" s="3">
        <v>492</v>
      </c>
      <c r="L53" s="3" t="s">
        <v>22</v>
      </c>
      <c r="M53" s="4">
        <v>44885</v>
      </c>
      <c r="N53" s="3" t="s">
        <v>52</v>
      </c>
      <c r="O53" s="3" t="s">
        <v>33</v>
      </c>
      <c r="P53" s="3" t="str">
        <f>IF(Table1[[#This Row],[Billing Amount]]&lt;5000,"Low",IF(Table1[[#This Row],[Billing Amount]]&lt;=15000,"Medium","High"))</f>
        <v>High</v>
      </c>
      <c r="Q53" s="3" t="str">
        <f>IF(Table1[[#This Row],[Discharge Date]]="Yes","Discharged","Under Treatment")</f>
        <v>Under Treatment</v>
      </c>
      <c r="R53" s="3" t="str">
        <f>IF(Table1[[#This Row],[Test Results]]&gt;120,"High Risk","Normal")</f>
        <v>High Risk</v>
      </c>
      <c r="S53" s="3" t="str">
        <f>IF(Table1[[#This Row],[Age]]&lt;=18,"0-18",IF(Table1[[#This Row],[Age]]&lt;=35,"19-35",IF(Table1[[#This Row],[Age]]&lt;=50,"36-50",IF(Table1[[#This Row],[Age]]&lt;=65,"51-65","65+"))))</f>
        <v>65+</v>
      </c>
    </row>
    <row r="54" spans="1:19" x14ac:dyDescent="0.3">
      <c r="A54" s="3" t="s">
        <v>203</v>
      </c>
      <c r="B54" s="3">
        <v>24</v>
      </c>
      <c r="C54" s="3" t="s">
        <v>35</v>
      </c>
      <c r="D54" s="3" t="s">
        <v>36</v>
      </c>
      <c r="E54" s="3" t="s">
        <v>27</v>
      </c>
      <c r="F54" s="4">
        <v>44659</v>
      </c>
      <c r="G54" s="3" t="s">
        <v>204</v>
      </c>
      <c r="H54" s="3" t="s">
        <v>205</v>
      </c>
      <c r="I54" s="3" t="s">
        <v>57</v>
      </c>
      <c r="J54" s="5">
        <v>6767.6343965449396</v>
      </c>
      <c r="K54" s="3">
        <v>180</v>
      </c>
      <c r="L54" s="3" t="s">
        <v>46</v>
      </c>
      <c r="M54" s="4">
        <v>44664</v>
      </c>
      <c r="N54" s="3" t="s">
        <v>79</v>
      </c>
      <c r="O54" s="3" t="s">
        <v>47</v>
      </c>
      <c r="P54" s="3" t="str">
        <f>IF(Table1[[#This Row],[Billing Amount]]&lt;5000,"Low",IF(Table1[[#This Row],[Billing Amount]]&lt;=15000,"Medium","High"))</f>
        <v>Medium</v>
      </c>
      <c r="Q54" s="3" t="str">
        <f>IF(Table1[[#This Row],[Discharge Date]]="Yes","Discharged","Under Treatment")</f>
        <v>Under Treatment</v>
      </c>
      <c r="R54" s="3" t="str">
        <f>IF(Table1[[#This Row],[Test Results]]&gt;120,"High Risk","Normal")</f>
        <v>High Risk</v>
      </c>
      <c r="S54" s="3" t="str">
        <f>IF(Table1[[#This Row],[Age]]&lt;=18,"0-18",IF(Table1[[#This Row],[Age]]&lt;=35,"19-35",IF(Table1[[#This Row],[Age]]&lt;=50,"36-50",IF(Table1[[#This Row],[Age]]&lt;=65,"51-65","65+"))))</f>
        <v>19-35</v>
      </c>
    </row>
    <row r="55" spans="1:19" x14ac:dyDescent="0.3">
      <c r="A55" s="3" t="s">
        <v>206</v>
      </c>
      <c r="B55" s="3">
        <v>84</v>
      </c>
      <c r="C55" s="3" t="s">
        <v>35</v>
      </c>
      <c r="D55" s="3" t="s">
        <v>17</v>
      </c>
      <c r="E55" s="3" t="s">
        <v>54</v>
      </c>
      <c r="F55" s="4">
        <v>45155</v>
      </c>
      <c r="G55" s="3" t="s">
        <v>207</v>
      </c>
      <c r="H55" s="3" t="s">
        <v>208</v>
      </c>
      <c r="I55" s="3" t="s">
        <v>65</v>
      </c>
      <c r="J55" s="5">
        <v>19973.4629261595</v>
      </c>
      <c r="K55" s="3">
        <v>250</v>
      </c>
      <c r="L55" s="3" t="s">
        <v>46</v>
      </c>
      <c r="M55" s="4">
        <v>45180</v>
      </c>
      <c r="N55" s="3" t="s">
        <v>32</v>
      </c>
      <c r="O55" s="3" t="s">
        <v>33</v>
      </c>
      <c r="P55" s="3" t="str">
        <f>IF(Table1[[#This Row],[Billing Amount]]&lt;5000,"Low",IF(Table1[[#This Row],[Billing Amount]]&lt;=15000,"Medium","High"))</f>
        <v>High</v>
      </c>
      <c r="Q55" s="3" t="str">
        <f>IF(Table1[[#This Row],[Discharge Date]]="Yes","Discharged","Under Treatment")</f>
        <v>Under Treatment</v>
      </c>
      <c r="R55" s="3" t="str">
        <f>IF(Table1[[#This Row],[Test Results]]&gt;120,"High Risk","Normal")</f>
        <v>High Risk</v>
      </c>
      <c r="S55" s="3" t="str">
        <f>IF(Table1[[#This Row],[Age]]&lt;=18,"0-18",IF(Table1[[#This Row],[Age]]&lt;=35,"19-35",IF(Table1[[#This Row],[Age]]&lt;=50,"36-50",IF(Table1[[#This Row],[Age]]&lt;=65,"51-65","65+"))))</f>
        <v>65+</v>
      </c>
    </row>
    <row r="56" spans="1:19" x14ac:dyDescent="0.3">
      <c r="A56" s="3" t="s">
        <v>209</v>
      </c>
      <c r="B56" s="3">
        <v>73</v>
      </c>
      <c r="C56" s="3" t="s">
        <v>35</v>
      </c>
      <c r="D56" s="3" t="s">
        <v>36</v>
      </c>
      <c r="E56" s="3" t="s">
        <v>76</v>
      </c>
      <c r="F56" s="4">
        <v>45235</v>
      </c>
      <c r="G56" s="3" t="s">
        <v>210</v>
      </c>
      <c r="H56" s="3" t="s">
        <v>211</v>
      </c>
      <c r="I56" s="3" t="s">
        <v>57</v>
      </c>
      <c r="J56" s="5">
        <v>14362.314487502301</v>
      </c>
      <c r="K56" s="3">
        <v>296</v>
      </c>
      <c r="L56" s="3" t="s">
        <v>31</v>
      </c>
      <c r="M56" s="4">
        <v>45237</v>
      </c>
      <c r="N56" s="3" t="s">
        <v>23</v>
      </c>
      <c r="O56" s="3" t="s">
        <v>33</v>
      </c>
      <c r="P56" s="3" t="str">
        <f>IF(Table1[[#This Row],[Billing Amount]]&lt;5000,"Low",IF(Table1[[#This Row],[Billing Amount]]&lt;=15000,"Medium","High"))</f>
        <v>Medium</v>
      </c>
      <c r="Q56" s="3" t="str">
        <f>IF(Table1[[#This Row],[Discharge Date]]="Yes","Discharged","Under Treatment")</f>
        <v>Under Treatment</v>
      </c>
      <c r="R56" s="3" t="str">
        <f>IF(Table1[[#This Row],[Test Results]]&gt;120,"High Risk","Normal")</f>
        <v>High Risk</v>
      </c>
      <c r="S56" s="3" t="str">
        <f>IF(Table1[[#This Row],[Age]]&lt;=18,"0-18",IF(Table1[[#This Row],[Age]]&lt;=35,"19-35",IF(Table1[[#This Row],[Age]]&lt;=50,"36-50",IF(Table1[[#This Row],[Age]]&lt;=65,"51-65","65+"))))</f>
        <v>65+</v>
      </c>
    </row>
    <row r="57" spans="1:19" x14ac:dyDescent="0.3">
      <c r="A57" s="3" t="s">
        <v>212</v>
      </c>
      <c r="B57" s="3">
        <v>55</v>
      </c>
      <c r="C57" s="3" t="s">
        <v>35</v>
      </c>
      <c r="D57" s="3" t="s">
        <v>26</v>
      </c>
      <c r="E57" s="3" t="s">
        <v>18</v>
      </c>
      <c r="F57" s="4">
        <v>45025</v>
      </c>
      <c r="G57" s="3" t="s">
        <v>213</v>
      </c>
      <c r="H57" s="3" t="s">
        <v>214</v>
      </c>
      <c r="I57" s="3" t="s">
        <v>65</v>
      </c>
      <c r="J57" s="5">
        <v>10300.6573113759</v>
      </c>
      <c r="K57" s="3">
        <v>330</v>
      </c>
      <c r="L57" s="3" t="s">
        <v>31</v>
      </c>
      <c r="M57" s="4">
        <v>45037</v>
      </c>
      <c r="N57" s="3" t="s">
        <v>23</v>
      </c>
      <c r="O57" s="3" t="s">
        <v>24</v>
      </c>
      <c r="P57" s="3" t="str">
        <f>IF(Table1[[#This Row],[Billing Amount]]&lt;5000,"Low",IF(Table1[[#This Row],[Billing Amount]]&lt;=15000,"Medium","High"))</f>
        <v>Medium</v>
      </c>
      <c r="Q57" s="3" t="str">
        <f>IF(Table1[[#This Row],[Discharge Date]]="Yes","Discharged","Under Treatment")</f>
        <v>Under Treatment</v>
      </c>
      <c r="R57" s="3" t="str">
        <f>IF(Table1[[#This Row],[Test Results]]&gt;120,"High Risk","Normal")</f>
        <v>High Risk</v>
      </c>
      <c r="S57" s="3" t="str">
        <f>IF(Table1[[#This Row],[Age]]&lt;=18,"0-18",IF(Table1[[#This Row],[Age]]&lt;=35,"19-35",IF(Table1[[#This Row],[Age]]&lt;=50,"36-50",IF(Table1[[#This Row],[Age]]&lt;=65,"51-65","65+"))))</f>
        <v>51-65</v>
      </c>
    </row>
    <row r="58" spans="1:19" x14ac:dyDescent="0.3">
      <c r="A58" s="3" t="s">
        <v>215</v>
      </c>
      <c r="B58" s="3">
        <v>23</v>
      </c>
      <c r="C58" s="3" t="s">
        <v>16</v>
      </c>
      <c r="D58" s="3" t="s">
        <v>122</v>
      </c>
      <c r="E58" s="3" t="s">
        <v>76</v>
      </c>
      <c r="F58" s="4">
        <v>44825</v>
      </c>
      <c r="G58" s="3" t="s">
        <v>216</v>
      </c>
      <c r="H58" s="3" t="s">
        <v>217</v>
      </c>
      <c r="I58" s="3" t="s">
        <v>39</v>
      </c>
      <c r="J58" s="5">
        <v>37951.6649098497</v>
      </c>
      <c r="K58" s="3">
        <v>405</v>
      </c>
      <c r="L58" s="3" t="s">
        <v>31</v>
      </c>
      <c r="M58" s="4">
        <v>44829</v>
      </c>
      <c r="N58" s="3" t="s">
        <v>32</v>
      </c>
      <c r="O58" s="3" t="s">
        <v>33</v>
      </c>
      <c r="P58" s="3" t="str">
        <f>IF(Table1[[#This Row],[Billing Amount]]&lt;5000,"Low",IF(Table1[[#This Row],[Billing Amount]]&lt;=15000,"Medium","High"))</f>
        <v>High</v>
      </c>
      <c r="Q58" s="3" t="str">
        <f>IF(Table1[[#This Row],[Discharge Date]]="Yes","Discharged","Under Treatment")</f>
        <v>Under Treatment</v>
      </c>
      <c r="R58" s="3" t="str">
        <f>IF(Table1[[#This Row],[Test Results]]&gt;120,"High Risk","Normal")</f>
        <v>High Risk</v>
      </c>
      <c r="S58" s="3" t="str">
        <f>IF(Table1[[#This Row],[Age]]&lt;=18,"0-18",IF(Table1[[#This Row],[Age]]&lt;=35,"19-35",IF(Table1[[#This Row],[Age]]&lt;=50,"36-50",IF(Table1[[#This Row],[Age]]&lt;=65,"51-65","65+"))))</f>
        <v>19-35</v>
      </c>
    </row>
    <row r="59" spans="1:19" x14ac:dyDescent="0.3">
      <c r="A59" s="3" t="s">
        <v>218</v>
      </c>
      <c r="B59" s="3">
        <v>40</v>
      </c>
      <c r="C59" s="3" t="s">
        <v>35</v>
      </c>
      <c r="D59" s="3" t="s">
        <v>59</v>
      </c>
      <c r="E59" s="3" t="s">
        <v>18</v>
      </c>
      <c r="F59" s="4">
        <v>44217</v>
      </c>
      <c r="G59" s="3" t="s">
        <v>219</v>
      </c>
      <c r="H59" s="3" t="s">
        <v>220</v>
      </c>
      <c r="I59" s="3" t="s">
        <v>39</v>
      </c>
      <c r="J59" s="5">
        <v>6733.9909470688299</v>
      </c>
      <c r="K59" s="3">
        <v>300</v>
      </c>
      <c r="L59" s="3" t="s">
        <v>22</v>
      </c>
      <c r="M59" s="4">
        <v>44233</v>
      </c>
      <c r="N59" s="3" t="s">
        <v>32</v>
      </c>
      <c r="O59" s="3" t="s">
        <v>24</v>
      </c>
      <c r="P59" s="3" t="str">
        <f>IF(Table1[[#This Row],[Billing Amount]]&lt;5000,"Low",IF(Table1[[#This Row],[Billing Amount]]&lt;=15000,"Medium","High"))</f>
        <v>Medium</v>
      </c>
      <c r="Q59" s="3" t="str">
        <f>IF(Table1[[#This Row],[Discharge Date]]="Yes","Discharged","Under Treatment")</f>
        <v>Under Treatment</v>
      </c>
      <c r="R59" s="3" t="str">
        <f>IF(Table1[[#This Row],[Test Results]]&gt;120,"High Risk","Normal")</f>
        <v>High Risk</v>
      </c>
      <c r="S59" s="3" t="str">
        <f>IF(Table1[[#This Row],[Age]]&lt;=18,"0-18",IF(Table1[[#This Row],[Age]]&lt;=35,"19-35",IF(Table1[[#This Row],[Age]]&lt;=50,"36-50",IF(Table1[[#This Row],[Age]]&lt;=65,"51-65","65+"))))</f>
        <v>36-50</v>
      </c>
    </row>
    <row r="60" spans="1:19" x14ac:dyDescent="0.3">
      <c r="A60" s="3" t="s">
        <v>221</v>
      </c>
      <c r="B60" s="3">
        <v>51</v>
      </c>
      <c r="C60" s="3" t="s">
        <v>16</v>
      </c>
      <c r="D60" s="3" t="s">
        <v>42</v>
      </c>
      <c r="E60" s="3" t="s">
        <v>76</v>
      </c>
      <c r="F60" s="4">
        <v>44022</v>
      </c>
      <c r="G60" s="3" t="s">
        <v>222</v>
      </c>
      <c r="H60" s="3" t="s">
        <v>223</v>
      </c>
      <c r="I60" s="3" t="s">
        <v>39</v>
      </c>
      <c r="J60" s="5">
        <v>17839.745651647099</v>
      </c>
      <c r="K60" s="3">
        <v>306</v>
      </c>
      <c r="L60" s="3" t="s">
        <v>46</v>
      </c>
      <c r="M60" s="4">
        <v>44032</v>
      </c>
      <c r="N60" s="3" t="s">
        <v>23</v>
      </c>
      <c r="O60" s="3" t="s">
        <v>47</v>
      </c>
      <c r="P60" s="3" t="str">
        <f>IF(Table1[[#This Row],[Billing Amount]]&lt;5000,"Low",IF(Table1[[#This Row],[Billing Amount]]&lt;=15000,"Medium","High"))</f>
        <v>High</v>
      </c>
      <c r="Q60" s="3" t="str">
        <f>IF(Table1[[#This Row],[Discharge Date]]="Yes","Discharged","Under Treatment")</f>
        <v>Under Treatment</v>
      </c>
      <c r="R60" s="3" t="str">
        <f>IF(Table1[[#This Row],[Test Results]]&gt;120,"High Risk","Normal")</f>
        <v>High Risk</v>
      </c>
      <c r="S60" s="3" t="str">
        <f>IF(Table1[[#This Row],[Age]]&lt;=18,"0-18",IF(Table1[[#This Row],[Age]]&lt;=35,"19-35",IF(Table1[[#This Row],[Age]]&lt;=50,"36-50",IF(Table1[[#This Row],[Age]]&lt;=65,"51-65","65+"))))</f>
        <v>51-65</v>
      </c>
    </row>
    <row r="61" spans="1:19" x14ac:dyDescent="0.3">
      <c r="A61" s="3" t="s">
        <v>224</v>
      </c>
      <c r="B61" s="3">
        <v>83</v>
      </c>
      <c r="C61" s="3" t="s">
        <v>16</v>
      </c>
      <c r="D61" s="3" t="s">
        <v>49</v>
      </c>
      <c r="E61" s="3" t="s">
        <v>27</v>
      </c>
      <c r="F61" s="4">
        <v>43775</v>
      </c>
      <c r="G61" s="3" t="s">
        <v>225</v>
      </c>
      <c r="H61" s="3" t="s">
        <v>226</v>
      </c>
      <c r="I61" s="3" t="s">
        <v>39</v>
      </c>
      <c r="J61" s="5">
        <v>24637.0900640332</v>
      </c>
      <c r="K61" s="3">
        <v>333</v>
      </c>
      <c r="L61" s="3" t="s">
        <v>46</v>
      </c>
      <c r="M61" s="4">
        <v>43791</v>
      </c>
      <c r="N61" s="3" t="s">
        <v>23</v>
      </c>
      <c r="O61" s="3" t="s">
        <v>33</v>
      </c>
      <c r="P61" s="3" t="str">
        <f>IF(Table1[[#This Row],[Billing Amount]]&lt;5000,"Low",IF(Table1[[#This Row],[Billing Amount]]&lt;=15000,"Medium","High"))</f>
        <v>High</v>
      </c>
      <c r="Q61" s="3" t="str">
        <f>IF(Table1[[#This Row],[Discharge Date]]="Yes","Discharged","Under Treatment")</f>
        <v>Under Treatment</v>
      </c>
      <c r="R61" s="3" t="str">
        <f>IF(Table1[[#This Row],[Test Results]]&gt;120,"High Risk","Normal")</f>
        <v>High Risk</v>
      </c>
      <c r="S61" s="3" t="str">
        <f>IF(Table1[[#This Row],[Age]]&lt;=18,"0-18",IF(Table1[[#This Row],[Age]]&lt;=35,"19-35",IF(Table1[[#This Row],[Age]]&lt;=50,"36-50",IF(Table1[[#This Row],[Age]]&lt;=65,"51-65","65+"))))</f>
        <v>65+</v>
      </c>
    </row>
    <row r="62" spans="1:19" x14ac:dyDescent="0.3">
      <c r="A62" s="3" t="s">
        <v>227</v>
      </c>
      <c r="B62" s="3">
        <v>63</v>
      </c>
      <c r="C62" s="3" t="s">
        <v>16</v>
      </c>
      <c r="D62" s="3" t="s">
        <v>36</v>
      </c>
      <c r="E62" s="3" t="s">
        <v>54</v>
      </c>
      <c r="F62" s="4">
        <v>45389</v>
      </c>
      <c r="G62" s="3" t="s">
        <v>228</v>
      </c>
      <c r="H62" s="3" t="s">
        <v>229</v>
      </c>
      <c r="I62" s="3" t="s">
        <v>57</v>
      </c>
      <c r="J62" s="5">
        <v>39723.166051427797</v>
      </c>
      <c r="K62" s="3">
        <v>244</v>
      </c>
      <c r="L62" s="3" t="s">
        <v>31</v>
      </c>
      <c r="M62" s="4">
        <v>45416</v>
      </c>
      <c r="N62" s="3" t="s">
        <v>32</v>
      </c>
      <c r="O62" s="3" t="s">
        <v>33</v>
      </c>
      <c r="P62" s="3" t="str">
        <f>IF(Table1[[#This Row],[Billing Amount]]&lt;5000,"Low",IF(Table1[[#This Row],[Billing Amount]]&lt;=15000,"Medium","High"))</f>
        <v>High</v>
      </c>
      <c r="Q62" s="3" t="str">
        <f>IF(Table1[[#This Row],[Discharge Date]]="Yes","Discharged","Under Treatment")</f>
        <v>Under Treatment</v>
      </c>
      <c r="R62" s="3" t="str">
        <f>IF(Table1[[#This Row],[Test Results]]&gt;120,"High Risk","Normal")</f>
        <v>High Risk</v>
      </c>
      <c r="S62" s="3" t="str">
        <f>IF(Table1[[#This Row],[Age]]&lt;=18,"0-18",IF(Table1[[#This Row],[Age]]&lt;=35,"19-35",IF(Table1[[#This Row],[Age]]&lt;=50,"36-50",IF(Table1[[#This Row],[Age]]&lt;=65,"51-65","65+"))))</f>
        <v>51-65</v>
      </c>
    </row>
    <row r="63" spans="1:19" x14ac:dyDescent="0.3">
      <c r="A63" s="3" t="s">
        <v>230</v>
      </c>
      <c r="B63" s="3">
        <v>18</v>
      </c>
      <c r="C63" s="3" t="s">
        <v>16</v>
      </c>
      <c r="D63" s="3" t="s">
        <v>26</v>
      </c>
      <c r="E63" s="3" t="s">
        <v>18</v>
      </c>
      <c r="F63" s="4">
        <v>44748</v>
      </c>
      <c r="G63" s="3" t="s">
        <v>231</v>
      </c>
      <c r="H63" s="3" t="s">
        <v>232</v>
      </c>
      <c r="I63" s="3" t="s">
        <v>57</v>
      </c>
      <c r="J63" s="5">
        <v>48407.386291100498</v>
      </c>
      <c r="K63" s="3">
        <v>325</v>
      </c>
      <c r="L63" s="3" t="s">
        <v>31</v>
      </c>
      <c r="M63" s="4">
        <v>44760</v>
      </c>
      <c r="N63" s="3" t="s">
        <v>40</v>
      </c>
      <c r="O63" s="3" t="s">
        <v>24</v>
      </c>
      <c r="P63" s="3" t="str">
        <f>IF(Table1[[#This Row],[Billing Amount]]&lt;5000,"Low",IF(Table1[[#This Row],[Billing Amount]]&lt;=15000,"Medium","High"))</f>
        <v>High</v>
      </c>
      <c r="Q63" s="3" t="str">
        <f>IF(Table1[[#This Row],[Discharge Date]]="Yes","Discharged","Under Treatment")</f>
        <v>Under Treatment</v>
      </c>
      <c r="R63" s="3" t="str">
        <f>IF(Table1[[#This Row],[Test Results]]&gt;120,"High Risk","Normal")</f>
        <v>High Risk</v>
      </c>
      <c r="S63" s="3" t="str">
        <f>IF(Table1[[#This Row],[Age]]&lt;=18,"0-18",IF(Table1[[#This Row],[Age]]&lt;=35,"19-35",IF(Table1[[#This Row],[Age]]&lt;=50,"36-50",IF(Table1[[#This Row],[Age]]&lt;=65,"51-65","65+"))))</f>
        <v>0-18</v>
      </c>
    </row>
    <row r="64" spans="1:19" x14ac:dyDescent="0.3">
      <c r="A64" s="3" t="s">
        <v>233</v>
      </c>
      <c r="B64" s="3">
        <v>23</v>
      </c>
      <c r="C64" s="3" t="s">
        <v>35</v>
      </c>
      <c r="D64" s="3" t="s">
        <v>17</v>
      </c>
      <c r="E64" s="3" t="s">
        <v>76</v>
      </c>
      <c r="F64" s="4">
        <v>44776</v>
      </c>
      <c r="G64" s="3" t="s">
        <v>234</v>
      </c>
      <c r="H64" s="3" t="s">
        <v>235</v>
      </c>
      <c r="I64" s="3" t="s">
        <v>65</v>
      </c>
      <c r="J64" s="5">
        <v>5517.3936422239904</v>
      </c>
      <c r="K64" s="3">
        <v>113</v>
      </c>
      <c r="L64" s="3" t="s">
        <v>46</v>
      </c>
      <c r="M64" s="4">
        <v>44783</v>
      </c>
      <c r="N64" s="3" t="s">
        <v>40</v>
      </c>
      <c r="O64" s="3" t="s">
        <v>33</v>
      </c>
      <c r="P64" s="3" t="str">
        <f>IF(Table1[[#This Row],[Billing Amount]]&lt;5000,"Low",IF(Table1[[#This Row],[Billing Amount]]&lt;=15000,"Medium","High"))</f>
        <v>Medium</v>
      </c>
      <c r="Q64" s="3" t="str">
        <f>IF(Table1[[#This Row],[Discharge Date]]="Yes","Discharged","Under Treatment")</f>
        <v>Under Treatment</v>
      </c>
      <c r="R64" s="3" t="str">
        <f>IF(Table1[[#This Row],[Test Results]]&gt;120,"High Risk","Normal")</f>
        <v>High Risk</v>
      </c>
      <c r="S64" s="3" t="str">
        <f>IF(Table1[[#This Row],[Age]]&lt;=18,"0-18",IF(Table1[[#This Row],[Age]]&lt;=35,"19-35",IF(Table1[[#This Row],[Age]]&lt;=50,"36-50",IF(Table1[[#This Row],[Age]]&lt;=65,"51-65","65+"))))</f>
        <v>19-35</v>
      </c>
    </row>
    <row r="65" spans="1:19" x14ac:dyDescent="0.3">
      <c r="A65" s="3" t="s">
        <v>236</v>
      </c>
      <c r="B65" s="3">
        <v>58</v>
      </c>
      <c r="C65" s="3" t="s">
        <v>16</v>
      </c>
      <c r="D65" s="3" t="s">
        <v>36</v>
      </c>
      <c r="E65" s="3" t="s">
        <v>76</v>
      </c>
      <c r="F65" s="4">
        <v>43959</v>
      </c>
      <c r="G65" s="3" t="s">
        <v>237</v>
      </c>
      <c r="H65" s="3" t="s">
        <v>238</v>
      </c>
      <c r="I65" s="3" t="s">
        <v>30</v>
      </c>
      <c r="J65" s="5">
        <v>19183.168885395498</v>
      </c>
      <c r="K65" s="3">
        <v>378</v>
      </c>
      <c r="L65" s="3" t="s">
        <v>31</v>
      </c>
      <c r="M65" s="4">
        <v>43983</v>
      </c>
      <c r="N65" s="3" t="s">
        <v>40</v>
      </c>
      <c r="O65" s="3" t="s">
        <v>47</v>
      </c>
      <c r="P65" s="3" t="str">
        <f>IF(Table1[[#This Row],[Billing Amount]]&lt;5000,"Low",IF(Table1[[#This Row],[Billing Amount]]&lt;=15000,"Medium","High"))</f>
        <v>High</v>
      </c>
      <c r="Q65" s="3" t="str">
        <f>IF(Table1[[#This Row],[Discharge Date]]="Yes","Discharged","Under Treatment")</f>
        <v>Under Treatment</v>
      </c>
      <c r="R65" s="3" t="str">
        <f>IF(Table1[[#This Row],[Test Results]]&gt;120,"High Risk","Normal")</f>
        <v>High Risk</v>
      </c>
      <c r="S65" s="3" t="str">
        <f>IF(Table1[[#This Row],[Age]]&lt;=18,"0-18",IF(Table1[[#This Row],[Age]]&lt;=35,"19-35",IF(Table1[[#This Row],[Age]]&lt;=50,"36-50",IF(Table1[[#This Row],[Age]]&lt;=65,"51-65","65+"))))</f>
        <v>51-65</v>
      </c>
    </row>
    <row r="66" spans="1:19" x14ac:dyDescent="0.3">
      <c r="A66" s="3" t="s">
        <v>239</v>
      </c>
      <c r="B66" s="3">
        <v>27</v>
      </c>
      <c r="C66" s="3" t="s">
        <v>16</v>
      </c>
      <c r="D66" s="3" t="s">
        <v>59</v>
      </c>
      <c r="E66" s="3" t="s">
        <v>18</v>
      </c>
      <c r="F66" s="4">
        <v>43808</v>
      </c>
      <c r="G66" s="3" t="s">
        <v>240</v>
      </c>
      <c r="H66" s="3" t="s">
        <v>241</v>
      </c>
      <c r="I66" s="3" t="s">
        <v>30</v>
      </c>
      <c r="J66" s="5">
        <v>8320.6608032874301</v>
      </c>
      <c r="K66" s="3">
        <v>468</v>
      </c>
      <c r="L66" s="3" t="s">
        <v>22</v>
      </c>
      <c r="M66" s="4">
        <v>43820</v>
      </c>
      <c r="N66" s="3" t="s">
        <v>79</v>
      </c>
      <c r="O66" s="3" t="s">
        <v>47</v>
      </c>
      <c r="P66" s="3" t="str">
        <f>IF(Table1[[#This Row],[Billing Amount]]&lt;5000,"Low",IF(Table1[[#This Row],[Billing Amount]]&lt;=15000,"Medium","High"))</f>
        <v>Medium</v>
      </c>
      <c r="Q66" s="3" t="str">
        <f>IF(Table1[[#This Row],[Discharge Date]]="Yes","Discharged","Under Treatment")</f>
        <v>Under Treatment</v>
      </c>
      <c r="R66" s="3" t="str">
        <f>IF(Table1[[#This Row],[Test Results]]&gt;120,"High Risk","Normal")</f>
        <v>High Risk</v>
      </c>
      <c r="S66" s="3" t="str">
        <f>IF(Table1[[#This Row],[Age]]&lt;=18,"0-18",IF(Table1[[#This Row],[Age]]&lt;=35,"19-35",IF(Table1[[#This Row],[Age]]&lt;=50,"36-50",IF(Table1[[#This Row],[Age]]&lt;=65,"51-65","65+"))))</f>
        <v>19-35</v>
      </c>
    </row>
    <row r="67" spans="1:19" x14ac:dyDescent="0.3">
      <c r="A67" s="3" t="s">
        <v>242</v>
      </c>
      <c r="B67" s="3">
        <v>59</v>
      </c>
      <c r="C67" s="3" t="s">
        <v>16</v>
      </c>
      <c r="D67" s="3" t="s">
        <v>103</v>
      </c>
      <c r="E67" s="3" t="s">
        <v>43</v>
      </c>
      <c r="F67" s="4">
        <v>43790</v>
      </c>
      <c r="G67" s="3" t="s">
        <v>243</v>
      </c>
      <c r="H67" s="3" t="s">
        <v>244</v>
      </c>
      <c r="I67" s="3" t="s">
        <v>30</v>
      </c>
      <c r="J67" s="5">
        <v>10107.1876510572</v>
      </c>
      <c r="K67" s="3">
        <v>368</v>
      </c>
      <c r="L67" s="3" t="s">
        <v>31</v>
      </c>
      <c r="M67" s="4">
        <v>43807</v>
      </c>
      <c r="N67" s="3" t="s">
        <v>52</v>
      </c>
      <c r="O67" s="3" t="s">
        <v>47</v>
      </c>
      <c r="P67" s="3" t="str">
        <f>IF(Table1[[#This Row],[Billing Amount]]&lt;5000,"Low",IF(Table1[[#This Row],[Billing Amount]]&lt;=15000,"Medium","High"))</f>
        <v>Medium</v>
      </c>
      <c r="Q67" s="3" t="str">
        <f>IF(Table1[[#This Row],[Discharge Date]]="Yes","Discharged","Under Treatment")</f>
        <v>Under Treatment</v>
      </c>
      <c r="R67" s="3" t="str">
        <f>IF(Table1[[#This Row],[Test Results]]&gt;120,"High Risk","Normal")</f>
        <v>High Risk</v>
      </c>
      <c r="S67" s="3" t="str">
        <f>IF(Table1[[#This Row],[Age]]&lt;=18,"0-18",IF(Table1[[#This Row],[Age]]&lt;=35,"19-35",IF(Table1[[#This Row],[Age]]&lt;=50,"36-50",IF(Table1[[#This Row],[Age]]&lt;=65,"51-65","65+"))))</f>
        <v>51-65</v>
      </c>
    </row>
    <row r="68" spans="1:19" x14ac:dyDescent="0.3">
      <c r="A68" s="3" t="s">
        <v>245</v>
      </c>
      <c r="B68" s="3">
        <v>27</v>
      </c>
      <c r="C68" s="3" t="s">
        <v>16</v>
      </c>
      <c r="D68" s="3" t="s">
        <v>17</v>
      </c>
      <c r="E68" s="3" t="s">
        <v>76</v>
      </c>
      <c r="F68" s="4">
        <v>44933</v>
      </c>
      <c r="G68" s="3" t="s">
        <v>246</v>
      </c>
      <c r="H68" s="3" t="s">
        <v>247</v>
      </c>
      <c r="I68" s="3" t="s">
        <v>65</v>
      </c>
      <c r="J68" s="5">
        <v>49402.298372527097</v>
      </c>
      <c r="K68" s="3">
        <v>263</v>
      </c>
      <c r="L68" s="3" t="s">
        <v>46</v>
      </c>
      <c r="M68" s="4">
        <v>44953</v>
      </c>
      <c r="N68" s="3" t="s">
        <v>79</v>
      </c>
      <c r="O68" s="3" t="s">
        <v>33</v>
      </c>
      <c r="P68" s="3" t="str">
        <f>IF(Table1[[#This Row],[Billing Amount]]&lt;5000,"Low",IF(Table1[[#This Row],[Billing Amount]]&lt;=15000,"Medium","High"))</f>
        <v>High</v>
      </c>
      <c r="Q68" s="3" t="str">
        <f>IF(Table1[[#This Row],[Discharge Date]]="Yes","Discharged","Under Treatment")</f>
        <v>Under Treatment</v>
      </c>
      <c r="R68" s="3" t="str">
        <f>IF(Table1[[#This Row],[Test Results]]&gt;120,"High Risk","Normal")</f>
        <v>High Risk</v>
      </c>
      <c r="S68" s="3" t="str">
        <f>IF(Table1[[#This Row],[Age]]&lt;=18,"0-18",IF(Table1[[#This Row],[Age]]&lt;=35,"19-35",IF(Table1[[#This Row],[Age]]&lt;=50,"36-50",IF(Table1[[#This Row],[Age]]&lt;=65,"51-65","65+"))))</f>
        <v>19-35</v>
      </c>
    </row>
    <row r="69" spans="1:19" x14ac:dyDescent="0.3">
      <c r="A69" s="3" t="s">
        <v>248</v>
      </c>
      <c r="B69" s="3">
        <v>31</v>
      </c>
      <c r="C69" s="3" t="s">
        <v>16</v>
      </c>
      <c r="D69" s="3" t="s">
        <v>103</v>
      </c>
      <c r="E69" s="3" t="s">
        <v>43</v>
      </c>
      <c r="F69" s="4">
        <v>45328</v>
      </c>
      <c r="G69" s="3" t="s">
        <v>249</v>
      </c>
      <c r="H69" s="3" t="s">
        <v>250</v>
      </c>
      <c r="I69" s="3" t="s">
        <v>57</v>
      </c>
      <c r="J69" s="5">
        <v>35776.815111453703</v>
      </c>
      <c r="K69" s="3">
        <v>489</v>
      </c>
      <c r="L69" s="3" t="s">
        <v>31</v>
      </c>
      <c r="M69" s="4">
        <v>45332</v>
      </c>
      <c r="N69" s="3" t="s">
        <v>52</v>
      </c>
      <c r="O69" s="3" t="s">
        <v>24</v>
      </c>
      <c r="P69" s="3" t="str">
        <f>IF(Table1[[#This Row],[Billing Amount]]&lt;5000,"Low",IF(Table1[[#This Row],[Billing Amount]]&lt;=15000,"Medium","High"))</f>
        <v>High</v>
      </c>
      <c r="Q69" s="3" t="str">
        <f>IF(Table1[[#This Row],[Discharge Date]]="Yes","Discharged","Under Treatment")</f>
        <v>Under Treatment</v>
      </c>
      <c r="R69" s="3" t="str">
        <f>IF(Table1[[#This Row],[Test Results]]&gt;120,"High Risk","Normal")</f>
        <v>High Risk</v>
      </c>
      <c r="S69" s="3" t="str">
        <f>IF(Table1[[#This Row],[Age]]&lt;=18,"0-18",IF(Table1[[#This Row],[Age]]&lt;=35,"19-35",IF(Table1[[#This Row],[Age]]&lt;=50,"36-50",IF(Table1[[#This Row],[Age]]&lt;=65,"51-65","65+"))))</f>
        <v>19-35</v>
      </c>
    </row>
    <row r="70" spans="1:19" x14ac:dyDescent="0.3">
      <c r="A70" s="3" t="s">
        <v>251</v>
      </c>
      <c r="B70" s="3">
        <v>19</v>
      </c>
      <c r="C70" s="3" t="s">
        <v>35</v>
      </c>
      <c r="D70" s="3" t="s">
        <v>26</v>
      </c>
      <c r="E70" s="3" t="s">
        <v>93</v>
      </c>
      <c r="F70" s="4">
        <v>43860</v>
      </c>
      <c r="G70" s="3" t="s">
        <v>252</v>
      </c>
      <c r="H70" s="3" t="s">
        <v>253</v>
      </c>
      <c r="I70" s="3" t="s">
        <v>30</v>
      </c>
      <c r="J70" s="5">
        <v>20227.863726744701</v>
      </c>
      <c r="K70" s="3">
        <v>241</v>
      </c>
      <c r="L70" s="3" t="s">
        <v>46</v>
      </c>
      <c r="M70" s="4">
        <v>43873</v>
      </c>
      <c r="N70" s="3" t="s">
        <v>52</v>
      </c>
      <c r="O70" s="3" t="s">
        <v>24</v>
      </c>
      <c r="P70" s="3" t="str">
        <f>IF(Table1[[#This Row],[Billing Amount]]&lt;5000,"Low",IF(Table1[[#This Row],[Billing Amount]]&lt;=15000,"Medium","High"))</f>
        <v>High</v>
      </c>
      <c r="Q70" s="3" t="str">
        <f>IF(Table1[[#This Row],[Discharge Date]]="Yes","Discharged","Under Treatment")</f>
        <v>Under Treatment</v>
      </c>
      <c r="R70" s="3" t="str">
        <f>IF(Table1[[#This Row],[Test Results]]&gt;120,"High Risk","Normal")</f>
        <v>High Risk</v>
      </c>
      <c r="S70" s="3" t="str">
        <f>IF(Table1[[#This Row],[Age]]&lt;=18,"0-18",IF(Table1[[#This Row],[Age]]&lt;=35,"19-35",IF(Table1[[#This Row],[Age]]&lt;=50,"36-50",IF(Table1[[#This Row],[Age]]&lt;=65,"51-65","65+"))))</f>
        <v>19-35</v>
      </c>
    </row>
    <row r="71" spans="1:19" x14ac:dyDescent="0.3">
      <c r="A71" s="3" t="s">
        <v>254</v>
      </c>
      <c r="B71" s="3">
        <v>29</v>
      </c>
      <c r="C71" s="3" t="s">
        <v>35</v>
      </c>
      <c r="D71" s="3" t="s">
        <v>42</v>
      </c>
      <c r="E71" s="3" t="s">
        <v>18</v>
      </c>
      <c r="F71" s="4">
        <v>44858</v>
      </c>
      <c r="G71" s="3" t="s">
        <v>255</v>
      </c>
      <c r="H71" s="3" t="s">
        <v>256</v>
      </c>
      <c r="I71" s="3" t="s">
        <v>21</v>
      </c>
      <c r="J71" s="5">
        <v>19328.118579079899</v>
      </c>
      <c r="K71" s="3">
        <v>231</v>
      </c>
      <c r="L71" s="3" t="s">
        <v>22</v>
      </c>
      <c r="M71" s="4">
        <v>44872</v>
      </c>
      <c r="N71" s="3" t="s">
        <v>32</v>
      </c>
      <c r="O71" s="3" t="s">
        <v>24</v>
      </c>
      <c r="P71" s="3" t="str">
        <f>IF(Table1[[#This Row],[Billing Amount]]&lt;5000,"Low",IF(Table1[[#This Row],[Billing Amount]]&lt;=15000,"Medium","High"))</f>
        <v>High</v>
      </c>
      <c r="Q71" s="3" t="str">
        <f>IF(Table1[[#This Row],[Discharge Date]]="Yes","Discharged","Under Treatment")</f>
        <v>Under Treatment</v>
      </c>
      <c r="R71" s="3" t="str">
        <f>IF(Table1[[#This Row],[Test Results]]&gt;120,"High Risk","Normal")</f>
        <v>High Risk</v>
      </c>
      <c r="S71" s="3" t="str">
        <f>IF(Table1[[#This Row],[Age]]&lt;=18,"0-18",IF(Table1[[#This Row],[Age]]&lt;=35,"19-35",IF(Table1[[#This Row],[Age]]&lt;=50,"36-50",IF(Table1[[#This Row],[Age]]&lt;=65,"51-65","65+"))))</f>
        <v>19-35</v>
      </c>
    </row>
    <row r="72" spans="1:19" x14ac:dyDescent="0.3">
      <c r="A72" s="3" t="s">
        <v>257</v>
      </c>
      <c r="B72" s="3">
        <v>18</v>
      </c>
      <c r="C72" s="3" t="s">
        <v>16</v>
      </c>
      <c r="D72" s="3" t="s">
        <v>36</v>
      </c>
      <c r="E72" s="3" t="s">
        <v>27</v>
      </c>
      <c r="F72" s="4">
        <v>44570</v>
      </c>
      <c r="G72" s="3" t="s">
        <v>258</v>
      </c>
      <c r="H72" s="3" t="s">
        <v>259</v>
      </c>
      <c r="I72" s="3" t="s">
        <v>39</v>
      </c>
      <c r="J72" s="5">
        <v>46956.545730632402</v>
      </c>
      <c r="K72" s="3">
        <v>377</v>
      </c>
      <c r="L72" s="3" t="s">
        <v>31</v>
      </c>
      <c r="M72" s="4">
        <v>44576</v>
      </c>
      <c r="N72" s="3" t="s">
        <v>40</v>
      </c>
      <c r="O72" s="3" t="s">
        <v>33</v>
      </c>
      <c r="P72" s="3" t="str">
        <f>IF(Table1[[#This Row],[Billing Amount]]&lt;5000,"Low",IF(Table1[[#This Row],[Billing Amount]]&lt;=15000,"Medium","High"))</f>
        <v>High</v>
      </c>
      <c r="Q72" s="3" t="str">
        <f>IF(Table1[[#This Row],[Discharge Date]]="Yes","Discharged","Under Treatment")</f>
        <v>Under Treatment</v>
      </c>
      <c r="R72" s="3" t="str">
        <f>IF(Table1[[#This Row],[Test Results]]&gt;120,"High Risk","Normal")</f>
        <v>High Risk</v>
      </c>
      <c r="S72" s="3" t="str">
        <f>IF(Table1[[#This Row],[Age]]&lt;=18,"0-18",IF(Table1[[#This Row],[Age]]&lt;=35,"19-35",IF(Table1[[#This Row],[Age]]&lt;=50,"36-50",IF(Table1[[#This Row],[Age]]&lt;=65,"51-65","65+"))))</f>
        <v>0-18</v>
      </c>
    </row>
    <row r="73" spans="1:19" x14ac:dyDescent="0.3">
      <c r="A73" s="3" t="s">
        <v>260</v>
      </c>
      <c r="B73" s="3">
        <v>24</v>
      </c>
      <c r="C73" s="3" t="s">
        <v>16</v>
      </c>
      <c r="D73" s="3" t="s">
        <v>59</v>
      </c>
      <c r="E73" s="3" t="s">
        <v>18</v>
      </c>
      <c r="F73" s="4">
        <v>45288</v>
      </c>
      <c r="G73" s="3" t="s">
        <v>261</v>
      </c>
      <c r="H73" s="3" t="s">
        <v>262</v>
      </c>
      <c r="I73" s="3" t="s">
        <v>65</v>
      </c>
      <c r="J73" s="5">
        <v>10709.690388900101</v>
      </c>
      <c r="K73" s="3">
        <v>407</v>
      </c>
      <c r="L73" s="3" t="s">
        <v>31</v>
      </c>
      <c r="M73" s="4">
        <v>45293</v>
      </c>
      <c r="N73" s="3" t="s">
        <v>23</v>
      </c>
      <c r="O73" s="3" t="s">
        <v>47</v>
      </c>
      <c r="P73" s="3" t="str">
        <f>IF(Table1[[#This Row],[Billing Amount]]&lt;5000,"Low",IF(Table1[[#This Row],[Billing Amount]]&lt;=15000,"Medium","High"))</f>
        <v>Medium</v>
      </c>
      <c r="Q73" s="3" t="str">
        <f>IF(Table1[[#This Row],[Discharge Date]]="Yes","Discharged","Under Treatment")</f>
        <v>Under Treatment</v>
      </c>
      <c r="R73" s="3" t="str">
        <f>IF(Table1[[#This Row],[Test Results]]&gt;120,"High Risk","Normal")</f>
        <v>High Risk</v>
      </c>
      <c r="S73" s="3" t="str">
        <f>IF(Table1[[#This Row],[Age]]&lt;=18,"0-18",IF(Table1[[#This Row],[Age]]&lt;=35,"19-35",IF(Table1[[#This Row],[Age]]&lt;=50,"36-50",IF(Table1[[#This Row],[Age]]&lt;=65,"51-65","65+"))))</f>
        <v>19-35</v>
      </c>
    </row>
    <row r="74" spans="1:19" x14ac:dyDescent="0.3">
      <c r="A74" s="3" t="s">
        <v>263</v>
      </c>
      <c r="B74" s="3">
        <v>27</v>
      </c>
      <c r="C74" s="3" t="s">
        <v>16</v>
      </c>
      <c r="D74" s="3" t="s">
        <v>59</v>
      </c>
      <c r="E74" s="3" t="s">
        <v>43</v>
      </c>
      <c r="F74" s="4">
        <v>44455</v>
      </c>
      <c r="G74" s="3" t="s">
        <v>264</v>
      </c>
      <c r="H74" s="3" t="s">
        <v>265</v>
      </c>
      <c r="I74" s="3" t="s">
        <v>39</v>
      </c>
      <c r="J74" s="5">
        <v>45353.990777385399</v>
      </c>
      <c r="K74" s="3">
        <v>263</v>
      </c>
      <c r="L74" s="3" t="s">
        <v>22</v>
      </c>
      <c r="M74" s="4">
        <v>44483</v>
      </c>
      <c r="N74" s="3" t="s">
        <v>52</v>
      </c>
      <c r="O74" s="3" t="s">
        <v>47</v>
      </c>
      <c r="P74" s="3" t="str">
        <f>IF(Table1[[#This Row],[Billing Amount]]&lt;5000,"Low",IF(Table1[[#This Row],[Billing Amount]]&lt;=15000,"Medium","High"))</f>
        <v>High</v>
      </c>
      <c r="Q74" s="3" t="str">
        <f>IF(Table1[[#This Row],[Discharge Date]]="Yes","Discharged","Under Treatment")</f>
        <v>Under Treatment</v>
      </c>
      <c r="R74" s="3" t="str">
        <f>IF(Table1[[#This Row],[Test Results]]&gt;120,"High Risk","Normal")</f>
        <v>High Risk</v>
      </c>
      <c r="S74" s="3" t="str">
        <f>IF(Table1[[#This Row],[Age]]&lt;=18,"0-18",IF(Table1[[#This Row],[Age]]&lt;=35,"19-35",IF(Table1[[#This Row],[Age]]&lt;=50,"36-50",IF(Table1[[#This Row],[Age]]&lt;=65,"51-65","65+"))))</f>
        <v>19-35</v>
      </c>
    </row>
    <row r="75" spans="1:19" x14ac:dyDescent="0.3">
      <c r="A75" s="3" t="s">
        <v>266</v>
      </c>
      <c r="B75" s="3">
        <v>57</v>
      </c>
      <c r="C75" s="3" t="s">
        <v>35</v>
      </c>
      <c r="D75" s="3" t="s">
        <v>59</v>
      </c>
      <c r="E75" s="3" t="s">
        <v>93</v>
      </c>
      <c r="F75" s="4">
        <v>45131</v>
      </c>
      <c r="G75" s="3" t="s">
        <v>267</v>
      </c>
      <c r="H75" s="3" t="s">
        <v>268</v>
      </c>
      <c r="I75" s="3" t="s">
        <v>39</v>
      </c>
      <c r="J75" s="5">
        <v>8451.0017584789493</v>
      </c>
      <c r="K75" s="3">
        <v>135</v>
      </c>
      <c r="L75" s="3" t="s">
        <v>46</v>
      </c>
      <c r="M75" s="4">
        <v>45149</v>
      </c>
      <c r="N75" s="3" t="s">
        <v>23</v>
      </c>
      <c r="O75" s="3" t="s">
        <v>47</v>
      </c>
      <c r="P75" s="3" t="str">
        <f>IF(Table1[[#This Row],[Billing Amount]]&lt;5000,"Low",IF(Table1[[#This Row],[Billing Amount]]&lt;=15000,"Medium","High"))</f>
        <v>Medium</v>
      </c>
      <c r="Q75" s="3" t="str">
        <f>IF(Table1[[#This Row],[Discharge Date]]="Yes","Discharged","Under Treatment")</f>
        <v>Under Treatment</v>
      </c>
      <c r="R75" s="3" t="str">
        <f>IF(Table1[[#This Row],[Test Results]]&gt;120,"High Risk","Normal")</f>
        <v>High Risk</v>
      </c>
      <c r="S75" s="3" t="str">
        <f>IF(Table1[[#This Row],[Age]]&lt;=18,"0-18",IF(Table1[[#This Row],[Age]]&lt;=35,"19-35",IF(Table1[[#This Row],[Age]]&lt;=50,"36-50",IF(Table1[[#This Row],[Age]]&lt;=65,"51-65","65+"))))</f>
        <v>51-65</v>
      </c>
    </row>
    <row r="76" spans="1:19" x14ac:dyDescent="0.3">
      <c r="A76" s="3" t="s">
        <v>269</v>
      </c>
      <c r="B76" s="3">
        <v>74</v>
      </c>
      <c r="C76" s="3" t="s">
        <v>35</v>
      </c>
      <c r="D76" s="3" t="s">
        <v>26</v>
      </c>
      <c r="E76" s="3" t="s">
        <v>93</v>
      </c>
      <c r="F76" s="4">
        <v>44513</v>
      </c>
      <c r="G76" s="3" t="s">
        <v>270</v>
      </c>
      <c r="H76" s="3" t="s">
        <v>271</v>
      </c>
      <c r="I76" s="3" t="s">
        <v>57</v>
      </c>
      <c r="J76" s="5">
        <v>29850.8797281837</v>
      </c>
      <c r="K76" s="3">
        <v>131</v>
      </c>
      <c r="L76" s="3" t="s">
        <v>31</v>
      </c>
      <c r="M76" s="4">
        <v>44537</v>
      </c>
      <c r="N76" s="3" t="s">
        <v>23</v>
      </c>
      <c r="O76" s="3" t="s">
        <v>33</v>
      </c>
      <c r="P76" s="3" t="str">
        <f>IF(Table1[[#This Row],[Billing Amount]]&lt;5000,"Low",IF(Table1[[#This Row],[Billing Amount]]&lt;=15000,"Medium","High"))</f>
        <v>High</v>
      </c>
      <c r="Q76" s="3" t="str">
        <f>IF(Table1[[#This Row],[Discharge Date]]="Yes","Discharged","Under Treatment")</f>
        <v>Under Treatment</v>
      </c>
      <c r="R76" s="3" t="str">
        <f>IF(Table1[[#This Row],[Test Results]]&gt;120,"High Risk","Normal")</f>
        <v>High Risk</v>
      </c>
      <c r="S76" s="3" t="str">
        <f>IF(Table1[[#This Row],[Age]]&lt;=18,"0-18",IF(Table1[[#This Row],[Age]]&lt;=35,"19-35",IF(Table1[[#This Row],[Age]]&lt;=50,"36-50",IF(Table1[[#This Row],[Age]]&lt;=65,"51-65","65+"))))</f>
        <v>65+</v>
      </c>
    </row>
    <row r="77" spans="1:19" x14ac:dyDescent="0.3">
      <c r="A77" s="3" t="s">
        <v>272</v>
      </c>
      <c r="B77" s="3">
        <v>22</v>
      </c>
      <c r="C77" s="3" t="s">
        <v>35</v>
      </c>
      <c r="D77" s="3" t="s">
        <v>36</v>
      </c>
      <c r="E77" s="3" t="s">
        <v>93</v>
      </c>
      <c r="F77" s="4">
        <v>45210</v>
      </c>
      <c r="G77" s="3" t="s">
        <v>273</v>
      </c>
      <c r="H77" s="3" t="s">
        <v>274</v>
      </c>
      <c r="I77" s="3" t="s">
        <v>21</v>
      </c>
      <c r="J77" s="5">
        <v>42696.521163899102</v>
      </c>
      <c r="K77" s="3">
        <v>102</v>
      </c>
      <c r="L77" s="3" t="s">
        <v>22</v>
      </c>
      <c r="M77" s="4">
        <v>45226</v>
      </c>
      <c r="N77" s="3" t="s">
        <v>52</v>
      </c>
      <c r="O77" s="3" t="s">
        <v>24</v>
      </c>
      <c r="P77" s="3" t="str">
        <f>IF(Table1[[#This Row],[Billing Amount]]&lt;5000,"Low",IF(Table1[[#This Row],[Billing Amount]]&lt;=15000,"Medium","High"))</f>
        <v>High</v>
      </c>
      <c r="Q77" s="3" t="str">
        <f>IF(Table1[[#This Row],[Discharge Date]]="Yes","Discharged","Under Treatment")</f>
        <v>Under Treatment</v>
      </c>
      <c r="R77" s="3" t="str">
        <f>IF(Table1[[#This Row],[Test Results]]&gt;120,"High Risk","Normal")</f>
        <v>High Risk</v>
      </c>
      <c r="S77" s="3" t="str">
        <f>IF(Table1[[#This Row],[Age]]&lt;=18,"0-18",IF(Table1[[#This Row],[Age]]&lt;=35,"19-35",IF(Table1[[#This Row],[Age]]&lt;=50,"36-50",IF(Table1[[#This Row],[Age]]&lt;=65,"51-65","65+"))))</f>
        <v>19-35</v>
      </c>
    </row>
    <row r="78" spans="1:19" x14ac:dyDescent="0.3">
      <c r="A78" s="3" t="s">
        <v>275</v>
      </c>
      <c r="B78" s="3">
        <v>33</v>
      </c>
      <c r="C78" s="3" t="s">
        <v>35</v>
      </c>
      <c r="D78" s="3" t="s">
        <v>17</v>
      </c>
      <c r="E78" s="3" t="s">
        <v>43</v>
      </c>
      <c r="F78" s="4">
        <v>44226</v>
      </c>
      <c r="G78" s="3" t="s">
        <v>276</v>
      </c>
      <c r="H78" s="3" t="s">
        <v>277</v>
      </c>
      <c r="I78" s="3" t="s">
        <v>65</v>
      </c>
      <c r="J78" s="5">
        <v>2305.1391395384899</v>
      </c>
      <c r="K78" s="3">
        <v>249</v>
      </c>
      <c r="L78" s="3" t="s">
        <v>31</v>
      </c>
      <c r="M78" s="4">
        <v>44231</v>
      </c>
      <c r="N78" s="3" t="s">
        <v>52</v>
      </c>
      <c r="O78" s="3" t="s">
        <v>33</v>
      </c>
      <c r="P78" s="3" t="str">
        <f>IF(Table1[[#This Row],[Billing Amount]]&lt;5000,"Low",IF(Table1[[#This Row],[Billing Amount]]&lt;=15000,"Medium","High"))</f>
        <v>Low</v>
      </c>
      <c r="Q78" s="3" t="str">
        <f>IF(Table1[[#This Row],[Discharge Date]]="Yes","Discharged","Under Treatment")</f>
        <v>Under Treatment</v>
      </c>
      <c r="R78" s="3" t="str">
        <f>IF(Table1[[#This Row],[Test Results]]&gt;120,"High Risk","Normal")</f>
        <v>High Risk</v>
      </c>
      <c r="S78" s="3" t="str">
        <f>IF(Table1[[#This Row],[Age]]&lt;=18,"0-18",IF(Table1[[#This Row],[Age]]&lt;=35,"19-35",IF(Table1[[#This Row],[Age]]&lt;=50,"36-50",IF(Table1[[#This Row],[Age]]&lt;=65,"51-65","65+"))))</f>
        <v>19-35</v>
      </c>
    </row>
    <row r="79" spans="1:19" x14ac:dyDescent="0.3">
      <c r="A79" s="3" t="s">
        <v>278</v>
      </c>
      <c r="B79" s="3">
        <v>57</v>
      </c>
      <c r="C79" s="3" t="s">
        <v>16</v>
      </c>
      <c r="D79" s="3" t="s">
        <v>103</v>
      </c>
      <c r="E79" s="3" t="s">
        <v>93</v>
      </c>
      <c r="F79" s="4">
        <v>44521</v>
      </c>
      <c r="G79" s="3" t="s">
        <v>279</v>
      </c>
      <c r="H79" s="3" t="s">
        <v>280</v>
      </c>
      <c r="I79" s="3" t="s">
        <v>57</v>
      </c>
      <c r="J79" s="5">
        <v>44437.470673357202</v>
      </c>
      <c r="K79" s="3">
        <v>255</v>
      </c>
      <c r="L79" s="3" t="s">
        <v>31</v>
      </c>
      <c r="M79" s="4">
        <v>44535</v>
      </c>
      <c r="N79" s="3" t="s">
        <v>52</v>
      </c>
      <c r="O79" s="3" t="s">
        <v>33</v>
      </c>
      <c r="P79" s="3" t="str">
        <f>IF(Table1[[#This Row],[Billing Amount]]&lt;5000,"Low",IF(Table1[[#This Row],[Billing Amount]]&lt;=15000,"Medium","High"))</f>
        <v>High</v>
      </c>
      <c r="Q79" s="3" t="str">
        <f>IF(Table1[[#This Row],[Discharge Date]]="Yes","Discharged","Under Treatment")</f>
        <v>Under Treatment</v>
      </c>
      <c r="R79" s="3" t="str">
        <f>IF(Table1[[#This Row],[Test Results]]&gt;120,"High Risk","Normal")</f>
        <v>High Risk</v>
      </c>
      <c r="S79" s="3" t="str">
        <f>IF(Table1[[#This Row],[Age]]&lt;=18,"0-18",IF(Table1[[#This Row],[Age]]&lt;=35,"19-35",IF(Table1[[#This Row],[Age]]&lt;=50,"36-50",IF(Table1[[#This Row],[Age]]&lt;=65,"51-65","65+"))))</f>
        <v>51-65</v>
      </c>
    </row>
    <row r="80" spans="1:19" x14ac:dyDescent="0.3">
      <c r="A80" s="3" t="s">
        <v>281</v>
      </c>
      <c r="B80" s="3">
        <v>61</v>
      </c>
      <c r="C80" s="3" t="s">
        <v>16</v>
      </c>
      <c r="D80" s="3" t="s">
        <v>103</v>
      </c>
      <c r="E80" s="3" t="s">
        <v>18</v>
      </c>
      <c r="F80" s="4">
        <v>45353</v>
      </c>
      <c r="G80" s="3" t="s">
        <v>282</v>
      </c>
      <c r="H80" s="3" t="s">
        <v>283</v>
      </c>
      <c r="I80" s="3" t="s">
        <v>57</v>
      </c>
      <c r="J80" s="5">
        <v>29504.387442211399</v>
      </c>
      <c r="K80" s="3">
        <v>422</v>
      </c>
      <c r="L80" s="3" t="s">
        <v>22</v>
      </c>
      <c r="M80" s="4">
        <v>45377</v>
      </c>
      <c r="N80" s="3" t="s">
        <v>32</v>
      </c>
      <c r="O80" s="3" t="s">
        <v>33</v>
      </c>
      <c r="P80" s="3" t="str">
        <f>IF(Table1[[#This Row],[Billing Amount]]&lt;5000,"Low",IF(Table1[[#This Row],[Billing Amount]]&lt;=15000,"Medium","High"))</f>
        <v>High</v>
      </c>
      <c r="Q80" s="3" t="str">
        <f>IF(Table1[[#This Row],[Discharge Date]]="Yes","Discharged","Under Treatment")</f>
        <v>Under Treatment</v>
      </c>
      <c r="R80" s="3" t="str">
        <f>IF(Table1[[#This Row],[Test Results]]&gt;120,"High Risk","Normal")</f>
        <v>High Risk</v>
      </c>
      <c r="S80" s="3" t="str">
        <f>IF(Table1[[#This Row],[Age]]&lt;=18,"0-18",IF(Table1[[#This Row],[Age]]&lt;=35,"19-35",IF(Table1[[#This Row],[Age]]&lt;=50,"36-50",IF(Table1[[#This Row],[Age]]&lt;=65,"51-65","65+"))))</f>
        <v>51-65</v>
      </c>
    </row>
    <row r="81" spans="1:19" x14ac:dyDescent="0.3">
      <c r="A81" s="3" t="s">
        <v>284</v>
      </c>
      <c r="B81" s="3">
        <v>20</v>
      </c>
      <c r="C81" s="3" t="s">
        <v>16</v>
      </c>
      <c r="D81" s="3" t="s">
        <v>42</v>
      </c>
      <c r="E81" s="3" t="s">
        <v>93</v>
      </c>
      <c r="F81" s="4">
        <v>44169</v>
      </c>
      <c r="G81" s="3" t="s">
        <v>285</v>
      </c>
      <c r="H81" s="3" t="s">
        <v>286</v>
      </c>
      <c r="I81" s="3" t="s">
        <v>21</v>
      </c>
      <c r="J81" s="5">
        <v>34617.788344937202</v>
      </c>
      <c r="K81" s="3">
        <v>320</v>
      </c>
      <c r="L81" s="3" t="s">
        <v>31</v>
      </c>
      <c r="M81" s="4">
        <v>44173</v>
      </c>
      <c r="N81" s="3" t="s">
        <v>32</v>
      </c>
      <c r="O81" s="3" t="s">
        <v>47</v>
      </c>
      <c r="P81" s="3" t="str">
        <f>IF(Table1[[#This Row],[Billing Amount]]&lt;5000,"Low",IF(Table1[[#This Row],[Billing Amount]]&lt;=15000,"Medium","High"))</f>
        <v>High</v>
      </c>
      <c r="Q81" s="3" t="str">
        <f>IF(Table1[[#This Row],[Discharge Date]]="Yes","Discharged","Under Treatment")</f>
        <v>Under Treatment</v>
      </c>
      <c r="R81" s="3" t="str">
        <f>IF(Table1[[#This Row],[Test Results]]&gt;120,"High Risk","Normal")</f>
        <v>High Risk</v>
      </c>
      <c r="S81" s="3" t="str">
        <f>IF(Table1[[#This Row],[Age]]&lt;=18,"0-18",IF(Table1[[#This Row],[Age]]&lt;=35,"19-35",IF(Table1[[#This Row],[Age]]&lt;=50,"36-50",IF(Table1[[#This Row],[Age]]&lt;=65,"51-65","65+"))))</f>
        <v>19-35</v>
      </c>
    </row>
    <row r="82" spans="1:19" x14ac:dyDescent="0.3">
      <c r="A82" s="3" t="s">
        <v>287</v>
      </c>
      <c r="B82" s="3">
        <v>67</v>
      </c>
      <c r="C82" s="3" t="s">
        <v>16</v>
      </c>
      <c r="D82" s="3" t="s">
        <v>49</v>
      </c>
      <c r="E82" s="3" t="s">
        <v>76</v>
      </c>
      <c r="F82" s="4">
        <v>44069</v>
      </c>
      <c r="G82" s="3" t="s">
        <v>288</v>
      </c>
      <c r="H82" s="3" t="s">
        <v>289</v>
      </c>
      <c r="I82" s="3" t="s">
        <v>39</v>
      </c>
      <c r="J82" s="5">
        <v>46814.011195111598</v>
      </c>
      <c r="K82" s="3">
        <v>134</v>
      </c>
      <c r="L82" s="3" t="s">
        <v>22</v>
      </c>
      <c r="M82" s="4">
        <v>44070</v>
      </c>
      <c r="N82" s="3" t="s">
        <v>52</v>
      </c>
      <c r="O82" s="3" t="s">
        <v>47</v>
      </c>
      <c r="P82" s="3" t="str">
        <f>IF(Table1[[#This Row],[Billing Amount]]&lt;5000,"Low",IF(Table1[[#This Row],[Billing Amount]]&lt;=15000,"Medium","High"))</f>
        <v>High</v>
      </c>
      <c r="Q82" s="3" t="str">
        <f>IF(Table1[[#This Row],[Discharge Date]]="Yes","Discharged","Under Treatment")</f>
        <v>Under Treatment</v>
      </c>
      <c r="R82" s="3" t="str">
        <f>IF(Table1[[#This Row],[Test Results]]&gt;120,"High Risk","Normal")</f>
        <v>High Risk</v>
      </c>
      <c r="S82" s="3" t="str">
        <f>IF(Table1[[#This Row],[Age]]&lt;=18,"0-18",IF(Table1[[#This Row],[Age]]&lt;=35,"19-35",IF(Table1[[#This Row],[Age]]&lt;=50,"36-50",IF(Table1[[#This Row],[Age]]&lt;=65,"51-65","65+"))))</f>
        <v>65+</v>
      </c>
    </row>
    <row r="83" spans="1:19" x14ac:dyDescent="0.3">
      <c r="A83" s="3" t="s">
        <v>290</v>
      </c>
      <c r="B83" s="3">
        <v>80</v>
      </c>
      <c r="C83" s="3" t="s">
        <v>35</v>
      </c>
      <c r="D83" s="3" t="s">
        <v>59</v>
      </c>
      <c r="E83" s="3" t="s">
        <v>43</v>
      </c>
      <c r="F83" s="4">
        <v>45242</v>
      </c>
      <c r="G83" s="3" t="s">
        <v>291</v>
      </c>
      <c r="H83" s="3" t="s">
        <v>292</v>
      </c>
      <c r="I83" s="3" t="s">
        <v>21</v>
      </c>
      <c r="J83" s="5">
        <v>20257.544282932398</v>
      </c>
      <c r="K83" s="3">
        <v>255</v>
      </c>
      <c r="L83" s="3" t="s">
        <v>46</v>
      </c>
      <c r="M83" s="4">
        <v>45272</v>
      </c>
      <c r="N83" s="3" t="s">
        <v>52</v>
      </c>
      <c r="O83" s="3" t="s">
        <v>47</v>
      </c>
      <c r="P83" s="3" t="str">
        <f>IF(Table1[[#This Row],[Billing Amount]]&lt;5000,"Low",IF(Table1[[#This Row],[Billing Amount]]&lt;=15000,"Medium","High"))</f>
        <v>High</v>
      </c>
      <c r="Q83" s="3" t="str">
        <f>IF(Table1[[#This Row],[Discharge Date]]="Yes","Discharged","Under Treatment")</f>
        <v>Under Treatment</v>
      </c>
      <c r="R83" s="3" t="str">
        <f>IF(Table1[[#This Row],[Test Results]]&gt;120,"High Risk","Normal")</f>
        <v>High Risk</v>
      </c>
      <c r="S83" s="3" t="str">
        <f>IF(Table1[[#This Row],[Age]]&lt;=18,"0-18",IF(Table1[[#This Row],[Age]]&lt;=35,"19-35",IF(Table1[[#This Row],[Age]]&lt;=50,"36-50",IF(Table1[[#This Row],[Age]]&lt;=65,"51-65","65+"))))</f>
        <v>65+</v>
      </c>
    </row>
    <row r="84" spans="1:19" x14ac:dyDescent="0.3">
      <c r="A84" s="3" t="s">
        <v>293</v>
      </c>
      <c r="B84" s="3">
        <v>44</v>
      </c>
      <c r="C84" s="3" t="s">
        <v>16</v>
      </c>
      <c r="D84" s="3" t="s">
        <v>42</v>
      </c>
      <c r="E84" s="3" t="s">
        <v>27</v>
      </c>
      <c r="F84" s="4">
        <v>43981</v>
      </c>
      <c r="G84" s="3" t="s">
        <v>294</v>
      </c>
      <c r="H84" s="3" t="s">
        <v>295</v>
      </c>
      <c r="I84" s="3" t="s">
        <v>65</v>
      </c>
      <c r="J84" s="5">
        <v>22841.363876905602</v>
      </c>
      <c r="K84" s="3">
        <v>410</v>
      </c>
      <c r="L84" s="3" t="s">
        <v>31</v>
      </c>
      <c r="M84" s="4">
        <v>43996</v>
      </c>
      <c r="N84" s="3" t="s">
        <v>40</v>
      </c>
      <c r="O84" s="3" t="s">
        <v>33</v>
      </c>
      <c r="P84" s="3" t="str">
        <f>IF(Table1[[#This Row],[Billing Amount]]&lt;5000,"Low",IF(Table1[[#This Row],[Billing Amount]]&lt;=15000,"Medium","High"))</f>
        <v>High</v>
      </c>
      <c r="Q84" s="3" t="str">
        <f>IF(Table1[[#This Row],[Discharge Date]]="Yes","Discharged","Under Treatment")</f>
        <v>Under Treatment</v>
      </c>
      <c r="R84" s="3" t="str">
        <f>IF(Table1[[#This Row],[Test Results]]&gt;120,"High Risk","Normal")</f>
        <v>High Risk</v>
      </c>
      <c r="S84" s="3" t="str">
        <f>IF(Table1[[#This Row],[Age]]&lt;=18,"0-18",IF(Table1[[#This Row],[Age]]&lt;=35,"19-35",IF(Table1[[#This Row],[Age]]&lt;=50,"36-50",IF(Table1[[#This Row],[Age]]&lt;=65,"51-65","65+"))))</f>
        <v>36-50</v>
      </c>
    </row>
    <row r="85" spans="1:19" x14ac:dyDescent="0.3">
      <c r="A85" s="3" t="s">
        <v>296</v>
      </c>
      <c r="B85" s="3">
        <v>26</v>
      </c>
      <c r="C85" s="3" t="s">
        <v>35</v>
      </c>
      <c r="D85" s="3" t="s">
        <v>17</v>
      </c>
      <c r="E85" s="3" t="s">
        <v>54</v>
      </c>
      <c r="F85" s="4">
        <v>45058</v>
      </c>
      <c r="G85" s="3" t="s">
        <v>297</v>
      </c>
      <c r="H85" s="3" t="s">
        <v>298</v>
      </c>
      <c r="I85" s="3" t="s">
        <v>30</v>
      </c>
      <c r="J85" s="5">
        <v>10283.716858129101</v>
      </c>
      <c r="K85" s="3">
        <v>273</v>
      </c>
      <c r="L85" s="3" t="s">
        <v>31</v>
      </c>
      <c r="M85" s="4">
        <v>45087</v>
      </c>
      <c r="N85" s="3" t="s">
        <v>32</v>
      </c>
      <c r="O85" s="3" t="s">
        <v>47</v>
      </c>
      <c r="P85" s="3" t="str">
        <f>IF(Table1[[#This Row],[Billing Amount]]&lt;5000,"Low",IF(Table1[[#This Row],[Billing Amount]]&lt;=15000,"Medium","High"))</f>
        <v>Medium</v>
      </c>
      <c r="Q85" s="3" t="str">
        <f>IF(Table1[[#This Row],[Discharge Date]]="Yes","Discharged","Under Treatment")</f>
        <v>Under Treatment</v>
      </c>
      <c r="R85" s="3" t="str">
        <f>IF(Table1[[#This Row],[Test Results]]&gt;120,"High Risk","Normal")</f>
        <v>High Risk</v>
      </c>
      <c r="S85" s="3" t="str">
        <f>IF(Table1[[#This Row],[Age]]&lt;=18,"0-18",IF(Table1[[#This Row],[Age]]&lt;=35,"19-35",IF(Table1[[#This Row],[Age]]&lt;=50,"36-50",IF(Table1[[#This Row],[Age]]&lt;=65,"51-65","65+"))))</f>
        <v>19-35</v>
      </c>
    </row>
    <row r="86" spans="1:19" x14ac:dyDescent="0.3">
      <c r="A86" s="3" t="s">
        <v>299</v>
      </c>
      <c r="B86" s="3">
        <v>80</v>
      </c>
      <c r="C86" s="3" t="s">
        <v>16</v>
      </c>
      <c r="D86" s="3" t="s">
        <v>49</v>
      </c>
      <c r="E86" s="3" t="s">
        <v>18</v>
      </c>
      <c r="F86" s="4">
        <v>44749</v>
      </c>
      <c r="G86" s="3" t="s">
        <v>300</v>
      </c>
      <c r="H86" s="3" t="s">
        <v>301</v>
      </c>
      <c r="I86" s="3" t="s">
        <v>57</v>
      </c>
      <c r="J86" s="5">
        <v>1586.4766014382801</v>
      </c>
      <c r="K86" s="3">
        <v>395</v>
      </c>
      <c r="L86" s="3" t="s">
        <v>31</v>
      </c>
      <c r="M86" s="4">
        <v>44765</v>
      </c>
      <c r="N86" s="3" t="s">
        <v>32</v>
      </c>
      <c r="O86" s="3" t="s">
        <v>24</v>
      </c>
      <c r="P86" s="3" t="str">
        <f>IF(Table1[[#This Row],[Billing Amount]]&lt;5000,"Low",IF(Table1[[#This Row],[Billing Amount]]&lt;=15000,"Medium","High"))</f>
        <v>Low</v>
      </c>
      <c r="Q86" s="3" t="str">
        <f>IF(Table1[[#This Row],[Discharge Date]]="Yes","Discharged","Under Treatment")</f>
        <v>Under Treatment</v>
      </c>
      <c r="R86" s="3" t="str">
        <f>IF(Table1[[#This Row],[Test Results]]&gt;120,"High Risk","Normal")</f>
        <v>High Risk</v>
      </c>
      <c r="S86" s="3" t="str">
        <f>IF(Table1[[#This Row],[Age]]&lt;=18,"0-18",IF(Table1[[#This Row],[Age]]&lt;=35,"19-35",IF(Table1[[#This Row],[Age]]&lt;=50,"36-50",IF(Table1[[#This Row],[Age]]&lt;=65,"51-65","65+"))))</f>
        <v>65+</v>
      </c>
    </row>
    <row r="87" spans="1:19" x14ac:dyDescent="0.3">
      <c r="A87" s="3" t="s">
        <v>302</v>
      </c>
      <c r="B87" s="3">
        <v>63</v>
      </c>
      <c r="C87" s="3" t="s">
        <v>16</v>
      </c>
      <c r="D87" s="3" t="s">
        <v>17</v>
      </c>
      <c r="E87" s="3" t="s">
        <v>54</v>
      </c>
      <c r="F87" s="4">
        <v>44098</v>
      </c>
      <c r="G87" s="3" t="s">
        <v>303</v>
      </c>
      <c r="H87" s="3" t="s">
        <v>304</v>
      </c>
      <c r="I87" s="3" t="s">
        <v>39</v>
      </c>
      <c r="J87" s="5">
        <v>34774.351127057504</v>
      </c>
      <c r="K87" s="3">
        <v>152</v>
      </c>
      <c r="L87" s="3" t="s">
        <v>31</v>
      </c>
      <c r="M87" s="4">
        <v>44112</v>
      </c>
      <c r="N87" s="3" t="s">
        <v>52</v>
      </c>
      <c r="O87" s="3" t="s">
        <v>33</v>
      </c>
      <c r="P87" s="3" t="str">
        <f>IF(Table1[[#This Row],[Billing Amount]]&lt;5000,"Low",IF(Table1[[#This Row],[Billing Amount]]&lt;=15000,"Medium","High"))</f>
        <v>High</v>
      </c>
      <c r="Q87" s="3" t="str">
        <f>IF(Table1[[#This Row],[Discharge Date]]="Yes","Discharged","Under Treatment")</f>
        <v>Under Treatment</v>
      </c>
      <c r="R87" s="3" t="str">
        <f>IF(Table1[[#This Row],[Test Results]]&gt;120,"High Risk","Normal")</f>
        <v>High Risk</v>
      </c>
      <c r="S87" s="3" t="str">
        <f>IF(Table1[[#This Row],[Age]]&lt;=18,"0-18",IF(Table1[[#This Row],[Age]]&lt;=35,"19-35",IF(Table1[[#This Row],[Age]]&lt;=50,"36-50",IF(Table1[[#This Row],[Age]]&lt;=65,"51-65","65+"))))</f>
        <v>51-65</v>
      </c>
    </row>
    <row r="88" spans="1:19" x14ac:dyDescent="0.3">
      <c r="A88" s="3" t="s">
        <v>305</v>
      </c>
      <c r="B88" s="3">
        <v>58</v>
      </c>
      <c r="C88" s="3" t="s">
        <v>35</v>
      </c>
      <c r="D88" s="3" t="s">
        <v>17</v>
      </c>
      <c r="E88" s="3" t="s">
        <v>93</v>
      </c>
      <c r="F88" s="4">
        <v>45157</v>
      </c>
      <c r="G88" s="3" t="s">
        <v>306</v>
      </c>
      <c r="H88" s="3" t="s">
        <v>307</v>
      </c>
      <c r="I88" s="3" t="s">
        <v>57</v>
      </c>
      <c r="J88" s="5">
        <v>24870.1036589338</v>
      </c>
      <c r="K88" s="3">
        <v>321</v>
      </c>
      <c r="L88" s="3" t="s">
        <v>31</v>
      </c>
      <c r="M88" s="4">
        <v>45163</v>
      </c>
      <c r="N88" s="3" t="s">
        <v>32</v>
      </c>
      <c r="O88" s="3" t="s">
        <v>33</v>
      </c>
      <c r="P88" s="3" t="str">
        <f>IF(Table1[[#This Row],[Billing Amount]]&lt;5000,"Low",IF(Table1[[#This Row],[Billing Amount]]&lt;=15000,"Medium","High"))</f>
        <v>High</v>
      </c>
      <c r="Q88" s="3" t="str">
        <f>IF(Table1[[#This Row],[Discharge Date]]="Yes","Discharged","Under Treatment")</f>
        <v>Under Treatment</v>
      </c>
      <c r="R88" s="3" t="str">
        <f>IF(Table1[[#This Row],[Test Results]]&gt;120,"High Risk","Normal")</f>
        <v>High Risk</v>
      </c>
      <c r="S88" s="3" t="str">
        <f>IF(Table1[[#This Row],[Age]]&lt;=18,"0-18",IF(Table1[[#This Row],[Age]]&lt;=35,"19-35",IF(Table1[[#This Row],[Age]]&lt;=50,"36-50",IF(Table1[[#This Row],[Age]]&lt;=65,"51-65","65+"))))</f>
        <v>51-65</v>
      </c>
    </row>
    <row r="89" spans="1:19" x14ac:dyDescent="0.3">
      <c r="A89" s="3" t="s">
        <v>308</v>
      </c>
      <c r="B89" s="3">
        <v>38</v>
      </c>
      <c r="C89" s="3" t="s">
        <v>35</v>
      </c>
      <c r="D89" s="3" t="s">
        <v>26</v>
      </c>
      <c r="E89" s="3" t="s">
        <v>18</v>
      </c>
      <c r="F89" s="4">
        <v>45062</v>
      </c>
      <c r="G89" s="3" t="s">
        <v>309</v>
      </c>
      <c r="H89" s="3" t="s">
        <v>310</v>
      </c>
      <c r="I89" s="3" t="s">
        <v>65</v>
      </c>
      <c r="J89" s="5">
        <v>39476.947514379899</v>
      </c>
      <c r="K89" s="3">
        <v>428</v>
      </c>
      <c r="L89" s="3" t="s">
        <v>46</v>
      </c>
      <c r="M89" s="4">
        <v>45078</v>
      </c>
      <c r="N89" s="3" t="s">
        <v>40</v>
      </c>
      <c r="O89" s="3" t="s">
        <v>47</v>
      </c>
      <c r="P89" s="3" t="str">
        <f>IF(Table1[[#This Row],[Billing Amount]]&lt;5000,"Low",IF(Table1[[#This Row],[Billing Amount]]&lt;=15000,"Medium","High"))</f>
        <v>High</v>
      </c>
      <c r="Q89" s="3" t="str">
        <f>IF(Table1[[#This Row],[Discharge Date]]="Yes","Discharged","Under Treatment")</f>
        <v>Under Treatment</v>
      </c>
      <c r="R89" s="3" t="str">
        <f>IF(Table1[[#This Row],[Test Results]]&gt;120,"High Risk","Normal")</f>
        <v>High Risk</v>
      </c>
      <c r="S89" s="3" t="str">
        <f>IF(Table1[[#This Row],[Age]]&lt;=18,"0-18",IF(Table1[[#This Row],[Age]]&lt;=35,"19-35",IF(Table1[[#This Row],[Age]]&lt;=50,"36-50",IF(Table1[[#This Row],[Age]]&lt;=65,"51-65","65+"))))</f>
        <v>36-50</v>
      </c>
    </row>
    <row r="90" spans="1:19" x14ac:dyDescent="0.3">
      <c r="A90" s="3" t="s">
        <v>311</v>
      </c>
      <c r="B90" s="3">
        <v>60</v>
      </c>
      <c r="C90" s="3" t="s">
        <v>16</v>
      </c>
      <c r="D90" s="3" t="s">
        <v>103</v>
      </c>
      <c r="E90" s="3" t="s">
        <v>76</v>
      </c>
      <c r="F90" s="4">
        <v>44795</v>
      </c>
      <c r="G90" s="3" t="s">
        <v>312</v>
      </c>
      <c r="H90" s="3" t="s">
        <v>313</v>
      </c>
      <c r="I90" s="3" t="s">
        <v>21</v>
      </c>
      <c r="J90" s="5">
        <v>26062.434320290999</v>
      </c>
      <c r="K90" s="3">
        <v>482</v>
      </c>
      <c r="L90" s="3" t="s">
        <v>46</v>
      </c>
      <c r="M90" s="4">
        <v>44811</v>
      </c>
      <c r="N90" s="3" t="s">
        <v>23</v>
      </c>
      <c r="O90" s="3" t="s">
        <v>33</v>
      </c>
      <c r="P90" s="3" t="str">
        <f>IF(Table1[[#This Row],[Billing Amount]]&lt;5000,"Low",IF(Table1[[#This Row],[Billing Amount]]&lt;=15000,"Medium","High"))</f>
        <v>High</v>
      </c>
      <c r="Q90" s="3" t="str">
        <f>IF(Table1[[#This Row],[Discharge Date]]="Yes","Discharged","Under Treatment")</f>
        <v>Under Treatment</v>
      </c>
      <c r="R90" s="3" t="str">
        <f>IF(Table1[[#This Row],[Test Results]]&gt;120,"High Risk","Normal")</f>
        <v>High Risk</v>
      </c>
      <c r="S90" s="3" t="str">
        <f>IF(Table1[[#This Row],[Age]]&lt;=18,"0-18",IF(Table1[[#This Row],[Age]]&lt;=35,"19-35",IF(Table1[[#This Row],[Age]]&lt;=50,"36-50",IF(Table1[[#This Row],[Age]]&lt;=65,"51-65","65+"))))</f>
        <v>51-65</v>
      </c>
    </row>
    <row r="91" spans="1:19" x14ac:dyDescent="0.3">
      <c r="A91" s="3" t="s">
        <v>314</v>
      </c>
      <c r="B91" s="3">
        <v>49</v>
      </c>
      <c r="C91" s="3" t="s">
        <v>16</v>
      </c>
      <c r="D91" s="3" t="s">
        <v>103</v>
      </c>
      <c r="E91" s="3" t="s">
        <v>18</v>
      </c>
      <c r="F91" s="4">
        <v>44729</v>
      </c>
      <c r="G91" s="3" t="s">
        <v>315</v>
      </c>
      <c r="H91" s="3" t="s">
        <v>316</v>
      </c>
      <c r="I91" s="3" t="s">
        <v>30</v>
      </c>
      <c r="J91" s="5">
        <v>25302.112634011199</v>
      </c>
      <c r="K91" s="3">
        <v>268</v>
      </c>
      <c r="L91" s="3" t="s">
        <v>46</v>
      </c>
      <c r="M91" s="4">
        <v>44740</v>
      </c>
      <c r="N91" s="3" t="s">
        <v>52</v>
      </c>
      <c r="O91" s="3" t="s">
        <v>47</v>
      </c>
      <c r="P91" s="3" t="str">
        <f>IF(Table1[[#This Row],[Billing Amount]]&lt;5000,"Low",IF(Table1[[#This Row],[Billing Amount]]&lt;=15000,"Medium","High"))</f>
        <v>High</v>
      </c>
      <c r="Q91" s="3" t="str">
        <f>IF(Table1[[#This Row],[Discharge Date]]="Yes","Discharged","Under Treatment")</f>
        <v>Under Treatment</v>
      </c>
      <c r="R91" s="3" t="str">
        <f>IF(Table1[[#This Row],[Test Results]]&gt;120,"High Risk","Normal")</f>
        <v>High Risk</v>
      </c>
      <c r="S91" s="3" t="str">
        <f>IF(Table1[[#This Row],[Age]]&lt;=18,"0-18",IF(Table1[[#This Row],[Age]]&lt;=35,"19-35",IF(Table1[[#This Row],[Age]]&lt;=50,"36-50",IF(Table1[[#This Row],[Age]]&lt;=65,"51-65","65+"))))</f>
        <v>36-50</v>
      </c>
    </row>
    <row r="92" spans="1:19" x14ac:dyDescent="0.3">
      <c r="A92" s="3" t="s">
        <v>317</v>
      </c>
      <c r="B92" s="3">
        <v>80</v>
      </c>
      <c r="C92" s="3" t="s">
        <v>16</v>
      </c>
      <c r="D92" s="3" t="s">
        <v>26</v>
      </c>
      <c r="E92" s="3" t="s">
        <v>43</v>
      </c>
      <c r="F92" s="4">
        <v>44870</v>
      </c>
      <c r="G92" s="3" t="s">
        <v>318</v>
      </c>
      <c r="H92" s="3" t="s">
        <v>319</v>
      </c>
      <c r="I92" s="3" t="s">
        <v>57</v>
      </c>
      <c r="J92" s="5">
        <v>10661.510649132701</v>
      </c>
      <c r="K92" s="3">
        <v>120</v>
      </c>
      <c r="L92" s="3" t="s">
        <v>31</v>
      </c>
      <c r="M92" s="4">
        <v>44890</v>
      </c>
      <c r="N92" s="3" t="s">
        <v>79</v>
      </c>
      <c r="O92" s="3" t="s">
        <v>47</v>
      </c>
      <c r="P92" s="3" t="str">
        <f>IF(Table1[[#This Row],[Billing Amount]]&lt;5000,"Low",IF(Table1[[#This Row],[Billing Amount]]&lt;=15000,"Medium","High"))</f>
        <v>Medium</v>
      </c>
      <c r="Q92" s="3" t="str">
        <f>IF(Table1[[#This Row],[Discharge Date]]="Yes","Discharged","Under Treatment")</f>
        <v>Under Treatment</v>
      </c>
      <c r="R92" s="3" t="str">
        <f>IF(Table1[[#This Row],[Test Results]]&gt;120,"High Risk","Normal")</f>
        <v>High Risk</v>
      </c>
      <c r="S92" s="3" t="str">
        <f>IF(Table1[[#This Row],[Age]]&lt;=18,"0-18",IF(Table1[[#This Row],[Age]]&lt;=35,"19-35",IF(Table1[[#This Row],[Age]]&lt;=50,"36-50",IF(Table1[[#This Row],[Age]]&lt;=65,"51-65","65+"))))</f>
        <v>65+</v>
      </c>
    </row>
    <row r="93" spans="1:19" x14ac:dyDescent="0.3">
      <c r="A93" s="3" t="s">
        <v>320</v>
      </c>
      <c r="B93" s="3">
        <v>35</v>
      </c>
      <c r="C93" s="3" t="s">
        <v>35</v>
      </c>
      <c r="D93" s="3" t="s">
        <v>103</v>
      </c>
      <c r="E93" s="3" t="s">
        <v>43</v>
      </c>
      <c r="F93" s="4">
        <v>44449</v>
      </c>
      <c r="G93" s="3" t="s">
        <v>321</v>
      </c>
      <c r="H93" s="3" t="s">
        <v>322</v>
      </c>
      <c r="I93" s="3" t="s">
        <v>21</v>
      </c>
      <c r="J93" s="5">
        <v>30358.194579544699</v>
      </c>
      <c r="K93" s="3">
        <v>318</v>
      </c>
      <c r="L93" s="3" t="s">
        <v>46</v>
      </c>
      <c r="M93" s="4">
        <v>44457</v>
      </c>
      <c r="N93" s="3" t="s">
        <v>32</v>
      </c>
      <c r="O93" s="3" t="s">
        <v>33</v>
      </c>
      <c r="P93" s="3" t="str">
        <f>IF(Table1[[#This Row],[Billing Amount]]&lt;5000,"Low",IF(Table1[[#This Row],[Billing Amount]]&lt;=15000,"Medium","High"))</f>
        <v>High</v>
      </c>
      <c r="Q93" s="3" t="str">
        <f>IF(Table1[[#This Row],[Discharge Date]]="Yes","Discharged","Under Treatment")</f>
        <v>Under Treatment</v>
      </c>
      <c r="R93" s="3" t="str">
        <f>IF(Table1[[#This Row],[Test Results]]&gt;120,"High Risk","Normal")</f>
        <v>High Risk</v>
      </c>
      <c r="S93" s="3" t="str">
        <f>IF(Table1[[#This Row],[Age]]&lt;=18,"0-18",IF(Table1[[#This Row],[Age]]&lt;=35,"19-35",IF(Table1[[#This Row],[Age]]&lt;=50,"36-50",IF(Table1[[#This Row],[Age]]&lt;=65,"51-65","65+"))))</f>
        <v>19-35</v>
      </c>
    </row>
    <row r="94" spans="1:19" x14ac:dyDescent="0.3">
      <c r="A94" s="3" t="s">
        <v>323</v>
      </c>
      <c r="B94" s="3">
        <v>84</v>
      </c>
      <c r="C94" s="3" t="s">
        <v>16</v>
      </c>
      <c r="D94" s="3" t="s">
        <v>26</v>
      </c>
      <c r="E94" s="3" t="s">
        <v>54</v>
      </c>
      <c r="F94" s="4">
        <v>44810</v>
      </c>
      <c r="G94" s="3" t="s">
        <v>324</v>
      </c>
      <c r="H94" s="3" t="s">
        <v>325</v>
      </c>
      <c r="I94" s="3" t="s">
        <v>65</v>
      </c>
      <c r="J94" s="5">
        <v>23684.525472744801</v>
      </c>
      <c r="K94" s="3">
        <v>162</v>
      </c>
      <c r="L94" s="3" t="s">
        <v>22</v>
      </c>
      <c r="M94" s="4">
        <v>44831</v>
      </c>
      <c r="N94" s="3" t="s">
        <v>32</v>
      </c>
      <c r="O94" s="3" t="s">
        <v>33</v>
      </c>
      <c r="P94" s="3" t="str">
        <f>IF(Table1[[#This Row],[Billing Amount]]&lt;5000,"Low",IF(Table1[[#This Row],[Billing Amount]]&lt;=15000,"Medium","High"))</f>
        <v>High</v>
      </c>
      <c r="Q94" s="3" t="str">
        <f>IF(Table1[[#This Row],[Discharge Date]]="Yes","Discharged","Under Treatment")</f>
        <v>Under Treatment</v>
      </c>
      <c r="R94" s="3" t="str">
        <f>IF(Table1[[#This Row],[Test Results]]&gt;120,"High Risk","Normal")</f>
        <v>High Risk</v>
      </c>
      <c r="S94" s="3" t="str">
        <f>IF(Table1[[#This Row],[Age]]&lt;=18,"0-18",IF(Table1[[#This Row],[Age]]&lt;=35,"19-35",IF(Table1[[#This Row],[Age]]&lt;=50,"36-50",IF(Table1[[#This Row],[Age]]&lt;=65,"51-65","65+"))))</f>
        <v>65+</v>
      </c>
    </row>
    <row r="95" spans="1:19" x14ac:dyDescent="0.3">
      <c r="A95" s="3" t="s">
        <v>326</v>
      </c>
      <c r="B95" s="3">
        <v>76</v>
      </c>
      <c r="C95" s="3" t="s">
        <v>16</v>
      </c>
      <c r="D95" s="3" t="s">
        <v>26</v>
      </c>
      <c r="E95" s="3" t="s">
        <v>43</v>
      </c>
      <c r="F95" s="4">
        <v>44303</v>
      </c>
      <c r="G95" s="3" t="s">
        <v>327</v>
      </c>
      <c r="H95" s="3" t="s">
        <v>328</v>
      </c>
      <c r="I95" s="3" t="s">
        <v>39</v>
      </c>
      <c r="J95" s="5">
        <v>3908.9465679463101</v>
      </c>
      <c r="K95" s="3">
        <v>428</v>
      </c>
      <c r="L95" s="3" t="s">
        <v>46</v>
      </c>
      <c r="M95" s="4">
        <v>44326</v>
      </c>
      <c r="N95" s="3" t="s">
        <v>79</v>
      </c>
      <c r="O95" s="3" t="s">
        <v>33</v>
      </c>
      <c r="P95" s="3" t="str">
        <f>IF(Table1[[#This Row],[Billing Amount]]&lt;5000,"Low",IF(Table1[[#This Row],[Billing Amount]]&lt;=15000,"Medium","High"))</f>
        <v>Low</v>
      </c>
      <c r="Q95" s="3" t="str">
        <f>IF(Table1[[#This Row],[Discharge Date]]="Yes","Discharged","Under Treatment")</f>
        <v>Under Treatment</v>
      </c>
      <c r="R95" s="3" t="str">
        <f>IF(Table1[[#This Row],[Test Results]]&gt;120,"High Risk","Normal")</f>
        <v>High Risk</v>
      </c>
      <c r="S95" s="3" t="str">
        <f>IF(Table1[[#This Row],[Age]]&lt;=18,"0-18",IF(Table1[[#This Row],[Age]]&lt;=35,"19-35",IF(Table1[[#This Row],[Age]]&lt;=50,"36-50",IF(Table1[[#This Row],[Age]]&lt;=65,"51-65","65+"))))</f>
        <v>65+</v>
      </c>
    </row>
    <row r="96" spans="1:19" x14ac:dyDescent="0.3">
      <c r="A96" s="3" t="s">
        <v>329</v>
      </c>
      <c r="B96" s="3">
        <v>79</v>
      </c>
      <c r="C96" s="3" t="s">
        <v>35</v>
      </c>
      <c r="D96" s="3" t="s">
        <v>36</v>
      </c>
      <c r="E96" s="3" t="s">
        <v>76</v>
      </c>
      <c r="F96" s="4">
        <v>43696</v>
      </c>
      <c r="G96" s="3" t="s">
        <v>330</v>
      </c>
      <c r="H96" s="3" t="s">
        <v>331</v>
      </c>
      <c r="I96" s="3" t="s">
        <v>30</v>
      </c>
      <c r="J96" s="5">
        <v>25503.673806851999</v>
      </c>
      <c r="K96" s="3">
        <v>144</v>
      </c>
      <c r="L96" s="3" t="s">
        <v>46</v>
      </c>
      <c r="M96" s="4">
        <v>43703</v>
      </c>
      <c r="N96" s="3" t="s">
        <v>79</v>
      </c>
      <c r="O96" s="3" t="s">
        <v>47</v>
      </c>
      <c r="P96" s="3" t="str">
        <f>IF(Table1[[#This Row],[Billing Amount]]&lt;5000,"Low",IF(Table1[[#This Row],[Billing Amount]]&lt;=15000,"Medium","High"))</f>
        <v>High</v>
      </c>
      <c r="Q96" s="3" t="str">
        <f>IF(Table1[[#This Row],[Discharge Date]]="Yes","Discharged","Under Treatment")</f>
        <v>Under Treatment</v>
      </c>
      <c r="R96" s="3" t="str">
        <f>IF(Table1[[#This Row],[Test Results]]&gt;120,"High Risk","Normal")</f>
        <v>High Risk</v>
      </c>
      <c r="S96" s="3" t="str">
        <f>IF(Table1[[#This Row],[Age]]&lt;=18,"0-18",IF(Table1[[#This Row],[Age]]&lt;=35,"19-35",IF(Table1[[#This Row],[Age]]&lt;=50,"36-50",IF(Table1[[#This Row],[Age]]&lt;=65,"51-65","65+"))))</f>
        <v>65+</v>
      </c>
    </row>
    <row r="97" spans="1:19" x14ac:dyDescent="0.3">
      <c r="A97" s="3" t="s">
        <v>332</v>
      </c>
      <c r="B97" s="3">
        <v>76</v>
      </c>
      <c r="C97" s="3" t="s">
        <v>35</v>
      </c>
      <c r="D97" s="3" t="s">
        <v>42</v>
      </c>
      <c r="E97" s="3" t="s">
        <v>43</v>
      </c>
      <c r="F97" s="4">
        <v>45375</v>
      </c>
      <c r="G97" s="3" t="s">
        <v>333</v>
      </c>
      <c r="H97" s="3" t="s">
        <v>334</v>
      </c>
      <c r="I97" s="3" t="s">
        <v>39</v>
      </c>
      <c r="J97" s="5">
        <v>6312.6076910185202</v>
      </c>
      <c r="K97" s="3">
        <v>226</v>
      </c>
      <c r="L97" s="3" t="s">
        <v>46</v>
      </c>
      <c r="M97" s="4">
        <v>45396</v>
      </c>
      <c r="N97" s="3" t="s">
        <v>40</v>
      </c>
      <c r="O97" s="3" t="s">
        <v>47</v>
      </c>
      <c r="P97" s="3" t="str">
        <f>IF(Table1[[#This Row],[Billing Amount]]&lt;5000,"Low",IF(Table1[[#This Row],[Billing Amount]]&lt;=15000,"Medium","High"))</f>
        <v>Medium</v>
      </c>
      <c r="Q97" s="3" t="str">
        <f>IF(Table1[[#This Row],[Discharge Date]]="Yes","Discharged","Under Treatment")</f>
        <v>Under Treatment</v>
      </c>
      <c r="R97" s="3" t="str">
        <f>IF(Table1[[#This Row],[Test Results]]&gt;120,"High Risk","Normal")</f>
        <v>High Risk</v>
      </c>
      <c r="S97" s="3" t="str">
        <f>IF(Table1[[#This Row],[Age]]&lt;=18,"0-18",IF(Table1[[#This Row],[Age]]&lt;=35,"19-35",IF(Table1[[#This Row],[Age]]&lt;=50,"36-50",IF(Table1[[#This Row],[Age]]&lt;=65,"51-65","65+"))))</f>
        <v>65+</v>
      </c>
    </row>
    <row r="98" spans="1:19" x14ac:dyDescent="0.3">
      <c r="A98" s="3" t="s">
        <v>335</v>
      </c>
      <c r="B98" s="3">
        <v>55</v>
      </c>
      <c r="C98" s="3" t="s">
        <v>35</v>
      </c>
      <c r="D98" s="3" t="s">
        <v>26</v>
      </c>
      <c r="E98" s="3" t="s">
        <v>43</v>
      </c>
      <c r="F98" s="4">
        <v>44905</v>
      </c>
      <c r="G98" s="3" t="s">
        <v>336</v>
      </c>
      <c r="H98" s="3" t="s">
        <v>337</v>
      </c>
      <c r="I98" s="3" t="s">
        <v>57</v>
      </c>
      <c r="J98" s="5">
        <v>21772.341398649602</v>
      </c>
      <c r="K98" s="3">
        <v>459</v>
      </c>
      <c r="L98" s="3" t="s">
        <v>46</v>
      </c>
      <c r="M98" s="4">
        <v>44926</v>
      </c>
      <c r="N98" s="3" t="s">
        <v>32</v>
      </c>
      <c r="O98" s="3" t="s">
        <v>24</v>
      </c>
      <c r="P98" s="3" t="str">
        <f>IF(Table1[[#This Row],[Billing Amount]]&lt;5000,"Low",IF(Table1[[#This Row],[Billing Amount]]&lt;=15000,"Medium","High"))</f>
        <v>High</v>
      </c>
      <c r="Q98" s="3" t="str">
        <f>IF(Table1[[#This Row],[Discharge Date]]="Yes","Discharged","Under Treatment")</f>
        <v>Under Treatment</v>
      </c>
      <c r="R98" s="3" t="str">
        <f>IF(Table1[[#This Row],[Test Results]]&gt;120,"High Risk","Normal")</f>
        <v>High Risk</v>
      </c>
      <c r="S98" s="3" t="str">
        <f>IF(Table1[[#This Row],[Age]]&lt;=18,"0-18",IF(Table1[[#This Row],[Age]]&lt;=35,"19-35",IF(Table1[[#This Row],[Age]]&lt;=50,"36-50",IF(Table1[[#This Row],[Age]]&lt;=65,"51-65","65+"))))</f>
        <v>51-65</v>
      </c>
    </row>
    <row r="99" spans="1:19" x14ac:dyDescent="0.3">
      <c r="A99" s="3" t="s">
        <v>338</v>
      </c>
      <c r="B99" s="3">
        <v>53</v>
      </c>
      <c r="C99" s="3" t="s">
        <v>16</v>
      </c>
      <c r="D99" s="3" t="s">
        <v>17</v>
      </c>
      <c r="E99" s="3" t="s">
        <v>18</v>
      </c>
      <c r="F99" s="4">
        <v>44818</v>
      </c>
      <c r="G99" s="3" t="s">
        <v>339</v>
      </c>
      <c r="H99" s="3" t="s">
        <v>340</v>
      </c>
      <c r="I99" s="3" t="s">
        <v>21</v>
      </c>
      <c r="J99" s="5">
        <v>30437.001787640998</v>
      </c>
      <c r="K99" s="3">
        <v>208</v>
      </c>
      <c r="L99" s="3" t="s">
        <v>46</v>
      </c>
      <c r="M99" s="4">
        <v>44822</v>
      </c>
      <c r="N99" s="3" t="s">
        <v>40</v>
      </c>
      <c r="O99" s="3" t="s">
        <v>24</v>
      </c>
      <c r="P99" s="3" t="str">
        <f>IF(Table1[[#This Row],[Billing Amount]]&lt;5000,"Low",IF(Table1[[#This Row],[Billing Amount]]&lt;=15000,"Medium","High"))</f>
        <v>High</v>
      </c>
      <c r="Q99" s="3" t="str">
        <f>IF(Table1[[#This Row],[Discharge Date]]="Yes","Discharged","Under Treatment")</f>
        <v>Under Treatment</v>
      </c>
      <c r="R99" s="3" t="str">
        <f>IF(Table1[[#This Row],[Test Results]]&gt;120,"High Risk","Normal")</f>
        <v>High Risk</v>
      </c>
      <c r="S99" s="3" t="str">
        <f>IF(Table1[[#This Row],[Age]]&lt;=18,"0-18",IF(Table1[[#This Row],[Age]]&lt;=35,"19-35",IF(Table1[[#This Row],[Age]]&lt;=50,"36-50",IF(Table1[[#This Row],[Age]]&lt;=65,"51-65","65+"))))</f>
        <v>51-65</v>
      </c>
    </row>
    <row r="100" spans="1:19" x14ac:dyDescent="0.3">
      <c r="A100" s="3" t="s">
        <v>341</v>
      </c>
      <c r="B100" s="3">
        <v>18</v>
      </c>
      <c r="C100" s="3" t="s">
        <v>16</v>
      </c>
      <c r="D100" s="3" t="s">
        <v>103</v>
      </c>
      <c r="E100" s="3" t="s">
        <v>54</v>
      </c>
      <c r="F100" s="4">
        <v>44852</v>
      </c>
      <c r="G100" s="3" t="s">
        <v>342</v>
      </c>
      <c r="H100" s="3" t="s">
        <v>343</v>
      </c>
      <c r="I100" s="3" t="s">
        <v>57</v>
      </c>
      <c r="J100" s="5">
        <v>28837.677052507199</v>
      </c>
      <c r="K100" s="3">
        <v>227</v>
      </c>
      <c r="L100" s="3" t="s">
        <v>46</v>
      </c>
      <c r="M100" s="4">
        <v>44876</v>
      </c>
      <c r="N100" s="3" t="s">
        <v>40</v>
      </c>
      <c r="O100" s="3" t="s">
        <v>47</v>
      </c>
      <c r="P100" s="3" t="str">
        <f>IF(Table1[[#This Row],[Billing Amount]]&lt;5000,"Low",IF(Table1[[#This Row],[Billing Amount]]&lt;=15000,"Medium","High"))</f>
        <v>High</v>
      </c>
      <c r="Q100" s="3" t="str">
        <f>IF(Table1[[#This Row],[Discharge Date]]="Yes","Discharged","Under Treatment")</f>
        <v>Under Treatment</v>
      </c>
      <c r="R100" s="3" t="str">
        <f>IF(Table1[[#This Row],[Test Results]]&gt;120,"High Risk","Normal")</f>
        <v>High Risk</v>
      </c>
      <c r="S100" s="3" t="str">
        <f>IF(Table1[[#This Row],[Age]]&lt;=18,"0-18",IF(Table1[[#This Row],[Age]]&lt;=35,"19-35",IF(Table1[[#This Row],[Age]]&lt;=50,"36-50",IF(Table1[[#This Row],[Age]]&lt;=65,"51-65","65+"))))</f>
        <v>0-18</v>
      </c>
    </row>
    <row r="101" spans="1:19" x14ac:dyDescent="0.3">
      <c r="A101" s="3" t="s">
        <v>344</v>
      </c>
      <c r="B101" s="3">
        <v>70</v>
      </c>
      <c r="C101" s="3" t="s">
        <v>16</v>
      </c>
      <c r="D101" s="3" t="s">
        <v>103</v>
      </c>
      <c r="E101" s="3" t="s">
        <v>43</v>
      </c>
      <c r="F101" s="4">
        <v>44750</v>
      </c>
      <c r="G101" s="3" t="s">
        <v>345</v>
      </c>
      <c r="H101" s="3" t="s">
        <v>346</v>
      </c>
      <c r="I101" s="3" t="s">
        <v>39</v>
      </c>
      <c r="J101" s="5">
        <v>7187.2723460995003</v>
      </c>
      <c r="K101" s="3">
        <v>402</v>
      </c>
      <c r="L101" s="3" t="s">
        <v>31</v>
      </c>
      <c r="M101" s="4">
        <v>44767</v>
      </c>
      <c r="N101" s="3" t="s">
        <v>40</v>
      </c>
      <c r="O101" s="3" t="s">
        <v>24</v>
      </c>
      <c r="P101" s="3" t="str">
        <f>IF(Table1[[#This Row],[Billing Amount]]&lt;5000,"Low",IF(Table1[[#This Row],[Billing Amount]]&lt;=15000,"Medium","High"))</f>
        <v>Medium</v>
      </c>
      <c r="Q101" s="3" t="str">
        <f>IF(Table1[[#This Row],[Discharge Date]]="Yes","Discharged","Under Treatment")</f>
        <v>Under Treatment</v>
      </c>
      <c r="R101" s="3" t="str">
        <f>IF(Table1[[#This Row],[Test Results]]&gt;120,"High Risk","Normal")</f>
        <v>High Risk</v>
      </c>
      <c r="S101" s="3" t="str">
        <f>IF(Table1[[#This Row],[Age]]&lt;=18,"0-18",IF(Table1[[#This Row],[Age]]&lt;=35,"19-35",IF(Table1[[#This Row],[Age]]&lt;=50,"36-50",IF(Table1[[#This Row],[Age]]&lt;=65,"51-65","65+"))))</f>
        <v>65+</v>
      </c>
    </row>
    <row r="102" spans="1:19" x14ac:dyDescent="0.3">
      <c r="A102" s="3" t="s">
        <v>347</v>
      </c>
      <c r="B102" s="3">
        <v>21</v>
      </c>
      <c r="C102" s="3" t="s">
        <v>16</v>
      </c>
      <c r="D102" s="3" t="s">
        <v>26</v>
      </c>
      <c r="E102" s="3" t="s">
        <v>43</v>
      </c>
      <c r="F102" s="4">
        <v>45102</v>
      </c>
      <c r="G102" s="3" t="s">
        <v>348</v>
      </c>
      <c r="H102" s="3" t="s">
        <v>349</v>
      </c>
      <c r="I102" s="3" t="s">
        <v>57</v>
      </c>
      <c r="J102" s="5">
        <v>3125.7364766012502</v>
      </c>
      <c r="K102" s="3">
        <v>442</v>
      </c>
      <c r="L102" s="3" t="s">
        <v>22</v>
      </c>
      <c r="M102" s="4">
        <v>45118</v>
      </c>
      <c r="N102" s="3" t="s">
        <v>32</v>
      </c>
      <c r="O102" s="3" t="s">
        <v>24</v>
      </c>
      <c r="P102" s="3" t="str">
        <f>IF(Table1[[#This Row],[Billing Amount]]&lt;5000,"Low",IF(Table1[[#This Row],[Billing Amount]]&lt;=15000,"Medium","High"))</f>
        <v>Low</v>
      </c>
      <c r="Q102" s="3" t="str">
        <f>IF(Table1[[#This Row],[Discharge Date]]="Yes","Discharged","Under Treatment")</f>
        <v>Under Treatment</v>
      </c>
      <c r="R102" s="3" t="str">
        <f>IF(Table1[[#This Row],[Test Results]]&gt;120,"High Risk","Normal")</f>
        <v>High Risk</v>
      </c>
      <c r="S102" s="3" t="str">
        <f>IF(Table1[[#This Row],[Age]]&lt;=18,"0-18",IF(Table1[[#This Row],[Age]]&lt;=35,"19-35",IF(Table1[[#This Row],[Age]]&lt;=50,"36-50",IF(Table1[[#This Row],[Age]]&lt;=65,"51-65","65+"))))</f>
        <v>19-35</v>
      </c>
    </row>
    <row r="103" spans="1:19" x14ac:dyDescent="0.3">
      <c r="A103" s="3" t="s">
        <v>350</v>
      </c>
      <c r="B103" s="3">
        <v>47</v>
      </c>
      <c r="C103" s="3" t="s">
        <v>16</v>
      </c>
      <c r="D103" s="3" t="s">
        <v>36</v>
      </c>
      <c r="E103" s="3" t="s">
        <v>43</v>
      </c>
      <c r="F103" s="4">
        <v>43655</v>
      </c>
      <c r="G103" s="3" t="s">
        <v>351</v>
      </c>
      <c r="H103" s="3" t="s">
        <v>352</v>
      </c>
      <c r="I103" s="3" t="s">
        <v>30</v>
      </c>
      <c r="J103" s="5">
        <v>31516.1007343743</v>
      </c>
      <c r="K103" s="3">
        <v>418</v>
      </c>
      <c r="L103" s="3" t="s">
        <v>46</v>
      </c>
      <c r="M103" s="4">
        <v>43682</v>
      </c>
      <c r="N103" s="3" t="s">
        <v>52</v>
      </c>
      <c r="O103" s="3" t="s">
        <v>33</v>
      </c>
      <c r="P103" s="3" t="str">
        <f>IF(Table1[[#This Row],[Billing Amount]]&lt;5000,"Low",IF(Table1[[#This Row],[Billing Amount]]&lt;=15000,"Medium","High"))</f>
        <v>High</v>
      </c>
      <c r="Q103" s="3" t="str">
        <f>IF(Table1[[#This Row],[Discharge Date]]="Yes","Discharged","Under Treatment")</f>
        <v>Under Treatment</v>
      </c>
      <c r="R103" s="3" t="str">
        <f>IF(Table1[[#This Row],[Test Results]]&gt;120,"High Risk","Normal")</f>
        <v>High Risk</v>
      </c>
      <c r="S103" s="3" t="str">
        <f>IF(Table1[[#This Row],[Age]]&lt;=18,"0-18",IF(Table1[[#This Row],[Age]]&lt;=35,"19-35",IF(Table1[[#This Row],[Age]]&lt;=50,"36-50",IF(Table1[[#This Row],[Age]]&lt;=65,"51-65","65+"))))</f>
        <v>36-50</v>
      </c>
    </row>
    <row r="104" spans="1:19" x14ac:dyDescent="0.3">
      <c r="A104" s="3" t="s">
        <v>353</v>
      </c>
      <c r="B104" s="3">
        <v>85</v>
      </c>
      <c r="C104" s="3" t="s">
        <v>16</v>
      </c>
      <c r="D104" s="3" t="s">
        <v>36</v>
      </c>
      <c r="E104" s="3" t="s">
        <v>93</v>
      </c>
      <c r="F104" s="4">
        <v>44330</v>
      </c>
      <c r="G104" s="3" t="s">
        <v>354</v>
      </c>
      <c r="H104" s="3" t="s">
        <v>355</v>
      </c>
      <c r="I104" s="3" t="s">
        <v>57</v>
      </c>
      <c r="J104" s="5">
        <v>40014.762348457902</v>
      </c>
      <c r="K104" s="3">
        <v>425</v>
      </c>
      <c r="L104" s="3" t="s">
        <v>31</v>
      </c>
      <c r="M104" s="4">
        <v>44350</v>
      </c>
      <c r="N104" s="3" t="s">
        <v>40</v>
      </c>
      <c r="O104" s="3" t="s">
        <v>47</v>
      </c>
      <c r="P104" s="3" t="str">
        <f>IF(Table1[[#This Row],[Billing Amount]]&lt;5000,"Low",IF(Table1[[#This Row],[Billing Amount]]&lt;=15000,"Medium","High"))</f>
        <v>High</v>
      </c>
      <c r="Q104" s="3" t="str">
        <f>IF(Table1[[#This Row],[Discharge Date]]="Yes","Discharged","Under Treatment")</f>
        <v>Under Treatment</v>
      </c>
      <c r="R104" s="3" t="str">
        <f>IF(Table1[[#This Row],[Test Results]]&gt;120,"High Risk","Normal")</f>
        <v>High Risk</v>
      </c>
      <c r="S104" s="3" t="str">
        <f>IF(Table1[[#This Row],[Age]]&lt;=18,"0-18",IF(Table1[[#This Row],[Age]]&lt;=35,"19-35",IF(Table1[[#This Row],[Age]]&lt;=50,"36-50",IF(Table1[[#This Row],[Age]]&lt;=65,"51-65","65+"))))</f>
        <v>65+</v>
      </c>
    </row>
    <row r="105" spans="1:19" x14ac:dyDescent="0.3">
      <c r="A105" s="3" t="s">
        <v>356</v>
      </c>
      <c r="B105" s="3">
        <v>28</v>
      </c>
      <c r="C105" s="3" t="s">
        <v>16</v>
      </c>
      <c r="D105" s="3" t="s">
        <v>42</v>
      </c>
      <c r="E105" s="3" t="s">
        <v>18</v>
      </c>
      <c r="F105" s="4">
        <v>45306</v>
      </c>
      <c r="G105" s="3" t="s">
        <v>357</v>
      </c>
      <c r="H105" s="3" t="s">
        <v>358</v>
      </c>
      <c r="I105" s="3" t="s">
        <v>30</v>
      </c>
      <c r="J105" s="5">
        <v>40782.9278084865</v>
      </c>
      <c r="K105" s="3">
        <v>373</v>
      </c>
      <c r="L105" s="3" t="s">
        <v>46</v>
      </c>
      <c r="M105" s="4">
        <v>45329</v>
      </c>
      <c r="N105" s="3" t="s">
        <v>32</v>
      </c>
      <c r="O105" s="3" t="s">
        <v>47</v>
      </c>
      <c r="P105" s="3" t="str">
        <f>IF(Table1[[#This Row],[Billing Amount]]&lt;5000,"Low",IF(Table1[[#This Row],[Billing Amount]]&lt;=15000,"Medium","High"))</f>
        <v>High</v>
      </c>
      <c r="Q105" s="3" t="str">
        <f>IF(Table1[[#This Row],[Discharge Date]]="Yes","Discharged","Under Treatment")</f>
        <v>Under Treatment</v>
      </c>
      <c r="R105" s="3" t="str">
        <f>IF(Table1[[#This Row],[Test Results]]&gt;120,"High Risk","Normal")</f>
        <v>High Risk</v>
      </c>
      <c r="S105" s="3" t="str">
        <f>IF(Table1[[#This Row],[Age]]&lt;=18,"0-18",IF(Table1[[#This Row],[Age]]&lt;=35,"19-35",IF(Table1[[#This Row],[Age]]&lt;=50,"36-50",IF(Table1[[#This Row],[Age]]&lt;=65,"51-65","65+"))))</f>
        <v>19-35</v>
      </c>
    </row>
    <row r="106" spans="1:19" x14ac:dyDescent="0.3">
      <c r="A106" s="3" t="s">
        <v>359</v>
      </c>
      <c r="B106" s="3">
        <v>62</v>
      </c>
      <c r="C106" s="3" t="s">
        <v>16</v>
      </c>
      <c r="D106" s="3" t="s">
        <v>36</v>
      </c>
      <c r="E106" s="3" t="s">
        <v>27</v>
      </c>
      <c r="F106" s="4">
        <v>43738</v>
      </c>
      <c r="G106" s="3" t="s">
        <v>360</v>
      </c>
      <c r="H106" s="3" t="s">
        <v>361</v>
      </c>
      <c r="I106" s="3" t="s">
        <v>65</v>
      </c>
      <c r="J106" s="5">
        <v>3879.0846018133898</v>
      </c>
      <c r="K106" s="3">
        <v>290</v>
      </c>
      <c r="L106" s="3" t="s">
        <v>46</v>
      </c>
      <c r="M106" s="4">
        <v>43753</v>
      </c>
      <c r="N106" s="3" t="s">
        <v>40</v>
      </c>
      <c r="O106" s="3" t="s">
        <v>33</v>
      </c>
      <c r="P106" s="3" t="str">
        <f>IF(Table1[[#This Row],[Billing Amount]]&lt;5000,"Low",IF(Table1[[#This Row],[Billing Amount]]&lt;=15000,"Medium","High"))</f>
        <v>Low</v>
      </c>
      <c r="Q106" s="3" t="str">
        <f>IF(Table1[[#This Row],[Discharge Date]]="Yes","Discharged","Under Treatment")</f>
        <v>Under Treatment</v>
      </c>
      <c r="R106" s="3" t="str">
        <f>IF(Table1[[#This Row],[Test Results]]&gt;120,"High Risk","Normal")</f>
        <v>High Risk</v>
      </c>
      <c r="S106" s="3" t="str">
        <f>IF(Table1[[#This Row],[Age]]&lt;=18,"0-18",IF(Table1[[#This Row],[Age]]&lt;=35,"19-35",IF(Table1[[#This Row],[Age]]&lt;=50,"36-50",IF(Table1[[#This Row],[Age]]&lt;=65,"51-65","65+"))))</f>
        <v>51-65</v>
      </c>
    </row>
    <row r="107" spans="1:19" x14ac:dyDescent="0.3">
      <c r="A107" s="3" t="s">
        <v>362</v>
      </c>
      <c r="B107" s="3">
        <v>49</v>
      </c>
      <c r="C107" s="3" t="s">
        <v>35</v>
      </c>
      <c r="D107" s="3" t="s">
        <v>17</v>
      </c>
      <c r="E107" s="3" t="s">
        <v>93</v>
      </c>
      <c r="F107" s="4">
        <v>44260</v>
      </c>
      <c r="G107" s="3" t="s">
        <v>363</v>
      </c>
      <c r="H107" s="3" t="s">
        <v>364</v>
      </c>
      <c r="I107" s="3" t="s">
        <v>30</v>
      </c>
      <c r="J107" s="5">
        <v>24948.477824026901</v>
      </c>
      <c r="K107" s="3">
        <v>361</v>
      </c>
      <c r="L107" s="3" t="s">
        <v>31</v>
      </c>
      <c r="M107" s="4">
        <v>44275</v>
      </c>
      <c r="N107" s="3" t="s">
        <v>52</v>
      </c>
      <c r="O107" s="3" t="s">
        <v>47</v>
      </c>
      <c r="P107" s="3" t="str">
        <f>IF(Table1[[#This Row],[Billing Amount]]&lt;5000,"Low",IF(Table1[[#This Row],[Billing Amount]]&lt;=15000,"Medium","High"))</f>
        <v>High</v>
      </c>
      <c r="Q107" s="3" t="str">
        <f>IF(Table1[[#This Row],[Discharge Date]]="Yes","Discharged","Under Treatment")</f>
        <v>Under Treatment</v>
      </c>
      <c r="R107" s="3" t="str">
        <f>IF(Table1[[#This Row],[Test Results]]&gt;120,"High Risk","Normal")</f>
        <v>High Risk</v>
      </c>
      <c r="S107" s="3" t="str">
        <f>IF(Table1[[#This Row],[Age]]&lt;=18,"0-18",IF(Table1[[#This Row],[Age]]&lt;=35,"19-35",IF(Table1[[#This Row],[Age]]&lt;=50,"36-50",IF(Table1[[#This Row],[Age]]&lt;=65,"51-65","65+"))))</f>
        <v>36-50</v>
      </c>
    </row>
    <row r="108" spans="1:19" x14ac:dyDescent="0.3">
      <c r="A108" s="3" t="s">
        <v>365</v>
      </c>
      <c r="B108" s="3">
        <v>53</v>
      </c>
      <c r="C108" s="3" t="s">
        <v>16</v>
      </c>
      <c r="D108" s="3" t="s">
        <v>103</v>
      </c>
      <c r="E108" s="3" t="s">
        <v>18</v>
      </c>
      <c r="F108" s="4">
        <v>45085</v>
      </c>
      <c r="G108" s="3" t="s">
        <v>366</v>
      </c>
      <c r="H108" s="3" t="s">
        <v>367</v>
      </c>
      <c r="I108" s="3" t="s">
        <v>57</v>
      </c>
      <c r="J108" s="5">
        <v>27360.4618905512</v>
      </c>
      <c r="K108" s="3">
        <v>231</v>
      </c>
      <c r="L108" s="3" t="s">
        <v>46</v>
      </c>
      <c r="M108" s="4">
        <v>45112</v>
      </c>
      <c r="N108" s="3" t="s">
        <v>32</v>
      </c>
      <c r="O108" s="3" t="s">
        <v>47</v>
      </c>
      <c r="P108" s="3" t="str">
        <f>IF(Table1[[#This Row],[Billing Amount]]&lt;5000,"Low",IF(Table1[[#This Row],[Billing Amount]]&lt;=15000,"Medium","High"))</f>
        <v>High</v>
      </c>
      <c r="Q108" s="3" t="str">
        <f>IF(Table1[[#This Row],[Discharge Date]]="Yes","Discharged","Under Treatment")</f>
        <v>Under Treatment</v>
      </c>
      <c r="R108" s="3" t="str">
        <f>IF(Table1[[#This Row],[Test Results]]&gt;120,"High Risk","Normal")</f>
        <v>High Risk</v>
      </c>
      <c r="S108" s="3" t="str">
        <f>IF(Table1[[#This Row],[Age]]&lt;=18,"0-18",IF(Table1[[#This Row],[Age]]&lt;=35,"19-35",IF(Table1[[#This Row],[Age]]&lt;=50,"36-50",IF(Table1[[#This Row],[Age]]&lt;=65,"51-65","65+"))))</f>
        <v>51-65</v>
      </c>
    </row>
    <row r="109" spans="1:19" x14ac:dyDescent="0.3">
      <c r="A109" s="3" t="s">
        <v>368</v>
      </c>
      <c r="B109" s="3">
        <v>55</v>
      </c>
      <c r="C109" s="3" t="s">
        <v>16</v>
      </c>
      <c r="D109" s="3" t="s">
        <v>59</v>
      </c>
      <c r="E109" s="3" t="s">
        <v>54</v>
      </c>
      <c r="F109" s="4">
        <v>44694</v>
      </c>
      <c r="G109" s="3" t="s">
        <v>369</v>
      </c>
      <c r="H109" s="3" t="s">
        <v>370</v>
      </c>
      <c r="I109" s="3" t="s">
        <v>39</v>
      </c>
      <c r="J109" s="5">
        <v>37405.696528631197</v>
      </c>
      <c r="K109" s="3">
        <v>212</v>
      </c>
      <c r="L109" s="3" t="s">
        <v>46</v>
      </c>
      <c r="M109" s="4">
        <v>44701</v>
      </c>
      <c r="N109" s="3" t="s">
        <v>23</v>
      </c>
      <c r="O109" s="3" t="s">
        <v>24</v>
      </c>
      <c r="P109" s="3" t="str">
        <f>IF(Table1[[#This Row],[Billing Amount]]&lt;5000,"Low",IF(Table1[[#This Row],[Billing Amount]]&lt;=15000,"Medium","High"))</f>
        <v>High</v>
      </c>
      <c r="Q109" s="3" t="str">
        <f>IF(Table1[[#This Row],[Discharge Date]]="Yes","Discharged","Under Treatment")</f>
        <v>Under Treatment</v>
      </c>
      <c r="R109" s="3" t="str">
        <f>IF(Table1[[#This Row],[Test Results]]&gt;120,"High Risk","Normal")</f>
        <v>High Risk</v>
      </c>
      <c r="S109" s="3" t="str">
        <f>IF(Table1[[#This Row],[Age]]&lt;=18,"0-18",IF(Table1[[#This Row],[Age]]&lt;=35,"19-35",IF(Table1[[#This Row],[Age]]&lt;=50,"36-50",IF(Table1[[#This Row],[Age]]&lt;=65,"51-65","65+"))))</f>
        <v>51-65</v>
      </c>
    </row>
    <row r="110" spans="1:19" x14ac:dyDescent="0.3">
      <c r="A110" s="3" t="s">
        <v>371</v>
      </c>
      <c r="B110" s="3">
        <v>52</v>
      </c>
      <c r="C110" s="3" t="s">
        <v>16</v>
      </c>
      <c r="D110" s="3" t="s">
        <v>59</v>
      </c>
      <c r="E110" s="3" t="s">
        <v>76</v>
      </c>
      <c r="F110" s="4">
        <v>45163</v>
      </c>
      <c r="G110" s="3" t="s">
        <v>372</v>
      </c>
      <c r="H110" s="3" t="s">
        <v>373</v>
      </c>
      <c r="I110" s="3" t="s">
        <v>30</v>
      </c>
      <c r="J110" s="5">
        <v>23737.399323627</v>
      </c>
      <c r="K110" s="3">
        <v>414</v>
      </c>
      <c r="L110" s="3" t="s">
        <v>22</v>
      </c>
      <c r="M110" s="4">
        <v>45187</v>
      </c>
      <c r="N110" s="3" t="s">
        <v>79</v>
      </c>
      <c r="O110" s="3" t="s">
        <v>24</v>
      </c>
      <c r="P110" s="3" t="str">
        <f>IF(Table1[[#This Row],[Billing Amount]]&lt;5000,"Low",IF(Table1[[#This Row],[Billing Amount]]&lt;=15000,"Medium","High"))</f>
        <v>High</v>
      </c>
      <c r="Q110" s="3" t="str">
        <f>IF(Table1[[#This Row],[Discharge Date]]="Yes","Discharged","Under Treatment")</f>
        <v>Under Treatment</v>
      </c>
      <c r="R110" s="3" t="str">
        <f>IF(Table1[[#This Row],[Test Results]]&gt;120,"High Risk","Normal")</f>
        <v>High Risk</v>
      </c>
      <c r="S110" s="3" t="str">
        <f>IF(Table1[[#This Row],[Age]]&lt;=18,"0-18",IF(Table1[[#This Row],[Age]]&lt;=35,"19-35",IF(Table1[[#This Row],[Age]]&lt;=50,"36-50",IF(Table1[[#This Row],[Age]]&lt;=65,"51-65","65+"))))</f>
        <v>51-65</v>
      </c>
    </row>
    <row r="111" spans="1:19" x14ac:dyDescent="0.3">
      <c r="A111" s="3" t="s">
        <v>374</v>
      </c>
      <c r="B111" s="3">
        <v>67</v>
      </c>
      <c r="C111" s="3" t="s">
        <v>16</v>
      </c>
      <c r="D111" s="3" t="s">
        <v>59</v>
      </c>
      <c r="E111" s="3" t="s">
        <v>27</v>
      </c>
      <c r="F111" s="4">
        <v>43618</v>
      </c>
      <c r="G111" s="3" t="s">
        <v>375</v>
      </c>
      <c r="H111" s="3" t="s">
        <v>376</v>
      </c>
      <c r="I111" s="3" t="s">
        <v>39</v>
      </c>
      <c r="J111" s="5">
        <v>3326.3826746815098</v>
      </c>
      <c r="K111" s="3">
        <v>424</v>
      </c>
      <c r="L111" s="3" t="s">
        <v>31</v>
      </c>
      <c r="M111" s="4">
        <v>43620</v>
      </c>
      <c r="N111" s="3" t="s">
        <v>79</v>
      </c>
      <c r="O111" s="3" t="s">
        <v>33</v>
      </c>
      <c r="P111" s="3" t="str">
        <f>IF(Table1[[#This Row],[Billing Amount]]&lt;5000,"Low",IF(Table1[[#This Row],[Billing Amount]]&lt;=15000,"Medium","High"))</f>
        <v>Low</v>
      </c>
      <c r="Q111" s="3" t="str">
        <f>IF(Table1[[#This Row],[Discharge Date]]="Yes","Discharged","Under Treatment")</f>
        <v>Under Treatment</v>
      </c>
      <c r="R111" s="3" t="str">
        <f>IF(Table1[[#This Row],[Test Results]]&gt;120,"High Risk","Normal")</f>
        <v>High Risk</v>
      </c>
      <c r="S111" s="3" t="str">
        <f>IF(Table1[[#This Row],[Age]]&lt;=18,"0-18",IF(Table1[[#This Row],[Age]]&lt;=35,"19-35",IF(Table1[[#This Row],[Age]]&lt;=50,"36-50",IF(Table1[[#This Row],[Age]]&lt;=65,"51-65","65+"))))</f>
        <v>65+</v>
      </c>
    </row>
    <row r="112" spans="1:19" x14ac:dyDescent="0.3">
      <c r="A112" s="3" t="s">
        <v>377</v>
      </c>
      <c r="B112" s="3">
        <v>82</v>
      </c>
      <c r="C112" s="3" t="s">
        <v>35</v>
      </c>
      <c r="D112" s="3" t="s">
        <v>26</v>
      </c>
      <c r="E112" s="3" t="s">
        <v>76</v>
      </c>
      <c r="F112" s="4">
        <v>44519</v>
      </c>
      <c r="G112" s="3" t="s">
        <v>378</v>
      </c>
      <c r="H112" s="3" t="s">
        <v>379</v>
      </c>
      <c r="I112" s="3" t="s">
        <v>30</v>
      </c>
      <c r="J112" s="5">
        <v>23067.6721652454</v>
      </c>
      <c r="K112" s="3">
        <v>307</v>
      </c>
      <c r="L112" s="3" t="s">
        <v>46</v>
      </c>
      <c r="M112" s="4">
        <v>44542</v>
      </c>
      <c r="N112" s="3" t="s">
        <v>32</v>
      </c>
      <c r="O112" s="3" t="s">
        <v>24</v>
      </c>
      <c r="P112" s="3" t="str">
        <f>IF(Table1[[#This Row],[Billing Amount]]&lt;5000,"Low",IF(Table1[[#This Row],[Billing Amount]]&lt;=15000,"Medium","High"))</f>
        <v>High</v>
      </c>
      <c r="Q112" s="3" t="str">
        <f>IF(Table1[[#This Row],[Discharge Date]]="Yes","Discharged","Under Treatment")</f>
        <v>Under Treatment</v>
      </c>
      <c r="R112" s="3" t="str">
        <f>IF(Table1[[#This Row],[Test Results]]&gt;120,"High Risk","Normal")</f>
        <v>High Risk</v>
      </c>
      <c r="S112" s="3" t="str">
        <f>IF(Table1[[#This Row],[Age]]&lt;=18,"0-18",IF(Table1[[#This Row],[Age]]&lt;=35,"19-35",IF(Table1[[#This Row],[Age]]&lt;=50,"36-50",IF(Table1[[#This Row],[Age]]&lt;=65,"51-65","65+"))))</f>
        <v>65+</v>
      </c>
    </row>
    <row r="113" spans="1:19" x14ac:dyDescent="0.3">
      <c r="A113" s="3" t="s">
        <v>380</v>
      </c>
      <c r="B113" s="3">
        <v>37</v>
      </c>
      <c r="C113" s="3" t="s">
        <v>35</v>
      </c>
      <c r="D113" s="3" t="s">
        <v>42</v>
      </c>
      <c r="E113" s="3" t="s">
        <v>54</v>
      </c>
      <c r="F113" s="4">
        <v>43801</v>
      </c>
      <c r="G113" s="3" t="s">
        <v>381</v>
      </c>
      <c r="H113" s="3" t="s">
        <v>382</v>
      </c>
      <c r="I113" s="3" t="s">
        <v>39</v>
      </c>
      <c r="J113" s="5">
        <v>8521.2142526710904</v>
      </c>
      <c r="K113" s="3">
        <v>476</v>
      </c>
      <c r="L113" s="3" t="s">
        <v>46</v>
      </c>
      <c r="M113" s="4">
        <v>43812</v>
      </c>
      <c r="N113" s="3" t="s">
        <v>52</v>
      </c>
      <c r="O113" s="3" t="s">
        <v>47</v>
      </c>
      <c r="P113" s="3" t="str">
        <f>IF(Table1[[#This Row],[Billing Amount]]&lt;5000,"Low",IF(Table1[[#This Row],[Billing Amount]]&lt;=15000,"Medium","High"))</f>
        <v>Medium</v>
      </c>
      <c r="Q113" s="3" t="str">
        <f>IF(Table1[[#This Row],[Discharge Date]]="Yes","Discharged","Under Treatment")</f>
        <v>Under Treatment</v>
      </c>
      <c r="R113" s="3" t="str">
        <f>IF(Table1[[#This Row],[Test Results]]&gt;120,"High Risk","Normal")</f>
        <v>High Risk</v>
      </c>
      <c r="S113" s="3" t="str">
        <f>IF(Table1[[#This Row],[Age]]&lt;=18,"0-18",IF(Table1[[#This Row],[Age]]&lt;=35,"19-35",IF(Table1[[#This Row],[Age]]&lt;=50,"36-50",IF(Table1[[#This Row],[Age]]&lt;=65,"51-65","65+"))))</f>
        <v>36-50</v>
      </c>
    </row>
    <row r="114" spans="1:19" x14ac:dyDescent="0.3">
      <c r="A114" s="3" t="s">
        <v>383</v>
      </c>
      <c r="B114" s="3">
        <v>52</v>
      </c>
      <c r="C114" s="3" t="s">
        <v>35</v>
      </c>
      <c r="D114" s="3" t="s">
        <v>59</v>
      </c>
      <c r="E114" s="3" t="s">
        <v>18</v>
      </c>
      <c r="F114" s="4">
        <v>44064</v>
      </c>
      <c r="G114" s="3" t="s">
        <v>384</v>
      </c>
      <c r="H114" s="3" t="s">
        <v>385</v>
      </c>
      <c r="I114" s="3" t="s">
        <v>65</v>
      </c>
      <c r="J114" s="5">
        <v>47985.167338327701</v>
      </c>
      <c r="K114" s="3">
        <v>388</v>
      </c>
      <c r="L114" s="3" t="s">
        <v>46</v>
      </c>
      <c r="M114" s="4">
        <v>44080</v>
      </c>
      <c r="N114" s="3" t="s">
        <v>52</v>
      </c>
      <c r="O114" s="3" t="s">
        <v>33</v>
      </c>
      <c r="P114" s="3" t="str">
        <f>IF(Table1[[#This Row],[Billing Amount]]&lt;5000,"Low",IF(Table1[[#This Row],[Billing Amount]]&lt;=15000,"Medium","High"))</f>
        <v>High</v>
      </c>
      <c r="Q114" s="3" t="str">
        <f>IF(Table1[[#This Row],[Discharge Date]]="Yes","Discharged","Under Treatment")</f>
        <v>Under Treatment</v>
      </c>
      <c r="R114" s="3" t="str">
        <f>IF(Table1[[#This Row],[Test Results]]&gt;120,"High Risk","Normal")</f>
        <v>High Risk</v>
      </c>
      <c r="S114" s="3" t="str">
        <f>IF(Table1[[#This Row],[Age]]&lt;=18,"0-18",IF(Table1[[#This Row],[Age]]&lt;=35,"19-35",IF(Table1[[#This Row],[Age]]&lt;=50,"36-50",IF(Table1[[#This Row],[Age]]&lt;=65,"51-65","65+"))))</f>
        <v>51-65</v>
      </c>
    </row>
    <row r="115" spans="1:19" x14ac:dyDescent="0.3">
      <c r="A115" s="3" t="s">
        <v>386</v>
      </c>
      <c r="B115" s="3">
        <v>37</v>
      </c>
      <c r="C115" s="3" t="s">
        <v>35</v>
      </c>
      <c r="D115" s="3" t="s">
        <v>103</v>
      </c>
      <c r="E115" s="3" t="s">
        <v>54</v>
      </c>
      <c r="F115" s="4">
        <v>44239</v>
      </c>
      <c r="G115" s="3" t="s">
        <v>387</v>
      </c>
      <c r="H115" s="3" t="s">
        <v>388</v>
      </c>
      <c r="I115" s="3" t="s">
        <v>57</v>
      </c>
      <c r="J115" s="5">
        <v>25230.246881802399</v>
      </c>
      <c r="K115" s="3">
        <v>326</v>
      </c>
      <c r="L115" s="3" t="s">
        <v>46</v>
      </c>
      <c r="M115" s="4">
        <v>44266</v>
      </c>
      <c r="N115" s="3" t="s">
        <v>32</v>
      </c>
      <c r="O115" s="3" t="s">
        <v>33</v>
      </c>
      <c r="P115" s="3" t="str">
        <f>IF(Table1[[#This Row],[Billing Amount]]&lt;5000,"Low",IF(Table1[[#This Row],[Billing Amount]]&lt;=15000,"Medium","High"))</f>
        <v>High</v>
      </c>
      <c r="Q115" s="3" t="str">
        <f>IF(Table1[[#This Row],[Discharge Date]]="Yes","Discharged","Under Treatment")</f>
        <v>Under Treatment</v>
      </c>
      <c r="R115" s="3" t="str">
        <f>IF(Table1[[#This Row],[Test Results]]&gt;120,"High Risk","Normal")</f>
        <v>High Risk</v>
      </c>
      <c r="S115" s="3" t="str">
        <f>IF(Table1[[#This Row],[Age]]&lt;=18,"0-18",IF(Table1[[#This Row],[Age]]&lt;=35,"19-35",IF(Table1[[#This Row],[Age]]&lt;=50,"36-50",IF(Table1[[#This Row],[Age]]&lt;=65,"51-65","65+"))))</f>
        <v>36-50</v>
      </c>
    </row>
    <row r="116" spans="1:19" x14ac:dyDescent="0.3">
      <c r="A116" s="3" t="s">
        <v>389</v>
      </c>
      <c r="B116" s="3">
        <v>83</v>
      </c>
      <c r="C116" s="3" t="s">
        <v>35</v>
      </c>
      <c r="D116" s="3" t="s">
        <v>26</v>
      </c>
      <c r="E116" s="3" t="s">
        <v>43</v>
      </c>
      <c r="F116" s="4">
        <v>45304</v>
      </c>
      <c r="G116" s="3" t="s">
        <v>390</v>
      </c>
      <c r="H116" s="3" t="s">
        <v>391</v>
      </c>
      <c r="I116" s="3" t="s">
        <v>21</v>
      </c>
      <c r="J116" s="5">
        <v>10352.208486740799</v>
      </c>
      <c r="K116" s="3">
        <v>394</v>
      </c>
      <c r="L116" s="3" t="s">
        <v>22</v>
      </c>
      <c r="M116" s="4">
        <v>45313</v>
      </c>
      <c r="N116" s="3" t="s">
        <v>40</v>
      </c>
      <c r="O116" s="3" t="s">
        <v>47</v>
      </c>
      <c r="P116" s="3" t="str">
        <f>IF(Table1[[#This Row],[Billing Amount]]&lt;5000,"Low",IF(Table1[[#This Row],[Billing Amount]]&lt;=15000,"Medium","High"))</f>
        <v>Medium</v>
      </c>
      <c r="Q116" s="3" t="str">
        <f>IF(Table1[[#This Row],[Discharge Date]]="Yes","Discharged","Under Treatment")</f>
        <v>Under Treatment</v>
      </c>
      <c r="R116" s="3" t="str">
        <f>IF(Table1[[#This Row],[Test Results]]&gt;120,"High Risk","Normal")</f>
        <v>High Risk</v>
      </c>
      <c r="S116" s="3" t="str">
        <f>IF(Table1[[#This Row],[Age]]&lt;=18,"0-18",IF(Table1[[#This Row],[Age]]&lt;=35,"19-35",IF(Table1[[#This Row],[Age]]&lt;=50,"36-50",IF(Table1[[#This Row],[Age]]&lt;=65,"51-65","65+"))))</f>
        <v>65+</v>
      </c>
    </row>
    <row r="117" spans="1:19" x14ac:dyDescent="0.3">
      <c r="A117" s="3" t="s">
        <v>392</v>
      </c>
      <c r="B117" s="3">
        <v>33</v>
      </c>
      <c r="C117" s="3" t="s">
        <v>16</v>
      </c>
      <c r="D117" s="3" t="s">
        <v>122</v>
      </c>
      <c r="E117" s="3" t="s">
        <v>93</v>
      </c>
      <c r="F117" s="4">
        <v>44556</v>
      </c>
      <c r="G117" s="3" t="s">
        <v>393</v>
      </c>
      <c r="H117" s="3" t="s">
        <v>394</v>
      </c>
      <c r="I117" s="3" t="s">
        <v>30</v>
      </c>
      <c r="J117" s="5">
        <v>6175.8672492924197</v>
      </c>
      <c r="K117" s="3">
        <v>138</v>
      </c>
      <c r="L117" s="3" t="s">
        <v>22</v>
      </c>
      <c r="M117" s="4">
        <v>44573</v>
      </c>
      <c r="N117" s="3" t="s">
        <v>40</v>
      </c>
      <c r="O117" s="3" t="s">
        <v>47</v>
      </c>
      <c r="P117" s="3" t="str">
        <f>IF(Table1[[#This Row],[Billing Amount]]&lt;5000,"Low",IF(Table1[[#This Row],[Billing Amount]]&lt;=15000,"Medium","High"))</f>
        <v>Medium</v>
      </c>
      <c r="Q117" s="3" t="str">
        <f>IF(Table1[[#This Row],[Discharge Date]]="Yes","Discharged","Under Treatment")</f>
        <v>Under Treatment</v>
      </c>
      <c r="R117" s="3" t="str">
        <f>IF(Table1[[#This Row],[Test Results]]&gt;120,"High Risk","Normal")</f>
        <v>High Risk</v>
      </c>
      <c r="S117" s="3" t="str">
        <f>IF(Table1[[#This Row],[Age]]&lt;=18,"0-18",IF(Table1[[#This Row],[Age]]&lt;=35,"19-35",IF(Table1[[#This Row],[Age]]&lt;=50,"36-50",IF(Table1[[#This Row],[Age]]&lt;=65,"51-65","65+"))))</f>
        <v>19-35</v>
      </c>
    </row>
    <row r="118" spans="1:19" x14ac:dyDescent="0.3">
      <c r="A118" s="3" t="s">
        <v>395</v>
      </c>
      <c r="B118" s="3">
        <v>19</v>
      </c>
      <c r="C118" s="3" t="s">
        <v>35</v>
      </c>
      <c r="D118" s="3" t="s">
        <v>103</v>
      </c>
      <c r="E118" s="3" t="s">
        <v>18</v>
      </c>
      <c r="F118" s="4">
        <v>44380</v>
      </c>
      <c r="G118" s="3" t="s">
        <v>396</v>
      </c>
      <c r="H118" s="3" t="s">
        <v>397</v>
      </c>
      <c r="I118" s="3" t="s">
        <v>30</v>
      </c>
      <c r="J118" s="5">
        <v>33681.572644101499</v>
      </c>
      <c r="K118" s="3">
        <v>177</v>
      </c>
      <c r="L118" s="3" t="s">
        <v>46</v>
      </c>
      <c r="M118" s="4">
        <v>44408</v>
      </c>
      <c r="N118" s="3" t="s">
        <v>32</v>
      </c>
      <c r="O118" s="3" t="s">
        <v>47</v>
      </c>
      <c r="P118" s="3" t="str">
        <f>IF(Table1[[#This Row],[Billing Amount]]&lt;5000,"Low",IF(Table1[[#This Row],[Billing Amount]]&lt;=15000,"Medium","High"))</f>
        <v>High</v>
      </c>
      <c r="Q118" s="3" t="str">
        <f>IF(Table1[[#This Row],[Discharge Date]]="Yes","Discharged","Under Treatment")</f>
        <v>Under Treatment</v>
      </c>
      <c r="R118" s="3" t="str">
        <f>IF(Table1[[#This Row],[Test Results]]&gt;120,"High Risk","Normal")</f>
        <v>High Risk</v>
      </c>
      <c r="S118" s="3" t="str">
        <f>IF(Table1[[#This Row],[Age]]&lt;=18,"0-18",IF(Table1[[#This Row],[Age]]&lt;=35,"19-35",IF(Table1[[#This Row],[Age]]&lt;=50,"36-50",IF(Table1[[#This Row],[Age]]&lt;=65,"51-65","65+"))))</f>
        <v>19-35</v>
      </c>
    </row>
    <row r="119" spans="1:19" x14ac:dyDescent="0.3">
      <c r="A119" s="3" t="s">
        <v>398</v>
      </c>
      <c r="B119" s="3">
        <v>85</v>
      </c>
      <c r="C119" s="3" t="s">
        <v>35</v>
      </c>
      <c r="D119" s="3" t="s">
        <v>42</v>
      </c>
      <c r="E119" s="3" t="s">
        <v>27</v>
      </c>
      <c r="F119" s="4">
        <v>43982</v>
      </c>
      <c r="G119" s="3" t="s">
        <v>399</v>
      </c>
      <c r="H119" s="3" t="s">
        <v>400</v>
      </c>
      <c r="I119" s="3" t="s">
        <v>39</v>
      </c>
      <c r="J119" s="5">
        <v>39957.940622229697</v>
      </c>
      <c r="K119" s="3">
        <v>211</v>
      </c>
      <c r="L119" s="3" t="s">
        <v>22</v>
      </c>
      <c r="M119" s="4">
        <v>43983</v>
      </c>
      <c r="N119" s="3" t="s">
        <v>32</v>
      </c>
      <c r="O119" s="3" t="s">
        <v>24</v>
      </c>
      <c r="P119" s="3" t="str">
        <f>IF(Table1[[#This Row],[Billing Amount]]&lt;5000,"Low",IF(Table1[[#This Row],[Billing Amount]]&lt;=15000,"Medium","High"))</f>
        <v>High</v>
      </c>
      <c r="Q119" s="3" t="str">
        <f>IF(Table1[[#This Row],[Discharge Date]]="Yes","Discharged","Under Treatment")</f>
        <v>Under Treatment</v>
      </c>
      <c r="R119" s="3" t="str">
        <f>IF(Table1[[#This Row],[Test Results]]&gt;120,"High Risk","Normal")</f>
        <v>High Risk</v>
      </c>
      <c r="S119" s="3" t="str">
        <f>IF(Table1[[#This Row],[Age]]&lt;=18,"0-18",IF(Table1[[#This Row],[Age]]&lt;=35,"19-35",IF(Table1[[#This Row],[Age]]&lt;=50,"36-50",IF(Table1[[#This Row],[Age]]&lt;=65,"51-65","65+"))))</f>
        <v>65+</v>
      </c>
    </row>
    <row r="120" spans="1:19" x14ac:dyDescent="0.3">
      <c r="A120" s="3" t="s">
        <v>401</v>
      </c>
      <c r="B120" s="3">
        <v>19</v>
      </c>
      <c r="C120" s="3" t="s">
        <v>16</v>
      </c>
      <c r="D120" s="3" t="s">
        <v>103</v>
      </c>
      <c r="E120" s="3" t="s">
        <v>18</v>
      </c>
      <c r="F120" s="4">
        <v>44130</v>
      </c>
      <c r="G120" s="3" t="s">
        <v>402</v>
      </c>
      <c r="H120" s="3" t="s">
        <v>403</v>
      </c>
      <c r="I120" s="3" t="s">
        <v>57</v>
      </c>
      <c r="J120" s="5">
        <v>49833.707717854501</v>
      </c>
      <c r="K120" s="3">
        <v>302</v>
      </c>
      <c r="L120" s="3" t="s">
        <v>46</v>
      </c>
      <c r="M120" s="4">
        <v>44152</v>
      </c>
      <c r="N120" s="3" t="s">
        <v>79</v>
      </c>
      <c r="O120" s="3" t="s">
        <v>33</v>
      </c>
      <c r="P120" s="3" t="str">
        <f>IF(Table1[[#This Row],[Billing Amount]]&lt;5000,"Low",IF(Table1[[#This Row],[Billing Amount]]&lt;=15000,"Medium","High"))</f>
        <v>High</v>
      </c>
      <c r="Q120" s="3" t="str">
        <f>IF(Table1[[#This Row],[Discharge Date]]="Yes","Discharged","Under Treatment")</f>
        <v>Under Treatment</v>
      </c>
      <c r="R120" s="3" t="str">
        <f>IF(Table1[[#This Row],[Test Results]]&gt;120,"High Risk","Normal")</f>
        <v>High Risk</v>
      </c>
      <c r="S120" s="3" t="str">
        <f>IF(Table1[[#This Row],[Age]]&lt;=18,"0-18",IF(Table1[[#This Row],[Age]]&lt;=35,"19-35",IF(Table1[[#This Row],[Age]]&lt;=50,"36-50",IF(Table1[[#This Row],[Age]]&lt;=65,"51-65","65+"))))</f>
        <v>19-35</v>
      </c>
    </row>
    <row r="121" spans="1:19" x14ac:dyDescent="0.3">
      <c r="A121" s="3" t="s">
        <v>404</v>
      </c>
      <c r="B121" s="3">
        <v>50</v>
      </c>
      <c r="C121" s="3" t="s">
        <v>35</v>
      </c>
      <c r="D121" s="3" t="s">
        <v>17</v>
      </c>
      <c r="E121" s="3" t="s">
        <v>54</v>
      </c>
      <c r="F121" s="4">
        <v>44350</v>
      </c>
      <c r="G121" s="3" t="s">
        <v>405</v>
      </c>
      <c r="H121" s="3" t="s">
        <v>406</v>
      </c>
      <c r="I121" s="3" t="s">
        <v>39</v>
      </c>
      <c r="J121" s="5">
        <v>48175.466116807896</v>
      </c>
      <c r="K121" s="3">
        <v>368</v>
      </c>
      <c r="L121" s="3" t="s">
        <v>22</v>
      </c>
      <c r="M121" s="4">
        <v>44378</v>
      </c>
      <c r="N121" s="3" t="s">
        <v>23</v>
      </c>
      <c r="O121" s="3" t="s">
        <v>33</v>
      </c>
      <c r="P121" s="3" t="str">
        <f>IF(Table1[[#This Row],[Billing Amount]]&lt;5000,"Low",IF(Table1[[#This Row],[Billing Amount]]&lt;=15000,"Medium","High"))</f>
        <v>High</v>
      </c>
      <c r="Q121" s="3" t="str">
        <f>IF(Table1[[#This Row],[Discharge Date]]="Yes","Discharged","Under Treatment")</f>
        <v>Under Treatment</v>
      </c>
      <c r="R121" s="3" t="str">
        <f>IF(Table1[[#This Row],[Test Results]]&gt;120,"High Risk","Normal")</f>
        <v>High Risk</v>
      </c>
      <c r="S121" s="3" t="str">
        <f>IF(Table1[[#This Row],[Age]]&lt;=18,"0-18",IF(Table1[[#This Row],[Age]]&lt;=35,"19-35",IF(Table1[[#This Row],[Age]]&lt;=50,"36-50",IF(Table1[[#This Row],[Age]]&lt;=65,"51-65","65+"))))</f>
        <v>36-50</v>
      </c>
    </row>
    <row r="122" spans="1:19" x14ac:dyDescent="0.3">
      <c r="A122" s="3" t="s">
        <v>407</v>
      </c>
      <c r="B122" s="3">
        <v>50</v>
      </c>
      <c r="C122" s="3" t="s">
        <v>35</v>
      </c>
      <c r="D122" s="3" t="s">
        <v>122</v>
      </c>
      <c r="E122" s="3" t="s">
        <v>27</v>
      </c>
      <c r="F122" s="4">
        <v>44128</v>
      </c>
      <c r="G122" s="3" t="s">
        <v>408</v>
      </c>
      <c r="H122" s="3" t="s">
        <v>409</v>
      </c>
      <c r="I122" s="3" t="s">
        <v>57</v>
      </c>
      <c r="J122" s="5">
        <v>40133.967392455103</v>
      </c>
      <c r="K122" s="3">
        <v>130</v>
      </c>
      <c r="L122" s="3" t="s">
        <v>22</v>
      </c>
      <c r="M122" s="4">
        <v>44148</v>
      </c>
      <c r="N122" s="3" t="s">
        <v>32</v>
      </c>
      <c r="O122" s="3" t="s">
        <v>24</v>
      </c>
      <c r="P122" s="3" t="str">
        <f>IF(Table1[[#This Row],[Billing Amount]]&lt;5000,"Low",IF(Table1[[#This Row],[Billing Amount]]&lt;=15000,"Medium","High"))</f>
        <v>High</v>
      </c>
      <c r="Q122" s="3" t="str">
        <f>IF(Table1[[#This Row],[Discharge Date]]="Yes","Discharged","Under Treatment")</f>
        <v>Under Treatment</v>
      </c>
      <c r="R122" s="3" t="str">
        <f>IF(Table1[[#This Row],[Test Results]]&gt;120,"High Risk","Normal")</f>
        <v>High Risk</v>
      </c>
      <c r="S122" s="3" t="str">
        <f>IF(Table1[[#This Row],[Age]]&lt;=18,"0-18",IF(Table1[[#This Row],[Age]]&lt;=35,"19-35",IF(Table1[[#This Row],[Age]]&lt;=50,"36-50",IF(Table1[[#This Row],[Age]]&lt;=65,"51-65","65+"))))</f>
        <v>36-50</v>
      </c>
    </row>
    <row r="123" spans="1:19" x14ac:dyDescent="0.3">
      <c r="A123" s="3" t="s">
        <v>410</v>
      </c>
      <c r="B123" s="3">
        <v>40</v>
      </c>
      <c r="C123" s="3" t="s">
        <v>16</v>
      </c>
      <c r="D123" s="3" t="s">
        <v>42</v>
      </c>
      <c r="E123" s="3" t="s">
        <v>27</v>
      </c>
      <c r="F123" s="4">
        <v>43704</v>
      </c>
      <c r="G123" s="3" t="s">
        <v>411</v>
      </c>
      <c r="H123" s="3" t="s">
        <v>412</v>
      </c>
      <c r="I123" s="3" t="s">
        <v>39</v>
      </c>
      <c r="J123" s="5">
        <v>9585.9521279937198</v>
      </c>
      <c r="K123" s="3">
        <v>424</v>
      </c>
      <c r="L123" s="3" t="s">
        <v>22</v>
      </c>
      <c r="M123" s="4">
        <v>43714</v>
      </c>
      <c r="N123" s="3" t="s">
        <v>79</v>
      </c>
      <c r="O123" s="3" t="s">
        <v>33</v>
      </c>
      <c r="P123" s="3" t="str">
        <f>IF(Table1[[#This Row],[Billing Amount]]&lt;5000,"Low",IF(Table1[[#This Row],[Billing Amount]]&lt;=15000,"Medium","High"))</f>
        <v>Medium</v>
      </c>
      <c r="Q123" s="3" t="str">
        <f>IF(Table1[[#This Row],[Discharge Date]]="Yes","Discharged","Under Treatment")</f>
        <v>Under Treatment</v>
      </c>
      <c r="R123" s="3" t="str">
        <f>IF(Table1[[#This Row],[Test Results]]&gt;120,"High Risk","Normal")</f>
        <v>High Risk</v>
      </c>
      <c r="S123" s="3" t="str">
        <f>IF(Table1[[#This Row],[Age]]&lt;=18,"0-18",IF(Table1[[#This Row],[Age]]&lt;=35,"19-35",IF(Table1[[#This Row],[Age]]&lt;=50,"36-50",IF(Table1[[#This Row],[Age]]&lt;=65,"51-65","65+"))))</f>
        <v>36-50</v>
      </c>
    </row>
    <row r="124" spans="1:19" x14ac:dyDescent="0.3">
      <c r="A124" s="3" t="s">
        <v>413</v>
      </c>
      <c r="B124" s="3">
        <v>57</v>
      </c>
      <c r="C124" s="3" t="s">
        <v>16</v>
      </c>
      <c r="D124" s="3" t="s">
        <v>59</v>
      </c>
      <c r="E124" s="3" t="s">
        <v>27</v>
      </c>
      <c r="F124" s="4">
        <v>44530</v>
      </c>
      <c r="G124" s="3" t="s">
        <v>414</v>
      </c>
      <c r="H124" s="3" t="s">
        <v>415</v>
      </c>
      <c r="I124" s="3" t="s">
        <v>30</v>
      </c>
      <c r="J124" s="5">
        <v>40693.354223953502</v>
      </c>
      <c r="K124" s="3">
        <v>430</v>
      </c>
      <c r="L124" s="3" t="s">
        <v>31</v>
      </c>
      <c r="M124" s="4">
        <v>44539</v>
      </c>
      <c r="N124" s="3" t="s">
        <v>40</v>
      </c>
      <c r="O124" s="3" t="s">
        <v>47</v>
      </c>
      <c r="P124" s="3" t="str">
        <f>IF(Table1[[#This Row],[Billing Amount]]&lt;5000,"Low",IF(Table1[[#This Row],[Billing Amount]]&lt;=15000,"Medium","High"))</f>
        <v>High</v>
      </c>
      <c r="Q124" s="3" t="str">
        <f>IF(Table1[[#This Row],[Discharge Date]]="Yes","Discharged","Under Treatment")</f>
        <v>Under Treatment</v>
      </c>
      <c r="R124" s="3" t="str">
        <f>IF(Table1[[#This Row],[Test Results]]&gt;120,"High Risk","Normal")</f>
        <v>High Risk</v>
      </c>
      <c r="S124" s="3" t="str">
        <f>IF(Table1[[#This Row],[Age]]&lt;=18,"0-18",IF(Table1[[#This Row],[Age]]&lt;=35,"19-35",IF(Table1[[#This Row],[Age]]&lt;=50,"36-50",IF(Table1[[#This Row],[Age]]&lt;=65,"51-65","65+"))))</f>
        <v>51-65</v>
      </c>
    </row>
    <row r="125" spans="1:19" x14ac:dyDescent="0.3">
      <c r="A125" s="3" t="s">
        <v>416</v>
      </c>
      <c r="B125" s="3">
        <v>82</v>
      </c>
      <c r="C125" s="3" t="s">
        <v>16</v>
      </c>
      <c r="D125" s="3" t="s">
        <v>49</v>
      </c>
      <c r="E125" s="3" t="s">
        <v>27</v>
      </c>
      <c r="F125" s="4">
        <v>45214</v>
      </c>
      <c r="G125" s="3" t="s">
        <v>417</v>
      </c>
      <c r="H125" s="3" t="s">
        <v>418</v>
      </c>
      <c r="I125" s="3" t="s">
        <v>57</v>
      </c>
      <c r="J125" s="5">
        <v>16399.2657610018</v>
      </c>
      <c r="K125" s="3">
        <v>133</v>
      </c>
      <c r="L125" s="3" t="s">
        <v>31</v>
      </c>
      <c r="M125" s="4">
        <v>45238</v>
      </c>
      <c r="N125" s="3" t="s">
        <v>52</v>
      </c>
      <c r="O125" s="3" t="s">
        <v>47</v>
      </c>
      <c r="P125" s="3" t="str">
        <f>IF(Table1[[#This Row],[Billing Amount]]&lt;5000,"Low",IF(Table1[[#This Row],[Billing Amount]]&lt;=15000,"Medium","High"))</f>
        <v>High</v>
      </c>
      <c r="Q125" s="3" t="str">
        <f>IF(Table1[[#This Row],[Discharge Date]]="Yes","Discharged","Under Treatment")</f>
        <v>Under Treatment</v>
      </c>
      <c r="R125" s="3" t="str">
        <f>IF(Table1[[#This Row],[Test Results]]&gt;120,"High Risk","Normal")</f>
        <v>High Risk</v>
      </c>
      <c r="S125" s="3" t="str">
        <f>IF(Table1[[#This Row],[Age]]&lt;=18,"0-18",IF(Table1[[#This Row],[Age]]&lt;=35,"19-35",IF(Table1[[#This Row],[Age]]&lt;=50,"36-50",IF(Table1[[#This Row],[Age]]&lt;=65,"51-65","65+"))))</f>
        <v>65+</v>
      </c>
    </row>
    <row r="126" spans="1:19" x14ac:dyDescent="0.3">
      <c r="A126" s="3" t="s">
        <v>419</v>
      </c>
      <c r="B126" s="3">
        <v>20</v>
      </c>
      <c r="C126" s="3" t="s">
        <v>16</v>
      </c>
      <c r="D126" s="3" t="s">
        <v>49</v>
      </c>
      <c r="E126" s="3" t="s">
        <v>43</v>
      </c>
      <c r="F126" s="4">
        <v>45368</v>
      </c>
      <c r="G126" s="3" t="s">
        <v>420</v>
      </c>
      <c r="H126" s="3" t="s">
        <v>421</v>
      </c>
      <c r="I126" s="3" t="s">
        <v>21</v>
      </c>
      <c r="J126" s="5">
        <v>44939.565524760998</v>
      </c>
      <c r="K126" s="3">
        <v>430</v>
      </c>
      <c r="L126" s="3" t="s">
        <v>31</v>
      </c>
      <c r="M126" s="4">
        <v>45379</v>
      </c>
      <c r="N126" s="3" t="s">
        <v>32</v>
      </c>
      <c r="O126" s="3" t="s">
        <v>33</v>
      </c>
      <c r="P126" s="3" t="str">
        <f>IF(Table1[[#This Row],[Billing Amount]]&lt;5000,"Low",IF(Table1[[#This Row],[Billing Amount]]&lt;=15000,"Medium","High"))</f>
        <v>High</v>
      </c>
      <c r="Q126" s="3" t="str">
        <f>IF(Table1[[#This Row],[Discharge Date]]="Yes","Discharged","Under Treatment")</f>
        <v>Under Treatment</v>
      </c>
      <c r="R126" s="3" t="str">
        <f>IF(Table1[[#This Row],[Test Results]]&gt;120,"High Risk","Normal")</f>
        <v>High Risk</v>
      </c>
      <c r="S126" s="3" t="str">
        <f>IF(Table1[[#This Row],[Age]]&lt;=18,"0-18",IF(Table1[[#This Row],[Age]]&lt;=35,"19-35",IF(Table1[[#This Row],[Age]]&lt;=50,"36-50",IF(Table1[[#This Row],[Age]]&lt;=65,"51-65","65+"))))</f>
        <v>19-35</v>
      </c>
    </row>
    <row r="127" spans="1:19" x14ac:dyDescent="0.3">
      <c r="A127" s="3" t="s">
        <v>422</v>
      </c>
      <c r="B127" s="3">
        <v>20</v>
      </c>
      <c r="C127" s="3" t="s">
        <v>16</v>
      </c>
      <c r="D127" s="3" t="s">
        <v>103</v>
      </c>
      <c r="E127" s="3" t="s">
        <v>76</v>
      </c>
      <c r="F127" s="4">
        <v>43751</v>
      </c>
      <c r="G127" s="3" t="s">
        <v>423</v>
      </c>
      <c r="H127" s="3" t="s">
        <v>424</v>
      </c>
      <c r="I127" s="3" t="s">
        <v>21</v>
      </c>
      <c r="J127" s="5">
        <v>10663.9100050385</v>
      </c>
      <c r="K127" s="3">
        <v>104</v>
      </c>
      <c r="L127" s="3" t="s">
        <v>31</v>
      </c>
      <c r="M127" s="4">
        <v>43754</v>
      </c>
      <c r="N127" s="3" t="s">
        <v>40</v>
      </c>
      <c r="O127" s="3" t="s">
        <v>24</v>
      </c>
      <c r="P127" s="3" t="str">
        <f>IF(Table1[[#This Row],[Billing Amount]]&lt;5000,"Low",IF(Table1[[#This Row],[Billing Amount]]&lt;=15000,"Medium","High"))</f>
        <v>Medium</v>
      </c>
      <c r="Q127" s="3" t="str">
        <f>IF(Table1[[#This Row],[Discharge Date]]="Yes","Discharged","Under Treatment")</f>
        <v>Under Treatment</v>
      </c>
      <c r="R127" s="3" t="str">
        <f>IF(Table1[[#This Row],[Test Results]]&gt;120,"High Risk","Normal")</f>
        <v>High Risk</v>
      </c>
      <c r="S127" s="3" t="str">
        <f>IF(Table1[[#This Row],[Age]]&lt;=18,"0-18",IF(Table1[[#This Row],[Age]]&lt;=35,"19-35",IF(Table1[[#This Row],[Age]]&lt;=50,"36-50",IF(Table1[[#This Row],[Age]]&lt;=65,"51-65","65+"))))</f>
        <v>19-35</v>
      </c>
    </row>
    <row r="128" spans="1:19" x14ac:dyDescent="0.3">
      <c r="A128" s="3" t="s">
        <v>425</v>
      </c>
      <c r="B128" s="3">
        <v>19</v>
      </c>
      <c r="C128" s="3" t="s">
        <v>35</v>
      </c>
      <c r="D128" s="3" t="s">
        <v>36</v>
      </c>
      <c r="E128" s="3" t="s">
        <v>76</v>
      </c>
      <c r="F128" s="4">
        <v>43892</v>
      </c>
      <c r="G128" s="3" t="s">
        <v>426</v>
      </c>
      <c r="H128" s="3" t="s">
        <v>427</v>
      </c>
      <c r="I128" s="3" t="s">
        <v>65</v>
      </c>
      <c r="J128" s="5">
        <v>22564.787983517199</v>
      </c>
      <c r="K128" s="3">
        <v>408</v>
      </c>
      <c r="L128" s="3" t="s">
        <v>46</v>
      </c>
      <c r="M128" s="4">
        <v>43897</v>
      </c>
      <c r="N128" s="3" t="s">
        <v>23</v>
      </c>
      <c r="O128" s="3" t="s">
        <v>24</v>
      </c>
      <c r="P128" s="3" t="str">
        <f>IF(Table1[[#This Row],[Billing Amount]]&lt;5000,"Low",IF(Table1[[#This Row],[Billing Amount]]&lt;=15000,"Medium","High"))</f>
        <v>High</v>
      </c>
      <c r="Q128" s="3" t="str">
        <f>IF(Table1[[#This Row],[Discharge Date]]="Yes","Discharged","Under Treatment")</f>
        <v>Under Treatment</v>
      </c>
      <c r="R128" s="3" t="str">
        <f>IF(Table1[[#This Row],[Test Results]]&gt;120,"High Risk","Normal")</f>
        <v>High Risk</v>
      </c>
      <c r="S128" s="3" t="str">
        <f>IF(Table1[[#This Row],[Age]]&lt;=18,"0-18",IF(Table1[[#This Row],[Age]]&lt;=35,"19-35",IF(Table1[[#This Row],[Age]]&lt;=50,"36-50",IF(Table1[[#This Row],[Age]]&lt;=65,"51-65","65+"))))</f>
        <v>19-35</v>
      </c>
    </row>
    <row r="129" spans="1:19" x14ac:dyDescent="0.3">
      <c r="A129" s="3" t="s">
        <v>428</v>
      </c>
      <c r="B129" s="3">
        <v>32</v>
      </c>
      <c r="C129" s="3" t="s">
        <v>35</v>
      </c>
      <c r="D129" s="3" t="s">
        <v>59</v>
      </c>
      <c r="E129" s="3" t="s">
        <v>18</v>
      </c>
      <c r="F129" s="4">
        <v>43774</v>
      </c>
      <c r="G129" s="3" t="s">
        <v>429</v>
      </c>
      <c r="H129" s="3" t="s">
        <v>430</v>
      </c>
      <c r="I129" s="3" t="s">
        <v>39</v>
      </c>
      <c r="J129" s="5">
        <v>-502.507812700947</v>
      </c>
      <c r="K129" s="3">
        <v>376</v>
      </c>
      <c r="L129" s="3" t="s">
        <v>22</v>
      </c>
      <c r="M129" s="4">
        <v>43792</v>
      </c>
      <c r="N129" s="3" t="s">
        <v>52</v>
      </c>
      <c r="O129" s="3" t="s">
        <v>24</v>
      </c>
      <c r="P129" s="3" t="str">
        <f>IF(Table1[[#This Row],[Billing Amount]]&lt;5000,"Low",IF(Table1[[#This Row],[Billing Amount]]&lt;=15000,"Medium","High"))</f>
        <v>Low</v>
      </c>
      <c r="Q129" s="3" t="str">
        <f>IF(Table1[[#This Row],[Discharge Date]]="Yes","Discharged","Under Treatment")</f>
        <v>Under Treatment</v>
      </c>
      <c r="R129" s="3" t="str">
        <f>IF(Table1[[#This Row],[Test Results]]&gt;120,"High Risk","Normal")</f>
        <v>High Risk</v>
      </c>
      <c r="S129" s="3" t="str">
        <f>IF(Table1[[#This Row],[Age]]&lt;=18,"0-18",IF(Table1[[#This Row],[Age]]&lt;=35,"19-35",IF(Table1[[#This Row],[Age]]&lt;=50,"36-50",IF(Table1[[#This Row],[Age]]&lt;=65,"51-65","65+"))))</f>
        <v>19-35</v>
      </c>
    </row>
    <row r="130" spans="1:19" x14ac:dyDescent="0.3">
      <c r="A130" s="3" t="s">
        <v>431</v>
      </c>
      <c r="B130" s="3">
        <v>55</v>
      </c>
      <c r="C130" s="3" t="s">
        <v>16</v>
      </c>
      <c r="D130" s="3" t="s">
        <v>17</v>
      </c>
      <c r="E130" s="3" t="s">
        <v>43</v>
      </c>
      <c r="F130" s="4">
        <v>44234</v>
      </c>
      <c r="G130" s="3" t="s">
        <v>432</v>
      </c>
      <c r="H130" s="3" t="s">
        <v>433</v>
      </c>
      <c r="I130" s="3" t="s">
        <v>65</v>
      </c>
      <c r="J130" s="5">
        <v>34758.256750986002</v>
      </c>
      <c r="K130" s="3">
        <v>331</v>
      </c>
      <c r="L130" s="3" t="s">
        <v>31</v>
      </c>
      <c r="M130" s="4">
        <v>44260</v>
      </c>
      <c r="N130" s="3" t="s">
        <v>40</v>
      </c>
      <c r="O130" s="3" t="s">
        <v>24</v>
      </c>
      <c r="P130" s="3" t="str">
        <f>IF(Table1[[#This Row],[Billing Amount]]&lt;5000,"Low",IF(Table1[[#This Row],[Billing Amount]]&lt;=15000,"Medium","High"))</f>
        <v>High</v>
      </c>
      <c r="Q130" s="3" t="str">
        <f>IF(Table1[[#This Row],[Discharge Date]]="Yes","Discharged","Under Treatment")</f>
        <v>Under Treatment</v>
      </c>
      <c r="R130" s="3" t="str">
        <f>IF(Table1[[#This Row],[Test Results]]&gt;120,"High Risk","Normal")</f>
        <v>High Risk</v>
      </c>
      <c r="S130" s="3" t="str">
        <f>IF(Table1[[#This Row],[Age]]&lt;=18,"0-18",IF(Table1[[#This Row],[Age]]&lt;=35,"19-35",IF(Table1[[#This Row],[Age]]&lt;=50,"36-50",IF(Table1[[#This Row],[Age]]&lt;=65,"51-65","65+"))))</f>
        <v>51-65</v>
      </c>
    </row>
    <row r="131" spans="1:19" x14ac:dyDescent="0.3">
      <c r="A131" s="3" t="s">
        <v>434</v>
      </c>
      <c r="B131" s="3">
        <v>81</v>
      </c>
      <c r="C131" s="3" t="s">
        <v>16</v>
      </c>
      <c r="D131" s="3" t="s">
        <v>103</v>
      </c>
      <c r="E131" s="3" t="s">
        <v>76</v>
      </c>
      <c r="F131" s="4">
        <v>44494</v>
      </c>
      <c r="G131" s="3" t="s">
        <v>435</v>
      </c>
      <c r="H131" s="3" t="s">
        <v>436</v>
      </c>
      <c r="I131" s="3" t="s">
        <v>57</v>
      </c>
      <c r="J131" s="5">
        <v>46377.865149231497</v>
      </c>
      <c r="K131" s="3">
        <v>275</v>
      </c>
      <c r="L131" s="3" t="s">
        <v>22</v>
      </c>
      <c r="M131" s="4">
        <v>44522</v>
      </c>
      <c r="N131" s="3" t="s">
        <v>79</v>
      </c>
      <c r="O131" s="3" t="s">
        <v>24</v>
      </c>
      <c r="P131" s="3" t="str">
        <f>IF(Table1[[#This Row],[Billing Amount]]&lt;5000,"Low",IF(Table1[[#This Row],[Billing Amount]]&lt;=15000,"Medium","High"))</f>
        <v>High</v>
      </c>
      <c r="Q131" s="3" t="str">
        <f>IF(Table1[[#This Row],[Discharge Date]]="Yes","Discharged","Under Treatment")</f>
        <v>Under Treatment</v>
      </c>
      <c r="R131" s="3" t="str">
        <f>IF(Table1[[#This Row],[Test Results]]&gt;120,"High Risk","Normal")</f>
        <v>High Risk</v>
      </c>
      <c r="S131" s="3" t="str">
        <f>IF(Table1[[#This Row],[Age]]&lt;=18,"0-18",IF(Table1[[#This Row],[Age]]&lt;=35,"19-35",IF(Table1[[#This Row],[Age]]&lt;=50,"36-50",IF(Table1[[#This Row],[Age]]&lt;=65,"51-65","65+"))))</f>
        <v>65+</v>
      </c>
    </row>
    <row r="132" spans="1:19" x14ac:dyDescent="0.3">
      <c r="A132" s="3" t="s">
        <v>437</v>
      </c>
      <c r="B132" s="3">
        <v>26</v>
      </c>
      <c r="C132" s="3" t="s">
        <v>16</v>
      </c>
      <c r="D132" s="3" t="s">
        <v>122</v>
      </c>
      <c r="E132" s="3" t="s">
        <v>76</v>
      </c>
      <c r="F132" s="4">
        <v>44766</v>
      </c>
      <c r="G132" s="3" t="s">
        <v>438</v>
      </c>
      <c r="H132" s="3" t="s">
        <v>439</v>
      </c>
      <c r="I132" s="3" t="s">
        <v>21</v>
      </c>
      <c r="J132" s="5">
        <v>7555.7729648088398</v>
      </c>
      <c r="K132" s="3">
        <v>425</v>
      </c>
      <c r="L132" s="3" t="s">
        <v>46</v>
      </c>
      <c r="M132" s="4">
        <v>44773</v>
      </c>
      <c r="N132" s="3" t="s">
        <v>23</v>
      </c>
      <c r="O132" s="3" t="s">
        <v>47</v>
      </c>
      <c r="P132" s="3" t="str">
        <f>IF(Table1[[#This Row],[Billing Amount]]&lt;5000,"Low",IF(Table1[[#This Row],[Billing Amount]]&lt;=15000,"Medium","High"))</f>
        <v>Medium</v>
      </c>
      <c r="Q132" s="3" t="str">
        <f>IF(Table1[[#This Row],[Discharge Date]]="Yes","Discharged","Under Treatment")</f>
        <v>Under Treatment</v>
      </c>
      <c r="R132" s="3" t="str">
        <f>IF(Table1[[#This Row],[Test Results]]&gt;120,"High Risk","Normal")</f>
        <v>High Risk</v>
      </c>
      <c r="S132" s="3" t="str">
        <f>IF(Table1[[#This Row],[Age]]&lt;=18,"0-18",IF(Table1[[#This Row],[Age]]&lt;=35,"19-35",IF(Table1[[#This Row],[Age]]&lt;=50,"36-50",IF(Table1[[#This Row],[Age]]&lt;=65,"51-65","65+"))))</f>
        <v>19-35</v>
      </c>
    </row>
    <row r="133" spans="1:19" x14ac:dyDescent="0.3">
      <c r="A133" s="3" t="s">
        <v>440</v>
      </c>
      <c r="B133" s="3">
        <v>54</v>
      </c>
      <c r="C133" s="3" t="s">
        <v>35</v>
      </c>
      <c r="D133" s="3" t="s">
        <v>49</v>
      </c>
      <c r="E133" s="3" t="s">
        <v>18</v>
      </c>
      <c r="F133" s="4">
        <v>43894</v>
      </c>
      <c r="G133" s="3" t="s">
        <v>441</v>
      </c>
      <c r="H133" s="3" t="s">
        <v>442</v>
      </c>
      <c r="I133" s="3" t="s">
        <v>57</v>
      </c>
      <c r="J133" s="5">
        <v>14299.993446906699</v>
      </c>
      <c r="K133" s="3">
        <v>480</v>
      </c>
      <c r="L133" s="3" t="s">
        <v>31</v>
      </c>
      <c r="M133" s="4">
        <v>43895</v>
      </c>
      <c r="N133" s="3" t="s">
        <v>79</v>
      </c>
      <c r="O133" s="3" t="s">
        <v>47</v>
      </c>
      <c r="P133" s="3" t="str">
        <f>IF(Table1[[#This Row],[Billing Amount]]&lt;5000,"Low",IF(Table1[[#This Row],[Billing Amount]]&lt;=15000,"Medium","High"))</f>
        <v>Medium</v>
      </c>
      <c r="Q133" s="3" t="str">
        <f>IF(Table1[[#This Row],[Discharge Date]]="Yes","Discharged","Under Treatment")</f>
        <v>Under Treatment</v>
      </c>
      <c r="R133" s="3" t="str">
        <f>IF(Table1[[#This Row],[Test Results]]&gt;120,"High Risk","Normal")</f>
        <v>High Risk</v>
      </c>
      <c r="S133" s="3" t="str">
        <f>IF(Table1[[#This Row],[Age]]&lt;=18,"0-18",IF(Table1[[#This Row],[Age]]&lt;=35,"19-35",IF(Table1[[#This Row],[Age]]&lt;=50,"36-50",IF(Table1[[#This Row],[Age]]&lt;=65,"51-65","65+"))))</f>
        <v>51-65</v>
      </c>
    </row>
    <row r="134" spans="1:19" x14ac:dyDescent="0.3">
      <c r="A134" s="3" t="s">
        <v>443</v>
      </c>
      <c r="B134" s="3">
        <v>57</v>
      </c>
      <c r="C134" s="3" t="s">
        <v>16</v>
      </c>
      <c r="D134" s="3" t="s">
        <v>17</v>
      </c>
      <c r="E134" s="3" t="s">
        <v>93</v>
      </c>
      <c r="F134" s="4">
        <v>44409</v>
      </c>
      <c r="G134" s="3" t="s">
        <v>444</v>
      </c>
      <c r="H134" s="3" t="s">
        <v>445</v>
      </c>
      <c r="I134" s="3" t="s">
        <v>65</v>
      </c>
      <c r="J134" s="5">
        <v>46429.508203722602</v>
      </c>
      <c r="K134" s="3">
        <v>233</v>
      </c>
      <c r="L134" s="3" t="s">
        <v>46</v>
      </c>
      <c r="M134" s="4">
        <v>44427</v>
      </c>
      <c r="N134" s="3" t="s">
        <v>23</v>
      </c>
      <c r="O134" s="3" t="s">
        <v>33</v>
      </c>
      <c r="P134" s="3" t="str">
        <f>IF(Table1[[#This Row],[Billing Amount]]&lt;5000,"Low",IF(Table1[[#This Row],[Billing Amount]]&lt;=15000,"Medium","High"))</f>
        <v>High</v>
      </c>
      <c r="Q134" s="3" t="str">
        <f>IF(Table1[[#This Row],[Discharge Date]]="Yes","Discharged","Under Treatment")</f>
        <v>Under Treatment</v>
      </c>
      <c r="R134" s="3" t="str">
        <f>IF(Table1[[#This Row],[Test Results]]&gt;120,"High Risk","Normal")</f>
        <v>High Risk</v>
      </c>
      <c r="S134" s="3" t="str">
        <f>IF(Table1[[#This Row],[Age]]&lt;=18,"0-18",IF(Table1[[#This Row],[Age]]&lt;=35,"19-35",IF(Table1[[#This Row],[Age]]&lt;=50,"36-50",IF(Table1[[#This Row],[Age]]&lt;=65,"51-65","65+"))))</f>
        <v>51-65</v>
      </c>
    </row>
    <row r="135" spans="1:19" x14ac:dyDescent="0.3">
      <c r="A135" s="3" t="s">
        <v>446</v>
      </c>
      <c r="B135" s="3">
        <v>38</v>
      </c>
      <c r="C135" s="3" t="s">
        <v>35</v>
      </c>
      <c r="D135" s="3" t="s">
        <v>49</v>
      </c>
      <c r="E135" s="3" t="s">
        <v>54</v>
      </c>
      <c r="F135" s="4">
        <v>43854</v>
      </c>
      <c r="G135" s="3" t="s">
        <v>447</v>
      </c>
      <c r="H135" s="3" t="s">
        <v>448</v>
      </c>
      <c r="I135" s="3" t="s">
        <v>30</v>
      </c>
      <c r="J135" s="5">
        <v>17978.950744896101</v>
      </c>
      <c r="K135" s="3">
        <v>384</v>
      </c>
      <c r="L135" s="3" t="s">
        <v>46</v>
      </c>
      <c r="M135" s="4">
        <v>43873</v>
      </c>
      <c r="N135" s="3" t="s">
        <v>32</v>
      </c>
      <c r="O135" s="3" t="s">
        <v>47</v>
      </c>
      <c r="P135" s="3" t="str">
        <f>IF(Table1[[#This Row],[Billing Amount]]&lt;5000,"Low",IF(Table1[[#This Row],[Billing Amount]]&lt;=15000,"Medium","High"))</f>
        <v>High</v>
      </c>
      <c r="Q135" s="3" t="str">
        <f>IF(Table1[[#This Row],[Discharge Date]]="Yes","Discharged","Under Treatment")</f>
        <v>Under Treatment</v>
      </c>
      <c r="R135" s="3" t="str">
        <f>IF(Table1[[#This Row],[Test Results]]&gt;120,"High Risk","Normal")</f>
        <v>High Risk</v>
      </c>
      <c r="S135" s="3" t="str">
        <f>IF(Table1[[#This Row],[Age]]&lt;=18,"0-18",IF(Table1[[#This Row],[Age]]&lt;=35,"19-35",IF(Table1[[#This Row],[Age]]&lt;=50,"36-50",IF(Table1[[#This Row],[Age]]&lt;=65,"51-65","65+"))))</f>
        <v>36-50</v>
      </c>
    </row>
    <row r="136" spans="1:19" x14ac:dyDescent="0.3">
      <c r="A136" s="3" t="s">
        <v>449</v>
      </c>
      <c r="B136" s="3">
        <v>54</v>
      </c>
      <c r="C136" s="3" t="s">
        <v>16</v>
      </c>
      <c r="D136" s="3" t="s">
        <v>42</v>
      </c>
      <c r="E136" s="3" t="s">
        <v>27</v>
      </c>
      <c r="F136" s="4">
        <v>44407</v>
      </c>
      <c r="G136" s="3" t="s">
        <v>450</v>
      </c>
      <c r="H136" s="3" t="s">
        <v>451</v>
      </c>
      <c r="I136" s="3" t="s">
        <v>30</v>
      </c>
      <c r="J136" s="5">
        <v>32629.0677482352</v>
      </c>
      <c r="K136" s="3">
        <v>380</v>
      </c>
      <c r="L136" s="3" t="s">
        <v>46</v>
      </c>
      <c r="M136" s="4">
        <v>44421</v>
      </c>
      <c r="N136" s="3" t="s">
        <v>23</v>
      </c>
      <c r="O136" s="3" t="s">
        <v>24</v>
      </c>
      <c r="P136" s="3" t="str">
        <f>IF(Table1[[#This Row],[Billing Amount]]&lt;5000,"Low",IF(Table1[[#This Row],[Billing Amount]]&lt;=15000,"Medium","High"))</f>
        <v>High</v>
      </c>
      <c r="Q136" s="3" t="str">
        <f>IF(Table1[[#This Row],[Discharge Date]]="Yes","Discharged","Under Treatment")</f>
        <v>Under Treatment</v>
      </c>
      <c r="R136" s="3" t="str">
        <f>IF(Table1[[#This Row],[Test Results]]&gt;120,"High Risk","Normal")</f>
        <v>High Risk</v>
      </c>
      <c r="S136" s="3" t="str">
        <f>IF(Table1[[#This Row],[Age]]&lt;=18,"0-18",IF(Table1[[#This Row],[Age]]&lt;=35,"19-35",IF(Table1[[#This Row],[Age]]&lt;=50,"36-50",IF(Table1[[#This Row],[Age]]&lt;=65,"51-65","65+"))))</f>
        <v>51-65</v>
      </c>
    </row>
    <row r="137" spans="1:19" x14ac:dyDescent="0.3">
      <c r="A137" s="3" t="s">
        <v>452</v>
      </c>
      <c r="B137" s="3">
        <v>42</v>
      </c>
      <c r="C137" s="3" t="s">
        <v>16</v>
      </c>
      <c r="D137" s="3" t="s">
        <v>26</v>
      </c>
      <c r="E137" s="3" t="s">
        <v>43</v>
      </c>
      <c r="F137" s="4">
        <v>45295</v>
      </c>
      <c r="G137" s="3" t="s">
        <v>453</v>
      </c>
      <c r="H137" s="3" t="s">
        <v>454</v>
      </c>
      <c r="I137" s="3" t="s">
        <v>30</v>
      </c>
      <c r="J137" s="5">
        <v>22356.2264918334</v>
      </c>
      <c r="K137" s="3">
        <v>310</v>
      </c>
      <c r="L137" s="3" t="s">
        <v>22</v>
      </c>
      <c r="M137" s="4">
        <v>45325</v>
      </c>
      <c r="N137" s="3" t="s">
        <v>40</v>
      </c>
      <c r="O137" s="3" t="s">
        <v>33</v>
      </c>
      <c r="P137" s="3" t="str">
        <f>IF(Table1[[#This Row],[Billing Amount]]&lt;5000,"Low",IF(Table1[[#This Row],[Billing Amount]]&lt;=15000,"Medium","High"))</f>
        <v>High</v>
      </c>
      <c r="Q137" s="3" t="str">
        <f>IF(Table1[[#This Row],[Discharge Date]]="Yes","Discharged","Under Treatment")</f>
        <v>Under Treatment</v>
      </c>
      <c r="R137" s="3" t="str">
        <f>IF(Table1[[#This Row],[Test Results]]&gt;120,"High Risk","Normal")</f>
        <v>High Risk</v>
      </c>
      <c r="S137" s="3" t="str">
        <f>IF(Table1[[#This Row],[Age]]&lt;=18,"0-18",IF(Table1[[#This Row],[Age]]&lt;=35,"19-35",IF(Table1[[#This Row],[Age]]&lt;=50,"36-50",IF(Table1[[#This Row],[Age]]&lt;=65,"51-65","65+"))))</f>
        <v>36-50</v>
      </c>
    </row>
    <row r="138" spans="1:19" x14ac:dyDescent="0.3">
      <c r="A138" s="3" t="s">
        <v>455</v>
      </c>
      <c r="B138" s="3">
        <v>20</v>
      </c>
      <c r="C138" s="3" t="s">
        <v>16</v>
      </c>
      <c r="D138" s="3" t="s">
        <v>122</v>
      </c>
      <c r="E138" s="3" t="s">
        <v>43</v>
      </c>
      <c r="F138" s="4">
        <v>45296</v>
      </c>
      <c r="G138" s="3" t="s">
        <v>456</v>
      </c>
      <c r="H138" s="3" t="s">
        <v>457</v>
      </c>
      <c r="I138" s="3" t="s">
        <v>30</v>
      </c>
      <c r="J138" s="5">
        <v>48995.980591657099</v>
      </c>
      <c r="K138" s="3">
        <v>406</v>
      </c>
      <c r="L138" s="3" t="s">
        <v>46</v>
      </c>
      <c r="M138" s="4">
        <v>45326</v>
      </c>
      <c r="N138" s="3" t="s">
        <v>79</v>
      </c>
      <c r="O138" s="3" t="s">
        <v>24</v>
      </c>
      <c r="P138" s="3" t="str">
        <f>IF(Table1[[#This Row],[Billing Amount]]&lt;5000,"Low",IF(Table1[[#This Row],[Billing Amount]]&lt;=15000,"Medium","High"))</f>
        <v>High</v>
      </c>
      <c r="Q138" s="3" t="str">
        <f>IF(Table1[[#This Row],[Discharge Date]]="Yes","Discharged","Under Treatment")</f>
        <v>Under Treatment</v>
      </c>
      <c r="R138" s="3" t="str">
        <f>IF(Table1[[#This Row],[Test Results]]&gt;120,"High Risk","Normal")</f>
        <v>High Risk</v>
      </c>
      <c r="S138" s="3" t="str">
        <f>IF(Table1[[#This Row],[Age]]&lt;=18,"0-18",IF(Table1[[#This Row],[Age]]&lt;=35,"19-35",IF(Table1[[#This Row],[Age]]&lt;=50,"36-50",IF(Table1[[#This Row],[Age]]&lt;=65,"51-65","65+"))))</f>
        <v>19-35</v>
      </c>
    </row>
    <row r="139" spans="1:19" x14ac:dyDescent="0.3">
      <c r="A139" s="3" t="s">
        <v>458</v>
      </c>
      <c r="B139" s="3">
        <v>44</v>
      </c>
      <c r="C139" s="3" t="s">
        <v>35</v>
      </c>
      <c r="D139" s="3" t="s">
        <v>122</v>
      </c>
      <c r="E139" s="3" t="s">
        <v>76</v>
      </c>
      <c r="F139" s="4">
        <v>44054</v>
      </c>
      <c r="G139" s="3" t="s">
        <v>459</v>
      </c>
      <c r="H139" s="3" t="s">
        <v>460</v>
      </c>
      <c r="I139" s="3" t="s">
        <v>57</v>
      </c>
      <c r="J139" s="5">
        <v>4532.4835536168703</v>
      </c>
      <c r="K139" s="3">
        <v>213</v>
      </c>
      <c r="L139" s="3" t="s">
        <v>31</v>
      </c>
      <c r="M139" s="4">
        <v>44078</v>
      </c>
      <c r="N139" s="3" t="s">
        <v>79</v>
      </c>
      <c r="O139" s="3" t="s">
        <v>33</v>
      </c>
      <c r="P139" s="3" t="str">
        <f>IF(Table1[[#This Row],[Billing Amount]]&lt;5000,"Low",IF(Table1[[#This Row],[Billing Amount]]&lt;=15000,"Medium","High"))</f>
        <v>Low</v>
      </c>
      <c r="Q139" s="3" t="str">
        <f>IF(Table1[[#This Row],[Discharge Date]]="Yes","Discharged","Under Treatment")</f>
        <v>Under Treatment</v>
      </c>
      <c r="R139" s="3" t="str">
        <f>IF(Table1[[#This Row],[Test Results]]&gt;120,"High Risk","Normal")</f>
        <v>High Risk</v>
      </c>
      <c r="S139" s="3" t="str">
        <f>IF(Table1[[#This Row],[Age]]&lt;=18,"0-18",IF(Table1[[#This Row],[Age]]&lt;=35,"19-35",IF(Table1[[#This Row],[Age]]&lt;=50,"36-50",IF(Table1[[#This Row],[Age]]&lt;=65,"51-65","65+"))))</f>
        <v>36-50</v>
      </c>
    </row>
    <row r="140" spans="1:19" x14ac:dyDescent="0.3">
      <c r="A140" s="3" t="s">
        <v>461</v>
      </c>
      <c r="B140" s="3">
        <v>21</v>
      </c>
      <c r="C140" s="3" t="s">
        <v>35</v>
      </c>
      <c r="D140" s="3" t="s">
        <v>59</v>
      </c>
      <c r="E140" s="3" t="s">
        <v>93</v>
      </c>
      <c r="F140" s="4">
        <v>44653</v>
      </c>
      <c r="G140" s="3" t="s">
        <v>462</v>
      </c>
      <c r="H140" s="3" t="s">
        <v>463</v>
      </c>
      <c r="I140" s="3" t="s">
        <v>39</v>
      </c>
      <c r="J140" s="5">
        <v>1589.5035231858601</v>
      </c>
      <c r="K140" s="3">
        <v>244</v>
      </c>
      <c r="L140" s="3" t="s">
        <v>31</v>
      </c>
      <c r="M140" s="4">
        <v>44660</v>
      </c>
      <c r="N140" s="3" t="s">
        <v>40</v>
      </c>
      <c r="O140" s="3" t="s">
        <v>33</v>
      </c>
      <c r="P140" s="3" t="str">
        <f>IF(Table1[[#This Row],[Billing Amount]]&lt;5000,"Low",IF(Table1[[#This Row],[Billing Amount]]&lt;=15000,"Medium","High"))</f>
        <v>Low</v>
      </c>
      <c r="Q140" s="3" t="str">
        <f>IF(Table1[[#This Row],[Discharge Date]]="Yes","Discharged","Under Treatment")</f>
        <v>Under Treatment</v>
      </c>
      <c r="R140" s="3" t="str">
        <f>IF(Table1[[#This Row],[Test Results]]&gt;120,"High Risk","Normal")</f>
        <v>High Risk</v>
      </c>
      <c r="S140" s="3" t="str">
        <f>IF(Table1[[#This Row],[Age]]&lt;=18,"0-18",IF(Table1[[#This Row],[Age]]&lt;=35,"19-35",IF(Table1[[#This Row],[Age]]&lt;=50,"36-50",IF(Table1[[#This Row],[Age]]&lt;=65,"51-65","65+"))))</f>
        <v>19-35</v>
      </c>
    </row>
    <row r="141" spans="1:19" x14ac:dyDescent="0.3">
      <c r="A141" s="3" t="s">
        <v>464</v>
      </c>
      <c r="B141" s="3">
        <v>45</v>
      </c>
      <c r="C141" s="3" t="s">
        <v>35</v>
      </c>
      <c r="D141" s="3" t="s">
        <v>49</v>
      </c>
      <c r="E141" s="3" t="s">
        <v>43</v>
      </c>
      <c r="F141" s="4">
        <v>43985</v>
      </c>
      <c r="G141" s="3" t="s">
        <v>465</v>
      </c>
      <c r="H141" s="3" t="s">
        <v>466</v>
      </c>
      <c r="I141" s="3" t="s">
        <v>30</v>
      </c>
      <c r="J141" s="5">
        <v>22950.651139182501</v>
      </c>
      <c r="K141" s="3">
        <v>233</v>
      </c>
      <c r="L141" s="3" t="s">
        <v>46</v>
      </c>
      <c r="M141" s="4">
        <v>44004</v>
      </c>
      <c r="N141" s="3" t="s">
        <v>32</v>
      </c>
      <c r="O141" s="3" t="s">
        <v>47</v>
      </c>
      <c r="P141" s="3" t="str">
        <f>IF(Table1[[#This Row],[Billing Amount]]&lt;5000,"Low",IF(Table1[[#This Row],[Billing Amount]]&lt;=15000,"Medium","High"))</f>
        <v>High</v>
      </c>
      <c r="Q141" s="3" t="str">
        <f>IF(Table1[[#This Row],[Discharge Date]]="Yes","Discharged","Under Treatment")</f>
        <v>Under Treatment</v>
      </c>
      <c r="R141" s="3" t="str">
        <f>IF(Table1[[#This Row],[Test Results]]&gt;120,"High Risk","Normal")</f>
        <v>High Risk</v>
      </c>
      <c r="S141" s="3" t="str">
        <f>IF(Table1[[#This Row],[Age]]&lt;=18,"0-18",IF(Table1[[#This Row],[Age]]&lt;=35,"19-35",IF(Table1[[#This Row],[Age]]&lt;=50,"36-50",IF(Table1[[#This Row],[Age]]&lt;=65,"51-65","65+"))))</f>
        <v>36-50</v>
      </c>
    </row>
    <row r="142" spans="1:19" x14ac:dyDescent="0.3">
      <c r="A142" s="3" t="s">
        <v>467</v>
      </c>
      <c r="B142" s="3">
        <v>68</v>
      </c>
      <c r="C142" s="3" t="s">
        <v>35</v>
      </c>
      <c r="D142" s="3" t="s">
        <v>103</v>
      </c>
      <c r="E142" s="3" t="s">
        <v>93</v>
      </c>
      <c r="F142" s="4">
        <v>43693</v>
      </c>
      <c r="G142" s="3" t="s">
        <v>468</v>
      </c>
      <c r="H142" s="3" t="s">
        <v>469</v>
      </c>
      <c r="I142" s="3" t="s">
        <v>39</v>
      </c>
      <c r="J142" s="5">
        <v>2678.9539360591002</v>
      </c>
      <c r="K142" s="3">
        <v>427</v>
      </c>
      <c r="L142" s="3" t="s">
        <v>22</v>
      </c>
      <c r="M142" s="4">
        <v>43698</v>
      </c>
      <c r="N142" s="3" t="s">
        <v>23</v>
      </c>
      <c r="O142" s="3" t="s">
        <v>47</v>
      </c>
      <c r="P142" s="3" t="str">
        <f>IF(Table1[[#This Row],[Billing Amount]]&lt;5000,"Low",IF(Table1[[#This Row],[Billing Amount]]&lt;=15000,"Medium","High"))</f>
        <v>Low</v>
      </c>
      <c r="Q142" s="3" t="str">
        <f>IF(Table1[[#This Row],[Discharge Date]]="Yes","Discharged","Under Treatment")</f>
        <v>Under Treatment</v>
      </c>
      <c r="R142" s="3" t="str">
        <f>IF(Table1[[#This Row],[Test Results]]&gt;120,"High Risk","Normal")</f>
        <v>High Risk</v>
      </c>
      <c r="S142" s="3" t="str">
        <f>IF(Table1[[#This Row],[Age]]&lt;=18,"0-18",IF(Table1[[#This Row],[Age]]&lt;=35,"19-35",IF(Table1[[#This Row],[Age]]&lt;=50,"36-50",IF(Table1[[#This Row],[Age]]&lt;=65,"51-65","65+"))))</f>
        <v>65+</v>
      </c>
    </row>
    <row r="143" spans="1:19" x14ac:dyDescent="0.3">
      <c r="A143" s="3" t="s">
        <v>470</v>
      </c>
      <c r="B143" s="3">
        <v>27</v>
      </c>
      <c r="C143" s="3" t="s">
        <v>16</v>
      </c>
      <c r="D143" s="3" t="s">
        <v>26</v>
      </c>
      <c r="E143" s="3" t="s">
        <v>76</v>
      </c>
      <c r="F143" s="4">
        <v>45344</v>
      </c>
      <c r="G143" s="3" t="s">
        <v>471</v>
      </c>
      <c r="H143" s="3" t="s">
        <v>472</v>
      </c>
      <c r="I143" s="3" t="s">
        <v>57</v>
      </c>
      <c r="J143" s="5">
        <v>39615.600655704598</v>
      </c>
      <c r="K143" s="3">
        <v>500</v>
      </c>
      <c r="L143" s="3" t="s">
        <v>22</v>
      </c>
      <c r="M143" s="4">
        <v>45346</v>
      </c>
      <c r="N143" s="3" t="s">
        <v>52</v>
      </c>
      <c r="O143" s="3" t="s">
        <v>33</v>
      </c>
      <c r="P143" s="3" t="str">
        <f>IF(Table1[[#This Row],[Billing Amount]]&lt;5000,"Low",IF(Table1[[#This Row],[Billing Amount]]&lt;=15000,"Medium","High"))</f>
        <v>High</v>
      </c>
      <c r="Q143" s="3" t="str">
        <f>IF(Table1[[#This Row],[Discharge Date]]="Yes","Discharged","Under Treatment")</f>
        <v>Under Treatment</v>
      </c>
      <c r="R143" s="3" t="str">
        <f>IF(Table1[[#This Row],[Test Results]]&gt;120,"High Risk","Normal")</f>
        <v>High Risk</v>
      </c>
      <c r="S143" s="3" t="str">
        <f>IF(Table1[[#This Row],[Age]]&lt;=18,"0-18",IF(Table1[[#This Row],[Age]]&lt;=35,"19-35",IF(Table1[[#This Row],[Age]]&lt;=50,"36-50",IF(Table1[[#This Row],[Age]]&lt;=65,"51-65","65+"))))</f>
        <v>19-35</v>
      </c>
    </row>
    <row r="144" spans="1:19" x14ac:dyDescent="0.3">
      <c r="A144" s="3" t="s">
        <v>473</v>
      </c>
      <c r="B144" s="3">
        <v>42</v>
      </c>
      <c r="C144" s="3" t="s">
        <v>16</v>
      </c>
      <c r="D144" s="3" t="s">
        <v>59</v>
      </c>
      <c r="E144" s="3" t="s">
        <v>54</v>
      </c>
      <c r="F144" s="4">
        <v>44322</v>
      </c>
      <c r="G144" s="3" t="s">
        <v>474</v>
      </c>
      <c r="H144" s="3" t="s">
        <v>475</v>
      </c>
      <c r="I144" s="3" t="s">
        <v>30</v>
      </c>
      <c r="J144" s="5">
        <v>13355.7820854809</v>
      </c>
      <c r="K144" s="3">
        <v>451</v>
      </c>
      <c r="L144" s="3" t="s">
        <v>46</v>
      </c>
      <c r="M144" s="4">
        <v>44345</v>
      </c>
      <c r="N144" s="3" t="s">
        <v>32</v>
      </c>
      <c r="O144" s="3" t="s">
        <v>33</v>
      </c>
      <c r="P144" s="3" t="str">
        <f>IF(Table1[[#This Row],[Billing Amount]]&lt;5000,"Low",IF(Table1[[#This Row],[Billing Amount]]&lt;=15000,"Medium","High"))</f>
        <v>Medium</v>
      </c>
      <c r="Q144" s="3" t="str">
        <f>IF(Table1[[#This Row],[Discharge Date]]="Yes","Discharged","Under Treatment")</f>
        <v>Under Treatment</v>
      </c>
      <c r="R144" s="3" t="str">
        <f>IF(Table1[[#This Row],[Test Results]]&gt;120,"High Risk","Normal")</f>
        <v>High Risk</v>
      </c>
      <c r="S144" s="3" t="str">
        <f>IF(Table1[[#This Row],[Age]]&lt;=18,"0-18",IF(Table1[[#This Row],[Age]]&lt;=35,"19-35",IF(Table1[[#This Row],[Age]]&lt;=50,"36-50",IF(Table1[[#This Row],[Age]]&lt;=65,"51-65","65+"))))</f>
        <v>36-50</v>
      </c>
    </row>
    <row r="145" spans="1:19" x14ac:dyDescent="0.3">
      <c r="A145" s="3" t="s">
        <v>476</v>
      </c>
      <c r="B145" s="3">
        <v>27</v>
      </c>
      <c r="C145" s="3" t="s">
        <v>35</v>
      </c>
      <c r="D145" s="3" t="s">
        <v>17</v>
      </c>
      <c r="E145" s="3" t="s">
        <v>54</v>
      </c>
      <c r="F145" s="4">
        <v>44496</v>
      </c>
      <c r="G145" s="3" t="s">
        <v>477</v>
      </c>
      <c r="H145" s="3" t="s">
        <v>478</v>
      </c>
      <c r="I145" s="3" t="s">
        <v>39</v>
      </c>
      <c r="J145" s="5">
        <v>32561.5304064226</v>
      </c>
      <c r="K145" s="3">
        <v>485</v>
      </c>
      <c r="L145" s="3" t="s">
        <v>46</v>
      </c>
      <c r="M145" s="4">
        <v>44504</v>
      </c>
      <c r="N145" s="3" t="s">
        <v>32</v>
      </c>
      <c r="O145" s="3" t="s">
        <v>33</v>
      </c>
      <c r="P145" s="3" t="str">
        <f>IF(Table1[[#This Row],[Billing Amount]]&lt;5000,"Low",IF(Table1[[#This Row],[Billing Amount]]&lt;=15000,"Medium","High"))</f>
        <v>High</v>
      </c>
      <c r="Q145" s="3" t="str">
        <f>IF(Table1[[#This Row],[Discharge Date]]="Yes","Discharged","Under Treatment")</f>
        <v>Under Treatment</v>
      </c>
      <c r="R145" s="3" t="str">
        <f>IF(Table1[[#This Row],[Test Results]]&gt;120,"High Risk","Normal")</f>
        <v>High Risk</v>
      </c>
      <c r="S145" s="3" t="str">
        <f>IF(Table1[[#This Row],[Age]]&lt;=18,"0-18",IF(Table1[[#This Row],[Age]]&lt;=35,"19-35",IF(Table1[[#This Row],[Age]]&lt;=50,"36-50",IF(Table1[[#This Row],[Age]]&lt;=65,"51-65","65+"))))</f>
        <v>19-35</v>
      </c>
    </row>
    <row r="146" spans="1:19" x14ac:dyDescent="0.3">
      <c r="A146" s="3" t="s">
        <v>479</v>
      </c>
      <c r="B146" s="3">
        <v>80</v>
      </c>
      <c r="C146" s="3" t="s">
        <v>16</v>
      </c>
      <c r="D146" s="3" t="s">
        <v>103</v>
      </c>
      <c r="E146" s="3" t="s">
        <v>54</v>
      </c>
      <c r="F146" s="4">
        <v>44075</v>
      </c>
      <c r="G146" s="3" t="s">
        <v>480</v>
      </c>
      <c r="H146" s="3" t="s">
        <v>481</v>
      </c>
      <c r="I146" s="3" t="s">
        <v>30</v>
      </c>
      <c r="J146" s="5">
        <v>29221.340207679099</v>
      </c>
      <c r="K146" s="3">
        <v>208</v>
      </c>
      <c r="L146" s="3" t="s">
        <v>31</v>
      </c>
      <c r="M146" s="4">
        <v>44091</v>
      </c>
      <c r="N146" s="3" t="s">
        <v>23</v>
      </c>
      <c r="O146" s="3" t="s">
        <v>33</v>
      </c>
      <c r="P146" s="3" t="str">
        <f>IF(Table1[[#This Row],[Billing Amount]]&lt;5000,"Low",IF(Table1[[#This Row],[Billing Amount]]&lt;=15000,"Medium","High"))</f>
        <v>High</v>
      </c>
      <c r="Q146" s="3" t="str">
        <f>IF(Table1[[#This Row],[Discharge Date]]="Yes","Discharged","Under Treatment")</f>
        <v>Under Treatment</v>
      </c>
      <c r="R146" s="3" t="str">
        <f>IF(Table1[[#This Row],[Test Results]]&gt;120,"High Risk","Normal")</f>
        <v>High Risk</v>
      </c>
      <c r="S146" s="3" t="str">
        <f>IF(Table1[[#This Row],[Age]]&lt;=18,"0-18",IF(Table1[[#This Row],[Age]]&lt;=35,"19-35",IF(Table1[[#This Row],[Age]]&lt;=50,"36-50",IF(Table1[[#This Row],[Age]]&lt;=65,"51-65","65+"))))</f>
        <v>65+</v>
      </c>
    </row>
    <row r="147" spans="1:19" x14ac:dyDescent="0.3">
      <c r="A147" s="3" t="s">
        <v>482</v>
      </c>
      <c r="B147" s="3">
        <v>21</v>
      </c>
      <c r="C147" s="3" t="s">
        <v>16</v>
      </c>
      <c r="D147" s="3" t="s">
        <v>42</v>
      </c>
      <c r="E147" s="3" t="s">
        <v>43</v>
      </c>
      <c r="F147" s="4">
        <v>44342</v>
      </c>
      <c r="G147" s="3" t="s">
        <v>483</v>
      </c>
      <c r="H147" s="3" t="s">
        <v>484</v>
      </c>
      <c r="I147" s="3" t="s">
        <v>30</v>
      </c>
      <c r="J147" s="5">
        <v>12880.6524127714</v>
      </c>
      <c r="K147" s="3">
        <v>267</v>
      </c>
      <c r="L147" s="3" t="s">
        <v>22</v>
      </c>
      <c r="M147" s="4">
        <v>44369</v>
      </c>
      <c r="N147" s="3" t="s">
        <v>52</v>
      </c>
      <c r="O147" s="3" t="s">
        <v>24</v>
      </c>
      <c r="P147" s="3" t="str">
        <f>IF(Table1[[#This Row],[Billing Amount]]&lt;5000,"Low",IF(Table1[[#This Row],[Billing Amount]]&lt;=15000,"Medium","High"))</f>
        <v>Medium</v>
      </c>
      <c r="Q147" s="3" t="str">
        <f>IF(Table1[[#This Row],[Discharge Date]]="Yes","Discharged","Under Treatment")</f>
        <v>Under Treatment</v>
      </c>
      <c r="R147" s="3" t="str">
        <f>IF(Table1[[#This Row],[Test Results]]&gt;120,"High Risk","Normal")</f>
        <v>High Risk</v>
      </c>
      <c r="S147" s="3" t="str">
        <f>IF(Table1[[#This Row],[Age]]&lt;=18,"0-18",IF(Table1[[#This Row],[Age]]&lt;=35,"19-35",IF(Table1[[#This Row],[Age]]&lt;=50,"36-50",IF(Table1[[#This Row],[Age]]&lt;=65,"51-65","65+"))))</f>
        <v>19-35</v>
      </c>
    </row>
    <row r="148" spans="1:19" x14ac:dyDescent="0.3">
      <c r="A148" s="3" t="s">
        <v>485</v>
      </c>
      <c r="B148" s="3">
        <v>84</v>
      </c>
      <c r="C148" s="3" t="s">
        <v>35</v>
      </c>
      <c r="D148" s="3" t="s">
        <v>36</v>
      </c>
      <c r="E148" s="3" t="s">
        <v>27</v>
      </c>
      <c r="F148" s="4">
        <v>44734</v>
      </c>
      <c r="G148" s="3" t="s">
        <v>486</v>
      </c>
      <c r="H148" s="3" t="s">
        <v>487</v>
      </c>
      <c r="I148" s="3" t="s">
        <v>39</v>
      </c>
      <c r="J148" s="5">
        <v>15475.403236542499</v>
      </c>
      <c r="K148" s="3">
        <v>154</v>
      </c>
      <c r="L148" s="3" t="s">
        <v>46</v>
      </c>
      <c r="M148" s="4">
        <v>44764</v>
      </c>
      <c r="N148" s="3" t="s">
        <v>32</v>
      </c>
      <c r="O148" s="3" t="s">
        <v>47</v>
      </c>
      <c r="P148" s="3" t="str">
        <f>IF(Table1[[#This Row],[Billing Amount]]&lt;5000,"Low",IF(Table1[[#This Row],[Billing Amount]]&lt;=15000,"Medium","High"))</f>
        <v>High</v>
      </c>
      <c r="Q148" s="3" t="str">
        <f>IF(Table1[[#This Row],[Discharge Date]]="Yes","Discharged","Under Treatment")</f>
        <v>Under Treatment</v>
      </c>
      <c r="R148" s="3" t="str">
        <f>IF(Table1[[#This Row],[Test Results]]&gt;120,"High Risk","Normal")</f>
        <v>High Risk</v>
      </c>
      <c r="S148" s="3" t="str">
        <f>IF(Table1[[#This Row],[Age]]&lt;=18,"0-18",IF(Table1[[#This Row],[Age]]&lt;=35,"19-35",IF(Table1[[#This Row],[Age]]&lt;=50,"36-50",IF(Table1[[#This Row],[Age]]&lt;=65,"51-65","65+"))))</f>
        <v>65+</v>
      </c>
    </row>
    <row r="149" spans="1:19" x14ac:dyDescent="0.3">
      <c r="A149" s="3" t="s">
        <v>488</v>
      </c>
      <c r="B149" s="3">
        <v>67</v>
      </c>
      <c r="C149" s="3" t="s">
        <v>35</v>
      </c>
      <c r="D149" s="3" t="s">
        <v>122</v>
      </c>
      <c r="E149" s="3" t="s">
        <v>93</v>
      </c>
      <c r="F149" s="4">
        <v>45063</v>
      </c>
      <c r="G149" s="3" t="s">
        <v>489</v>
      </c>
      <c r="H149" s="3" t="s">
        <v>490</v>
      </c>
      <c r="I149" s="3" t="s">
        <v>30</v>
      </c>
      <c r="J149" s="5">
        <v>27309.436760697201</v>
      </c>
      <c r="K149" s="3">
        <v>293</v>
      </c>
      <c r="L149" s="3" t="s">
        <v>46</v>
      </c>
      <c r="M149" s="4">
        <v>45077</v>
      </c>
      <c r="N149" s="3" t="s">
        <v>40</v>
      </c>
      <c r="O149" s="3" t="s">
        <v>47</v>
      </c>
      <c r="P149" s="3" t="str">
        <f>IF(Table1[[#This Row],[Billing Amount]]&lt;5000,"Low",IF(Table1[[#This Row],[Billing Amount]]&lt;=15000,"Medium","High"))</f>
        <v>High</v>
      </c>
      <c r="Q149" s="3" t="str">
        <f>IF(Table1[[#This Row],[Discharge Date]]="Yes","Discharged","Under Treatment")</f>
        <v>Under Treatment</v>
      </c>
      <c r="R149" s="3" t="str">
        <f>IF(Table1[[#This Row],[Test Results]]&gt;120,"High Risk","Normal")</f>
        <v>High Risk</v>
      </c>
      <c r="S149" s="3" t="str">
        <f>IF(Table1[[#This Row],[Age]]&lt;=18,"0-18",IF(Table1[[#This Row],[Age]]&lt;=35,"19-35",IF(Table1[[#This Row],[Age]]&lt;=50,"36-50",IF(Table1[[#This Row],[Age]]&lt;=65,"51-65","65+"))))</f>
        <v>65+</v>
      </c>
    </row>
    <row r="150" spans="1:19" x14ac:dyDescent="0.3">
      <c r="A150" s="3" t="s">
        <v>491</v>
      </c>
      <c r="B150" s="3">
        <v>66</v>
      </c>
      <c r="C150" s="3" t="s">
        <v>16</v>
      </c>
      <c r="D150" s="3" t="s">
        <v>49</v>
      </c>
      <c r="E150" s="3" t="s">
        <v>93</v>
      </c>
      <c r="F150" s="4">
        <v>44370</v>
      </c>
      <c r="G150" s="3" t="s">
        <v>492</v>
      </c>
      <c r="H150" s="3" t="s">
        <v>493</v>
      </c>
      <c r="I150" s="3" t="s">
        <v>30</v>
      </c>
      <c r="J150" s="5">
        <v>1897.8917271476701</v>
      </c>
      <c r="K150" s="3">
        <v>196</v>
      </c>
      <c r="L150" s="3" t="s">
        <v>46</v>
      </c>
      <c r="M150" s="4">
        <v>44386</v>
      </c>
      <c r="N150" s="3" t="s">
        <v>32</v>
      </c>
      <c r="O150" s="3" t="s">
        <v>47</v>
      </c>
      <c r="P150" s="3" t="str">
        <f>IF(Table1[[#This Row],[Billing Amount]]&lt;5000,"Low",IF(Table1[[#This Row],[Billing Amount]]&lt;=15000,"Medium","High"))</f>
        <v>Low</v>
      </c>
      <c r="Q150" s="3" t="str">
        <f>IF(Table1[[#This Row],[Discharge Date]]="Yes","Discharged","Under Treatment")</f>
        <v>Under Treatment</v>
      </c>
      <c r="R150" s="3" t="str">
        <f>IF(Table1[[#This Row],[Test Results]]&gt;120,"High Risk","Normal")</f>
        <v>High Risk</v>
      </c>
      <c r="S150" s="3" t="str">
        <f>IF(Table1[[#This Row],[Age]]&lt;=18,"0-18",IF(Table1[[#This Row],[Age]]&lt;=35,"19-35",IF(Table1[[#This Row],[Age]]&lt;=50,"36-50",IF(Table1[[#This Row],[Age]]&lt;=65,"51-65","65+"))))</f>
        <v>65+</v>
      </c>
    </row>
    <row r="151" spans="1:19" x14ac:dyDescent="0.3">
      <c r="A151" s="3" t="s">
        <v>494</v>
      </c>
      <c r="B151" s="3">
        <v>37</v>
      </c>
      <c r="C151" s="3" t="s">
        <v>35</v>
      </c>
      <c r="D151" s="3" t="s">
        <v>36</v>
      </c>
      <c r="E151" s="3" t="s">
        <v>18</v>
      </c>
      <c r="F151" s="4">
        <v>45247</v>
      </c>
      <c r="G151" s="3" t="s">
        <v>495</v>
      </c>
      <c r="H151" s="3" t="s">
        <v>496</v>
      </c>
      <c r="I151" s="3" t="s">
        <v>39</v>
      </c>
      <c r="J151" s="5">
        <v>31308.206008495101</v>
      </c>
      <c r="K151" s="3">
        <v>466</v>
      </c>
      <c r="L151" s="3" t="s">
        <v>22</v>
      </c>
      <c r="M151" s="4">
        <v>45255</v>
      </c>
      <c r="N151" s="3" t="s">
        <v>52</v>
      </c>
      <c r="O151" s="3" t="s">
        <v>24</v>
      </c>
      <c r="P151" s="3" t="str">
        <f>IF(Table1[[#This Row],[Billing Amount]]&lt;5000,"Low",IF(Table1[[#This Row],[Billing Amount]]&lt;=15000,"Medium","High"))</f>
        <v>High</v>
      </c>
      <c r="Q151" s="3" t="str">
        <f>IF(Table1[[#This Row],[Discharge Date]]="Yes","Discharged","Under Treatment")</f>
        <v>Under Treatment</v>
      </c>
      <c r="R151" s="3" t="str">
        <f>IF(Table1[[#This Row],[Test Results]]&gt;120,"High Risk","Normal")</f>
        <v>High Risk</v>
      </c>
      <c r="S151" s="3" t="str">
        <f>IF(Table1[[#This Row],[Age]]&lt;=18,"0-18",IF(Table1[[#This Row],[Age]]&lt;=35,"19-35",IF(Table1[[#This Row],[Age]]&lt;=50,"36-50",IF(Table1[[#This Row],[Age]]&lt;=65,"51-65","65+"))))</f>
        <v>36-50</v>
      </c>
    </row>
    <row r="152" spans="1:19" x14ac:dyDescent="0.3">
      <c r="A152" s="3" t="s">
        <v>497</v>
      </c>
      <c r="B152" s="3">
        <v>30</v>
      </c>
      <c r="C152" s="3" t="s">
        <v>35</v>
      </c>
      <c r="D152" s="3" t="s">
        <v>36</v>
      </c>
      <c r="E152" s="3" t="s">
        <v>43</v>
      </c>
      <c r="F152" s="4">
        <v>44115</v>
      </c>
      <c r="G152" s="3" t="s">
        <v>498</v>
      </c>
      <c r="H152" s="3" t="s">
        <v>499</v>
      </c>
      <c r="I152" s="3" t="s">
        <v>30</v>
      </c>
      <c r="J152" s="5">
        <v>42792.2412821748</v>
      </c>
      <c r="K152" s="3">
        <v>468</v>
      </c>
      <c r="L152" s="3" t="s">
        <v>46</v>
      </c>
      <c r="M152" s="4">
        <v>44125</v>
      </c>
      <c r="N152" s="3" t="s">
        <v>32</v>
      </c>
      <c r="O152" s="3" t="s">
        <v>47</v>
      </c>
      <c r="P152" s="3" t="str">
        <f>IF(Table1[[#This Row],[Billing Amount]]&lt;5000,"Low",IF(Table1[[#This Row],[Billing Amount]]&lt;=15000,"Medium","High"))</f>
        <v>High</v>
      </c>
      <c r="Q152" s="3" t="str">
        <f>IF(Table1[[#This Row],[Discharge Date]]="Yes","Discharged","Under Treatment")</f>
        <v>Under Treatment</v>
      </c>
      <c r="R152" s="3" t="str">
        <f>IF(Table1[[#This Row],[Test Results]]&gt;120,"High Risk","Normal")</f>
        <v>High Risk</v>
      </c>
      <c r="S152" s="3" t="str">
        <f>IF(Table1[[#This Row],[Age]]&lt;=18,"0-18",IF(Table1[[#This Row],[Age]]&lt;=35,"19-35",IF(Table1[[#This Row],[Age]]&lt;=50,"36-50",IF(Table1[[#This Row],[Age]]&lt;=65,"51-65","65+"))))</f>
        <v>19-35</v>
      </c>
    </row>
    <row r="153" spans="1:19" x14ac:dyDescent="0.3">
      <c r="A153" s="3" t="s">
        <v>500</v>
      </c>
      <c r="B153" s="3">
        <v>78</v>
      </c>
      <c r="C153" s="3" t="s">
        <v>16</v>
      </c>
      <c r="D153" s="3" t="s">
        <v>42</v>
      </c>
      <c r="E153" s="3" t="s">
        <v>43</v>
      </c>
      <c r="F153" s="4">
        <v>44418</v>
      </c>
      <c r="G153" s="3" t="s">
        <v>501</v>
      </c>
      <c r="H153" s="3" t="s">
        <v>502</v>
      </c>
      <c r="I153" s="3" t="s">
        <v>65</v>
      </c>
      <c r="J153" s="5">
        <v>14377.334318494601</v>
      </c>
      <c r="K153" s="3">
        <v>114</v>
      </c>
      <c r="L153" s="3" t="s">
        <v>31</v>
      </c>
      <c r="M153" s="4">
        <v>44435</v>
      </c>
      <c r="N153" s="3" t="s">
        <v>52</v>
      </c>
      <c r="O153" s="3" t="s">
        <v>47</v>
      </c>
      <c r="P153" s="3" t="str">
        <f>IF(Table1[[#This Row],[Billing Amount]]&lt;5000,"Low",IF(Table1[[#This Row],[Billing Amount]]&lt;=15000,"Medium","High"))</f>
        <v>Medium</v>
      </c>
      <c r="Q153" s="3" t="str">
        <f>IF(Table1[[#This Row],[Discharge Date]]="Yes","Discharged","Under Treatment")</f>
        <v>Under Treatment</v>
      </c>
      <c r="R153" s="3" t="str">
        <f>IF(Table1[[#This Row],[Test Results]]&gt;120,"High Risk","Normal")</f>
        <v>High Risk</v>
      </c>
      <c r="S153" s="3" t="str">
        <f>IF(Table1[[#This Row],[Age]]&lt;=18,"0-18",IF(Table1[[#This Row],[Age]]&lt;=35,"19-35",IF(Table1[[#This Row],[Age]]&lt;=50,"36-50",IF(Table1[[#This Row],[Age]]&lt;=65,"51-65","65+"))))</f>
        <v>65+</v>
      </c>
    </row>
    <row r="154" spans="1:19" x14ac:dyDescent="0.3">
      <c r="A154" s="3" t="s">
        <v>503</v>
      </c>
      <c r="B154" s="3">
        <v>39</v>
      </c>
      <c r="C154" s="3" t="s">
        <v>35</v>
      </c>
      <c r="D154" s="3" t="s">
        <v>26</v>
      </c>
      <c r="E154" s="3" t="s">
        <v>43</v>
      </c>
      <c r="F154" s="4">
        <v>45167</v>
      </c>
      <c r="G154" s="3" t="s">
        <v>504</v>
      </c>
      <c r="H154" s="3" t="s">
        <v>505</v>
      </c>
      <c r="I154" s="3" t="s">
        <v>57</v>
      </c>
      <c r="J154" s="5">
        <v>1150.8749860875801</v>
      </c>
      <c r="K154" s="3">
        <v>408</v>
      </c>
      <c r="L154" s="3" t="s">
        <v>22</v>
      </c>
      <c r="M154" s="4">
        <v>45176</v>
      </c>
      <c r="N154" s="3" t="s">
        <v>52</v>
      </c>
      <c r="O154" s="3" t="s">
        <v>47</v>
      </c>
      <c r="P154" s="3" t="str">
        <f>IF(Table1[[#This Row],[Billing Amount]]&lt;5000,"Low",IF(Table1[[#This Row],[Billing Amount]]&lt;=15000,"Medium","High"))</f>
        <v>Low</v>
      </c>
      <c r="Q154" s="3" t="str">
        <f>IF(Table1[[#This Row],[Discharge Date]]="Yes","Discharged","Under Treatment")</f>
        <v>Under Treatment</v>
      </c>
      <c r="R154" s="3" t="str">
        <f>IF(Table1[[#This Row],[Test Results]]&gt;120,"High Risk","Normal")</f>
        <v>High Risk</v>
      </c>
      <c r="S154" s="3" t="str">
        <f>IF(Table1[[#This Row],[Age]]&lt;=18,"0-18",IF(Table1[[#This Row],[Age]]&lt;=35,"19-35",IF(Table1[[#This Row],[Age]]&lt;=50,"36-50",IF(Table1[[#This Row],[Age]]&lt;=65,"51-65","65+"))))</f>
        <v>36-50</v>
      </c>
    </row>
    <row r="155" spans="1:19" x14ac:dyDescent="0.3">
      <c r="A155" s="3" t="s">
        <v>506</v>
      </c>
      <c r="B155" s="3">
        <v>29</v>
      </c>
      <c r="C155" s="3" t="s">
        <v>16</v>
      </c>
      <c r="D155" s="3" t="s">
        <v>122</v>
      </c>
      <c r="E155" s="3" t="s">
        <v>54</v>
      </c>
      <c r="F155" s="4">
        <v>43888</v>
      </c>
      <c r="G155" s="3" t="s">
        <v>507</v>
      </c>
      <c r="H155" s="3" t="s">
        <v>508</v>
      </c>
      <c r="I155" s="3" t="s">
        <v>30</v>
      </c>
      <c r="J155" s="5">
        <v>41939.119936696297</v>
      </c>
      <c r="K155" s="3">
        <v>453</v>
      </c>
      <c r="L155" s="3" t="s">
        <v>46</v>
      </c>
      <c r="M155" s="4">
        <v>43916</v>
      </c>
      <c r="N155" s="3" t="s">
        <v>32</v>
      </c>
      <c r="O155" s="3" t="s">
        <v>24</v>
      </c>
      <c r="P155" s="3" t="str">
        <f>IF(Table1[[#This Row],[Billing Amount]]&lt;5000,"Low",IF(Table1[[#This Row],[Billing Amount]]&lt;=15000,"Medium","High"))</f>
        <v>High</v>
      </c>
      <c r="Q155" s="3" t="str">
        <f>IF(Table1[[#This Row],[Discharge Date]]="Yes","Discharged","Under Treatment")</f>
        <v>Under Treatment</v>
      </c>
      <c r="R155" s="3" t="str">
        <f>IF(Table1[[#This Row],[Test Results]]&gt;120,"High Risk","Normal")</f>
        <v>High Risk</v>
      </c>
      <c r="S155" s="3" t="str">
        <f>IF(Table1[[#This Row],[Age]]&lt;=18,"0-18",IF(Table1[[#This Row],[Age]]&lt;=35,"19-35",IF(Table1[[#This Row],[Age]]&lt;=50,"36-50",IF(Table1[[#This Row],[Age]]&lt;=65,"51-65","65+"))))</f>
        <v>19-35</v>
      </c>
    </row>
    <row r="156" spans="1:19" x14ac:dyDescent="0.3">
      <c r="A156" s="3" t="s">
        <v>509</v>
      </c>
      <c r="B156" s="3">
        <v>81</v>
      </c>
      <c r="C156" s="3" t="s">
        <v>35</v>
      </c>
      <c r="D156" s="3" t="s">
        <v>59</v>
      </c>
      <c r="E156" s="3" t="s">
        <v>18</v>
      </c>
      <c r="F156" s="4">
        <v>44384</v>
      </c>
      <c r="G156" s="3" t="s">
        <v>510</v>
      </c>
      <c r="H156" s="3" t="s">
        <v>511</v>
      </c>
      <c r="I156" s="3" t="s">
        <v>57</v>
      </c>
      <c r="J156" s="5">
        <v>41982.374396232502</v>
      </c>
      <c r="K156" s="3">
        <v>261</v>
      </c>
      <c r="L156" s="3" t="s">
        <v>46</v>
      </c>
      <c r="M156" s="4">
        <v>44392</v>
      </c>
      <c r="N156" s="3" t="s">
        <v>40</v>
      </c>
      <c r="O156" s="3" t="s">
        <v>47</v>
      </c>
      <c r="P156" s="3" t="str">
        <f>IF(Table1[[#This Row],[Billing Amount]]&lt;5000,"Low",IF(Table1[[#This Row],[Billing Amount]]&lt;=15000,"Medium","High"))</f>
        <v>High</v>
      </c>
      <c r="Q156" s="3" t="str">
        <f>IF(Table1[[#This Row],[Discharge Date]]="Yes","Discharged","Under Treatment")</f>
        <v>Under Treatment</v>
      </c>
      <c r="R156" s="3" t="str">
        <f>IF(Table1[[#This Row],[Test Results]]&gt;120,"High Risk","Normal")</f>
        <v>High Risk</v>
      </c>
      <c r="S156" s="3" t="str">
        <f>IF(Table1[[#This Row],[Age]]&lt;=18,"0-18",IF(Table1[[#This Row],[Age]]&lt;=35,"19-35",IF(Table1[[#This Row],[Age]]&lt;=50,"36-50",IF(Table1[[#This Row],[Age]]&lt;=65,"51-65","65+"))))</f>
        <v>65+</v>
      </c>
    </row>
    <row r="157" spans="1:19" x14ac:dyDescent="0.3">
      <c r="A157" s="3" t="s">
        <v>512</v>
      </c>
      <c r="B157" s="3">
        <v>66</v>
      </c>
      <c r="C157" s="3" t="s">
        <v>35</v>
      </c>
      <c r="D157" s="3" t="s">
        <v>59</v>
      </c>
      <c r="E157" s="3" t="s">
        <v>27</v>
      </c>
      <c r="F157" s="4">
        <v>44715</v>
      </c>
      <c r="G157" s="3" t="s">
        <v>513</v>
      </c>
      <c r="H157" s="3" t="s">
        <v>514</v>
      </c>
      <c r="I157" s="3" t="s">
        <v>65</v>
      </c>
      <c r="J157" s="5">
        <v>33861.018631744599</v>
      </c>
      <c r="K157" s="3">
        <v>115</v>
      </c>
      <c r="L157" s="3" t="s">
        <v>46</v>
      </c>
      <c r="M157" s="4">
        <v>44739</v>
      </c>
      <c r="N157" s="3" t="s">
        <v>40</v>
      </c>
      <c r="O157" s="3" t="s">
        <v>24</v>
      </c>
      <c r="P157" s="3" t="str">
        <f>IF(Table1[[#This Row],[Billing Amount]]&lt;5000,"Low",IF(Table1[[#This Row],[Billing Amount]]&lt;=15000,"Medium","High"))</f>
        <v>High</v>
      </c>
      <c r="Q157" s="3" t="str">
        <f>IF(Table1[[#This Row],[Discharge Date]]="Yes","Discharged","Under Treatment")</f>
        <v>Under Treatment</v>
      </c>
      <c r="R157" s="3" t="str">
        <f>IF(Table1[[#This Row],[Test Results]]&gt;120,"High Risk","Normal")</f>
        <v>High Risk</v>
      </c>
      <c r="S157" s="3" t="str">
        <f>IF(Table1[[#This Row],[Age]]&lt;=18,"0-18",IF(Table1[[#This Row],[Age]]&lt;=35,"19-35",IF(Table1[[#This Row],[Age]]&lt;=50,"36-50",IF(Table1[[#This Row],[Age]]&lt;=65,"51-65","65+"))))</f>
        <v>65+</v>
      </c>
    </row>
    <row r="158" spans="1:19" x14ac:dyDescent="0.3">
      <c r="A158" s="3" t="s">
        <v>515</v>
      </c>
      <c r="B158" s="3">
        <v>65</v>
      </c>
      <c r="C158" s="3" t="s">
        <v>16</v>
      </c>
      <c r="D158" s="3" t="s">
        <v>17</v>
      </c>
      <c r="E158" s="3" t="s">
        <v>54</v>
      </c>
      <c r="F158" s="4">
        <v>43881</v>
      </c>
      <c r="G158" s="3" t="s">
        <v>516</v>
      </c>
      <c r="H158" s="3" t="s">
        <v>517</v>
      </c>
      <c r="I158" s="3" t="s">
        <v>39</v>
      </c>
      <c r="J158" s="5">
        <v>49321.157631491697</v>
      </c>
      <c r="K158" s="3">
        <v>167</v>
      </c>
      <c r="L158" s="3" t="s">
        <v>31</v>
      </c>
      <c r="M158" s="4">
        <v>43891</v>
      </c>
      <c r="N158" s="3" t="s">
        <v>52</v>
      </c>
      <c r="O158" s="3" t="s">
        <v>47</v>
      </c>
      <c r="P158" s="3" t="str">
        <f>IF(Table1[[#This Row],[Billing Amount]]&lt;5000,"Low",IF(Table1[[#This Row],[Billing Amount]]&lt;=15000,"Medium","High"))</f>
        <v>High</v>
      </c>
      <c r="Q158" s="3" t="str">
        <f>IF(Table1[[#This Row],[Discharge Date]]="Yes","Discharged","Under Treatment")</f>
        <v>Under Treatment</v>
      </c>
      <c r="R158" s="3" t="str">
        <f>IF(Table1[[#This Row],[Test Results]]&gt;120,"High Risk","Normal")</f>
        <v>High Risk</v>
      </c>
      <c r="S158" s="3" t="str">
        <f>IF(Table1[[#This Row],[Age]]&lt;=18,"0-18",IF(Table1[[#This Row],[Age]]&lt;=35,"19-35",IF(Table1[[#This Row],[Age]]&lt;=50,"36-50",IF(Table1[[#This Row],[Age]]&lt;=65,"51-65","65+"))))</f>
        <v>51-65</v>
      </c>
    </row>
    <row r="159" spans="1:19" x14ac:dyDescent="0.3">
      <c r="A159" s="3" t="s">
        <v>518</v>
      </c>
      <c r="B159" s="3">
        <v>80</v>
      </c>
      <c r="C159" s="3" t="s">
        <v>16</v>
      </c>
      <c r="D159" s="3" t="s">
        <v>59</v>
      </c>
      <c r="E159" s="3" t="s">
        <v>54</v>
      </c>
      <c r="F159" s="4">
        <v>44232</v>
      </c>
      <c r="G159" s="3" t="s">
        <v>519</v>
      </c>
      <c r="H159" s="3" t="s">
        <v>520</v>
      </c>
      <c r="I159" s="3" t="s">
        <v>65</v>
      </c>
      <c r="J159" s="5">
        <v>47433.278654711103</v>
      </c>
      <c r="K159" s="3">
        <v>179</v>
      </c>
      <c r="L159" s="3" t="s">
        <v>46</v>
      </c>
      <c r="M159" s="4">
        <v>44260</v>
      </c>
      <c r="N159" s="3" t="s">
        <v>52</v>
      </c>
      <c r="O159" s="3" t="s">
        <v>33</v>
      </c>
      <c r="P159" s="3" t="str">
        <f>IF(Table1[[#This Row],[Billing Amount]]&lt;5000,"Low",IF(Table1[[#This Row],[Billing Amount]]&lt;=15000,"Medium","High"))</f>
        <v>High</v>
      </c>
      <c r="Q159" s="3" t="str">
        <f>IF(Table1[[#This Row],[Discharge Date]]="Yes","Discharged","Under Treatment")</f>
        <v>Under Treatment</v>
      </c>
      <c r="R159" s="3" t="str">
        <f>IF(Table1[[#This Row],[Test Results]]&gt;120,"High Risk","Normal")</f>
        <v>High Risk</v>
      </c>
      <c r="S159" s="3" t="str">
        <f>IF(Table1[[#This Row],[Age]]&lt;=18,"0-18",IF(Table1[[#This Row],[Age]]&lt;=35,"19-35",IF(Table1[[#This Row],[Age]]&lt;=50,"36-50",IF(Table1[[#This Row],[Age]]&lt;=65,"51-65","65+"))))</f>
        <v>65+</v>
      </c>
    </row>
    <row r="160" spans="1:19" x14ac:dyDescent="0.3">
      <c r="A160" s="3" t="s">
        <v>521</v>
      </c>
      <c r="B160" s="3">
        <v>85</v>
      </c>
      <c r="C160" s="3" t="s">
        <v>16</v>
      </c>
      <c r="D160" s="3" t="s">
        <v>122</v>
      </c>
      <c r="E160" s="3" t="s">
        <v>18</v>
      </c>
      <c r="F160" s="4">
        <v>45266</v>
      </c>
      <c r="G160" s="3" t="s">
        <v>522</v>
      </c>
      <c r="H160" s="3" t="s">
        <v>523</v>
      </c>
      <c r="I160" s="3" t="s">
        <v>65</v>
      </c>
      <c r="J160" s="5">
        <v>50142.026947853003</v>
      </c>
      <c r="K160" s="3">
        <v>258</v>
      </c>
      <c r="L160" s="3" t="s">
        <v>46</v>
      </c>
      <c r="M160" s="4">
        <v>45279</v>
      </c>
      <c r="N160" s="3" t="s">
        <v>32</v>
      </c>
      <c r="O160" s="3" t="s">
        <v>47</v>
      </c>
      <c r="P160" s="3" t="str">
        <f>IF(Table1[[#This Row],[Billing Amount]]&lt;5000,"Low",IF(Table1[[#This Row],[Billing Amount]]&lt;=15000,"Medium","High"))</f>
        <v>High</v>
      </c>
      <c r="Q160" s="3" t="str">
        <f>IF(Table1[[#This Row],[Discharge Date]]="Yes","Discharged","Under Treatment")</f>
        <v>Under Treatment</v>
      </c>
      <c r="R160" s="3" t="str">
        <f>IF(Table1[[#This Row],[Test Results]]&gt;120,"High Risk","Normal")</f>
        <v>High Risk</v>
      </c>
      <c r="S160" s="3" t="str">
        <f>IF(Table1[[#This Row],[Age]]&lt;=18,"0-18",IF(Table1[[#This Row],[Age]]&lt;=35,"19-35",IF(Table1[[#This Row],[Age]]&lt;=50,"36-50",IF(Table1[[#This Row],[Age]]&lt;=65,"51-65","65+"))))</f>
        <v>65+</v>
      </c>
    </row>
    <row r="161" spans="1:19" x14ac:dyDescent="0.3">
      <c r="A161" s="3" t="s">
        <v>524</v>
      </c>
      <c r="B161" s="3">
        <v>68</v>
      </c>
      <c r="C161" s="3" t="s">
        <v>35</v>
      </c>
      <c r="D161" s="3" t="s">
        <v>42</v>
      </c>
      <c r="E161" s="3" t="s">
        <v>76</v>
      </c>
      <c r="F161" s="4">
        <v>44551</v>
      </c>
      <c r="G161" s="3" t="s">
        <v>525</v>
      </c>
      <c r="H161" s="3" t="s">
        <v>526</v>
      </c>
      <c r="I161" s="3" t="s">
        <v>39</v>
      </c>
      <c r="J161" s="5">
        <v>12081.6790346649</v>
      </c>
      <c r="K161" s="3">
        <v>483</v>
      </c>
      <c r="L161" s="3" t="s">
        <v>22</v>
      </c>
      <c r="M161" s="4">
        <v>44560</v>
      </c>
      <c r="N161" s="3" t="s">
        <v>79</v>
      </c>
      <c r="O161" s="3" t="s">
        <v>47</v>
      </c>
      <c r="P161" s="3" t="str">
        <f>IF(Table1[[#This Row],[Billing Amount]]&lt;5000,"Low",IF(Table1[[#This Row],[Billing Amount]]&lt;=15000,"Medium","High"))</f>
        <v>Medium</v>
      </c>
      <c r="Q161" s="3" t="str">
        <f>IF(Table1[[#This Row],[Discharge Date]]="Yes","Discharged","Under Treatment")</f>
        <v>Under Treatment</v>
      </c>
      <c r="R161" s="3" t="str">
        <f>IF(Table1[[#This Row],[Test Results]]&gt;120,"High Risk","Normal")</f>
        <v>High Risk</v>
      </c>
      <c r="S161" s="3" t="str">
        <f>IF(Table1[[#This Row],[Age]]&lt;=18,"0-18",IF(Table1[[#This Row],[Age]]&lt;=35,"19-35",IF(Table1[[#This Row],[Age]]&lt;=50,"36-50",IF(Table1[[#This Row],[Age]]&lt;=65,"51-65","65+"))))</f>
        <v>65+</v>
      </c>
    </row>
    <row r="162" spans="1:19" x14ac:dyDescent="0.3">
      <c r="A162" s="3" t="s">
        <v>527</v>
      </c>
      <c r="B162" s="3">
        <v>56</v>
      </c>
      <c r="C162" s="3" t="s">
        <v>35</v>
      </c>
      <c r="D162" s="3" t="s">
        <v>36</v>
      </c>
      <c r="E162" s="3" t="s">
        <v>18</v>
      </c>
      <c r="F162" s="4">
        <v>45172</v>
      </c>
      <c r="G162" s="3" t="s">
        <v>528</v>
      </c>
      <c r="H162" s="3" t="s">
        <v>529</v>
      </c>
      <c r="I162" s="3" t="s">
        <v>39</v>
      </c>
      <c r="J162" s="5">
        <v>18030.790780235599</v>
      </c>
      <c r="K162" s="3">
        <v>273</v>
      </c>
      <c r="L162" s="3" t="s">
        <v>46</v>
      </c>
      <c r="M162" s="4">
        <v>45199</v>
      </c>
      <c r="N162" s="3" t="s">
        <v>79</v>
      </c>
      <c r="O162" s="3" t="s">
        <v>33</v>
      </c>
      <c r="P162" s="3" t="str">
        <f>IF(Table1[[#This Row],[Billing Amount]]&lt;5000,"Low",IF(Table1[[#This Row],[Billing Amount]]&lt;=15000,"Medium","High"))</f>
        <v>High</v>
      </c>
      <c r="Q162" s="3" t="str">
        <f>IF(Table1[[#This Row],[Discharge Date]]="Yes","Discharged","Under Treatment")</f>
        <v>Under Treatment</v>
      </c>
      <c r="R162" s="3" t="str">
        <f>IF(Table1[[#This Row],[Test Results]]&gt;120,"High Risk","Normal")</f>
        <v>High Risk</v>
      </c>
      <c r="S162" s="3" t="str">
        <f>IF(Table1[[#This Row],[Age]]&lt;=18,"0-18",IF(Table1[[#This Row],[Age]]&lt;=35,"19-35",IF(Table1[[#This Row],[Age]]&lt;=50,"36-50",IF(Table1[[#This Row],[Age]]&lt;=65,"51-65","65+"))))</f>
        <v>51-65</v>
      </c>
    </row>
    <row r="163" spans="1:19" x14ac:dyDescent="0.3">
      <c r="A163" s="3" t="s">
        <v>530</v>
      </c>
      <c r="B163" s="3">
        <v>53</v>
      </c>
      <c r="C163" s="3" t="s">
        <v>35</v>
      </c>
      <c r="D163" s="3" t="s">
        <v>122</v>
      </c>
      <c r="E163" s="3" t="s">
        <v>54</v>
      </c>
      <c r="F163" s="4">
        <v>44122</v>
      </c>
      <c r="G163" s="3" t="s">
        <v>531</v>
      </c>
      <c r="H163" s="3" t="s">
        <v>532</v>
      </c>
      <c r="I163" s="3" t="s">
        <v>30</v>
      </c>
      <c r="J163" s="5">
        <v>5142.1637634746803</v>
      </c>
      <c r="K163" s="3">
        <v>120</v>
      </c>
      <c r="L163" s="3" t="s">
        <v>46</v>
      </c>
      <c r="M163" s="4">
        <v>44145</v>
      </c>
      <c r="N163" s="3" t="s">
        <v>23</v>
      </c>
      <c r="O163" s="3" t="s">
        <v>47</v>
      </c>
      <c r="P163" s="3" t="str">
        <f>IF(Table1[[#This Row],[Billing Amount]]&lt;5000,"Low",IF(Table1[[#This Row],[Billing Amount]]&lt;=15000,"Medium","High"))</f>
        <v>Medium</v>
      </c>
      <c r="Q163" s="3" t="str">
        <f>IF(Table1[[#This Row],[Discharge Date]]="Yes","Discharged","Under Treatment")</f>
        <v>Under Treatment</v>
      </c>
      <c r="R163" s="3" t="str">
        <f>IF(Table1[[#This Row],[Test Results]]&gt;120,"High Risk","Normal")</f>
        <v>High Risk</v>
      </c>
      <c r="S163" s="3" t="str">
        <f>IF(Table1[[#This Row],[Age]]&lt;=18,"0-18",IF(Table1[[#This Row],[Age]]&lt;=35,"19-35",IF(Table1[[#This Row],[Age]]&lt;=50,"36-50",IF(Table1[[#This Row],[Age]]&lt;=65,"51-65","65+"))))</f>
        <v>51-65</v>
      </c>
    </row>
    <row r="164" spans="1:19" x14ac:dyDescent="0.3">
      <c r="A164" s="3" t="s">
        <v>533</v>
      </c>
      <c r="B164" s="3">
        <v>57</v>
      </c>
      <c r="C164" s="3" t="s">
        <v>35</v>
      </c>
      <c r="D164" s="3" t="s">
        <v>42</v>
      </c>
      <c r="E164" s="3" t="s">
        <v>76</v>
      </c>
      <c r="F164" s="4">
        <v>45166</v>
      </c>
      <c r="G164" s="3" t="s">
        <v>534</v>
      </c>
      <c r="H164" s="3" t="s">
        <v>535</v>
      </c>
      <c r="I164" s="3" t="s">
        <v>65</v>
      </c>
      <c r="J164" s="5">
        <v>20545.8717628298</v>
      </c>
      <c r="K164" s="3">
        <v>198</v>
      </c>
      <c r="L164" s="3" t="s">
        <v>22</v>
      </c>
      <c r="M164" s="4">
        <v>45185</v>
      </c>
      <c r="N164" s="3" t="s">
        <v>52</v>
      </c>
      <c r="O164" s="3" t="s">
        <v>47</v>
      </c>
      <c r="P164" s="3" t="str">
        <f>IF(Table1[[#This Row],[Billing Amount]]&lt;5000,"Low",IF(Table1[[#This Row],[Billing Amount]]&lt;=15000,"Medium","High"))</f>
        <v>High</v>
      </c>
      <c r="Q164" s="3" t="str">
        <f>IF(Table1[[#This Row],[Discharge Date]]="Yes","Discharged","Under Treatment")</f>
        <v>Under Treatment</v>
      </c>
      <c r="R164" s="3" t="str">
        <f>IF(Table1[[#This Row],[Test Results]]&gt;120,"High Risk","Normal")</f>
        <v>High Risk</v>
      </c>
      <c r="S164" s="3" t="str">
        <f>IF(Table1[[#This Row],[Age]]&lt;=18,"0-18",IF(Table1[[#This Row],[Age]]&lt;=35,"19-35",IF(Table1[[#This Row],[Age]]&lt;=50,"36-50",IF(Table1[[#This Row],[Age]]&lt;=65,"51-65","65+"))))</f>
        <v>51-65</v>
      </c>
    </row>
    <row r="165" spans="1:19" x14ac:dyDescent="0.3">
      <c r="A165" s="3" t="s">
        <v>536</v>
      </c>
      <c r="B165" s="3">
        <v>36</v>
      </c>
      <c r="C165" s="3" t="s">
        <v>16</v>
      </c>
      <c r="D165" s="3" t="s">
        <v>42</v>
      </c>
      <c r="E165" s="3" t="s">
        <v>93</v>
      </c>
      <c r="F165" s="4">
        <v>43786</v>
      </c>
      <c r="G165" s="3" t="s">
        <v>537</v>
      </c>
      <c r="H165" s="3" t="s">
        <v>538</v>
      </c>
      <c r="I165" s="3" t="s">
        <v>65</v>
      </c>
      <c r="J165" s="5">
        <v>36869.725739039801</v>
      </c>
      <c r="K165" s="3">
        <v>368</v>
      </c>
      <c r="L165" s="3" t="s">
        <v>22</v>
      </c>
      <c r="M165" s="4">
        <v>43800</v>
      </c>
      <c r="N165" s="3" t="s">
        <v>52</v>
      </c>
      <c r="O165" s="3" t="s">
        <v>24</v>
      </c>
      <c r="P165" s="3" t="str">
        <f>IF(Table1[[#This Row],[Billing Amount]]&lt;5000,"Low",IF(Table1[[#This Row],[Billing Amount]]&lt;=15000,"Medium","High"))</f>
        <v>High</v>
      </c>
      <c r="Q165" s="3" t="str">
        <f>IF(Table1[[#This Row],[Discharge Date]]="Yes","Discharged","Under Treatment")</f>
        <v>Under Treatment</v>
      </c>
      <c r="R165" s="3" t="str">
        <f>IF(Table1[[#This Row],[Test Results]]&gt;120,"High Risk","Normal")</f>
        <v>High Risk</v>
      </c>
      <c r="S165" s="3" t="str">
        <f>IF(Table1[[#This Row],[Age]]&lt;=18,"0-18",IF(Table1[[#This Row],[Age]]&lt;=35,"19-35",IF(Table1[[#This Row],[Age]]&lt;=50,"36-50",IF(Table1[[#This Row],[Age]]&lt;=65,"51-65","65+"))))</f>
        <v>36-50</v>
      </c>
    </row>
    <row r="166" spans="1:19" x14ac:dyDescent="0.3">
      <c r="A166" s="3" t="s">
        <v>539</v>
      </c>
      <c r="B166" s="3">
        <v>20</v>
      </c>
      <c r="C166" s="3" t="s">
        <v>35</v>
      </c>
      <c r="D166" s="3" t="s">
        <v>103</v>
      </c>
      <c r="E166" s="3" t="s">
        <v>18</v>
      </c>
      <c r="F166" s="4">
        <v>44157</v>
      </c>
      <c r="G166" s="3" t="s">
        <v>540</v>
      </c>
      <c r="H166" s="3" t="s">
        <v>541</v>
      </c>
      <c r="I166" s="3" t="s">
        <v>65</v>
      </c>
      <c r="J166" s="5">
        <v>40598.422570878603</v>
      </c>
      <c r="K166" s="3">
        <v>113</v>
      </c>
      <c r="L166" s="3" t="s">
        <v>46</v>
      </c>
      <c r="M166" s="4">
        <v>44182</v>
      </c>
      <c r="N166" s="3" t="s">
        <v>23</v>
      </c>
      <c r="O166" s="3" t="s">
        <v>24</v>
      </c>
      <c r="P166" s="3" t="str">
        <f>IF(Table1[[#This Row],[Billing Amount]]&lt;5000,"Low",IF(Table1[[#This Row],[Billing Amount]]&lt;=15000,"Medium","High"))</f>
        <v>High</v>
      </c>
      <c r="Q166" s="3" t="str">
        <f>IF(Table1[[#This Row],[Discharge Date]]="Yes","Discharged","Under Treatment")</f>
        <v>Under Treatment</v>
      </c>
      <c r="R166" s="3" t="str">
        <f>IF(Table1[[#This Row],[Test Results]]&gt;120,"High Risk","Normal")</f>
        <v>High Risk</v>
      </c>
      <c r="S166" s="3" t="str">
        <f>IF(Table1[[#This Row],[Age]]&lt;=18,"0-18",IF(Table1[[#This Row],[Age]]&lt;=35,"19-35",IF(Table1[[#This Row],[Age]]&lt;=50,"36-50",IF(Table1[[#This Row],[Age]]&lt;=65,"51-65","65+"))))</f>
        <v>19-35</v>
      </c>
    </row>
    <row r="167" spans="1:19" x14ac:dyDescent="0.3">
      <c r="A167" s="3" t="s">
        <v>542</v>
      </c>
      <c r="B167" s="3">
        <v>79</v>
      </c>
      <c r="C167" s="3" t="s">
        <v>16</v>
      </c>
      <c r="D167" s="3" t="s">
        <v>103</v>
      </c>
      <c r="E167" s="3" t="s">
        <v>27</v>
      </c>
      <c r="F167" s="4">
        <v>44605</v>
      </c>
      <c r="G167" s="3" t="s">
        <v>543</v>
      </c>
      <c r="H167" s="3" t="s">
        <v>544</v>
      </c>
      <c r="I167" s="3" t="s">
        <v>21</v>
      </c>
      <c r="J167" s="5">
        <v>4920.0411890886999</v>
      </c>
      <c r="K167" s="3">
        <v>278</v>
      </c>
      <c r="L167" s="3" t="s">
        <v>46</v>
      </c>
      <c r="M167" s="4">
        <v>44612</v>
      </c>
      <c r="N167" s="3" t="s">
        <v>23</v>
      </c>
      <c r="O167" s="3" t="s">
        <v>24</v>
      </c>
      <c r="P167" s="3" t="str">
        <f>IF(Table1[[#This Row],[Billing Amount]]&lt;5000,"Low",IF(Table1[[#This Row],[Billing Amount]]&lt;=15000,"Medium","High"))</f>
        <v>Low</v>
      </c>
      <c r="Q167" s="3" t="str">
        <f>IF(Table1[[#This Row],[Discharge Date]]="Yes","Discharged","Under Treatment")</f>
        <v>Under Treatment</v>
      </c>
      <c r="R167" s="3" t="str">
        <f>IF(Table1[[#This Row],[Test Results]]&gt;120,"High Risk","Normal")</f>
        <v>High Risk</v>
      </c>
      <c r="S167" s="3" t="str">
        <f>IF(Table1[[#This Row],[Age]]&lt;=18,"0-18",IF(Table1[[#This Row],[Age]]&lt;=35,"19-35",IF(Table1[[#This Row],[Age]]&lt;=50,"36-50",IF(Table1[[#This Row],[Age]]&lt;=65,"51-65","65+"))))</f>
        <v>65+</v>
      </c>
    </row>
    <row r="168" spans="1:19" x14ac:dyDescent="0.3">
      <c r="A168" s="3" t="s">
        <v>545</v>
      </c>
      <c r="B168" s="3">
        <v>62</v>
      </c>
      <c r="C168" s="3" t="s">
        <v>16</v>
      </c>
      <c r="D168" s="3" t="s">
        <v>42</v>
      </c>
      <c r="E168" s="3" t="s">
        <v>43</v>
      </c>
      <c r="F168" s="4">
        <v>43601</v>
      </c>
      <c r="G168" s="3" t="s">
        <v>546</v>
      </c>
      <c r="H168" s="3" t="s">
        <v>547</v>
      </c>
      <c r="I168" s="3" t="s">
        <v>57</v>
      </c>
      <c r="J168" s="5">
        <v>3864.1394988716302</v>
      </c>
      <c r="K168" s="3">
        <v>103</v>
      </c>
      <c r="L168" s="3" t="s">
        <v>22</v>
      </c>
      <c r="M168" s="4">
        <v>43616</v>
      </c>
      <c r="N168" s="3" t="s">
        <v>40</v>
      </c>
      <c r="O168" s="3" t="s">
        <v>33</v>
      </c>
      <c r="P168" s="3" t="str">
        <f>IF(Table1[[#This Row],[Billing Amount]]&lt;5000,"Low",IF(Table1[[#This Row],[Billing Amount]]&lt;=15000,"Medium","High"))</f>
        <v>Low</v>
      </c>
      <c r="Q168" s="3" t="str">
        <f>IF(Table1[[#This Row],[Discharge Date]]="Yes","Discharged","Under Treatment")</f>
        <v>Under Treatment</v>
      </c>
      <c r="R168" s="3" t="str">
        <f>IF(Table1[[#This Row],[Test Results]]&gt;120,"High Risk","Normal")</f>
        <v>High Risk</v>
      </c>
      <c r="S168" s="3" t="str">
        <f>IF(Table1[[#This Row],[Age]]&lt;=18,"0-18",IF(Table1[[#This Row],[Age]]&lt;=35,"19-35",IF(Table1[[#This Row],[Age]]&lt;=50,"36-50",IF(Table1[[#This Row],[Age]]&lt;=65,"51-65","65+"))))</f>
        <v>51-65</v>
      </c>
    </row>
    <row r="169" spans="1:19" x14ac:dyDescent="0.3">
      <c r="A169" s="3" t="s">
        <v>548</v>
      </c>
      <c r="B169" s="3">
        <v>38</v>
      </c>
      <c r="C169" s="3" t="s">
        <v>16</v>
      </c>
      <c r="D169" s="3" t="s">
        <v>49</v>
      </c>
      <c r="E169" s="3" t="s">
        <v>54</v>
      </c>
      <c r="F169" s="4">
        <v>44412</v>
      </c>
      <c r="G169" s="3" t="s">
        <v>549</v>
      </c>
      <c r="H169" s="3" t="s">
        <v>550</v>
      </c>
      <c r="I169" s="3" t="s">
        <v>21</v>
      </c>
      <c r="J169" s="5">
        <v>21562.8610510203</v>
      </c>
      <c r="K169" s="3">
        <v>400</v>
      </c>
      <c r="L169" s="3" t="s">
        <v>22</v>
      </c>
      <c r="M169" s="4">
        <v>44434</v>
      </c>
      <c r="N169" s="3" t="s">
        <v>23</v>
      </c>
      <c r="O169" s="3" t="s">
        <v>24</v>
      </c>
      <c r="P169" s="3" t="str">
        <f>IF(Table1[[#This Row],[Billing Amount]]&lt;5000,"Low",IF(Table1[[#This Row],[Billing Amount]]&lt;=15000,"Medium","High"))</f>
        <v>High</v>
      </c>
      <c r="Q169" s="3" t="str">
        <f>IF(Table1[[#This Row],[Discharge Date]]="Yes","Discharged","Under Treatment")</f>
        <v>Under Treatment</v>
      </c>
      <c r="R169" s="3" t="str">
        <f>IF(Table1[[#This Row],[Test Results]]&gt;120,"High Risk","Normal")</f>
        <v>High Risk</v>
      </c>
      <c r="S169" s="3" t="str">
        <f>IF(Table1[[#This Row],[Age]]&lt;=18,"0-18",IF(Table1[[#This Row],[Age]]&lt;=35,"19-35",IF(Table1[[#This Row],[Age]]&lt;=50,"36-50",IF(Table1[[#This Row],[Age]]&lt;=65,"51-65","65+"))))</f>
        <v>36-50</v>
      </c>
    </row>
    <row r="170" spans="1:19" x14ac:dyDescent="0.3">
      <c r="A170" s="3" t="s">
        <v>551</v>
      </c>
      <c r="B170" s="3">
        <v>75</v>
      </c>
      <c r="C170" s="3" t="s">
        <v>35</v>
      </c>
      <c r="D170" s="3" t="s">
        <v>17</v>
      </c>
      <c r="E170" s="3" t="s">
        <v>18</v>
      </c>
      <c r="F170" s="4">
        <v>43833</v>
      </c>
      <c r="G170" s="3" t="s">
        <v>552</v>
      </c>
      <c r="H170" s="3" t="s">
        <v>553</v>
      </c>
      <c r="I170" s="3" t="s">
        <v>30</v>
      </c>
      <c r="J170" s="5">
        <v>11815.202741487599</v>
      </c>
      <c r="K170" s="3">
        <v>401</v>
      </c>
      <c r="L170" s="3" t="s">
        <v>46</v>
      </c>
      <c r="M170" s="4">
        <v>43857</v>
      </c>
      <c r="N170" s="3" t="s">
        <v>32</v>
      </c>
      <c r="O170" s="3" t="s">
        <v>47</v>
      </c>
      <c r="P170" s="3" t="str">
        <f>IF(Table1[[#This Row],[Billing Amount]]&lt;5000,"Low",IF(Table1[[#This Row],[Billing Amount]]&lt;=15000,"Medium","High"))</f>
        <v>Medium</v>
      </c>
      <c r="Q170" s="3" t="str">
        <f>IF(Table1[[#This Row],[Discharge Date]]="Yes","Discharged","Under Treatment")</f>
        <v>Under Treatment</v>
      </c>
      <c r="R170" s="3" t="str">
        <f>IF(Table1[[#This Row],[Test Results]]&gt;120,"High Risk","Normal")</f>
        <v>High Risk</v>
      </c>
      <c r="S170" s="3" t="str">
        <f>IF(Table1[[#This Row],[Age]]&lt;=18,"0-18",IF(Table1[[#This Row],[Age]]&lt;=35,"19-35",IF(Table1[[#This Row],[Age]]&lt;=50,"36-50",IF(Table1[[#This Row],[Age]]&lt;=65,"51-65","65+"))))</f>
        <v>65+</v>
      </c>
    </row>
    <row r="171" spans="1:19" x14ac:dyDescent="0.3">
      <c r="A171" s="3" t="s">
        <v>554</v>
      </c>
      <c r="B171" s="3">
        <v>28</v>
      </c>
      <c r="C171" s="3" t="s">
        <v>16</v>
      </c>
      <c r="D171" s="3" t="s">
        <v>26</v>
      </c>
      <c r="E171" s="3" t="s">
        <v>76</v>
      </c>
      <c r="F171" s="4">
        <v>44817</v>
      </c>
      <c r="G171" s="3" t="s">
        <v>555</v>
      </c>
      <c r="H171" s="3" t="s">
        <v>556</v>
      </c>
      <c r="I171" s="3" t="s">
        <v>65</v>
      </c>
      <c r="J171" s="5">
        <v>25796.869669293399</v>
      </c>
      <c r="K171" s="3">
        <v>258</v>
      </c>
      <c r="L171" s="3" t="s">
        <v>22</v>
      </c>
      <c r="M171" s="4">
        <v>44841</v>
      </c>
      <c r="N171" s="3" t="s">
        <v>79</v>
      </c>
      <c r="O171" s="3" t="s">
        <v>47</v>
      </c>
      <c r="P171" s="3" t="str">
        <f>IF(Table1[[#This Row],[Billing Amount]]&lt;5000,"Low",IF(Table1[[#This Row],[Billing Amount]]&lt;=15000,"Medium","High"))</f>
        <v>High</v>
      </c>
      <c r="Q171" s="3" t="str">
        <f>IF(Table1[[#This Row],[Discharge Date]]="Yes","Discharged","Under Treatment")</f>
        <v>Under Treatment</v>
      </c>
      <c r="R171" s="3" t="str">
        <f>IF(Table1[[#This Row],[Test Results]]&gt;120,"High Risk","Normal")</f>
        <v>High Risk</v>
      </c>
      <c r="S171" s="3" t="str">
        <f>IF(Table1[[#This Row],[Age]]&lt;=18,"0-18",IF(Table1[[#This Row],[Age]]&lt;=35,"19-35",IF(Table1[[#This Row],[Age]]&lt;=50,"36-50",IF(Table1[[#This Row],[Age]]&lt;=65,"51-65","65+"))))</f>
        <v>19-35</v>
      </c>
    </row>
    <row r="172" spans="1:19" x14ac:dyDescent="0.3">
      <c r="A172" s="3" t="s">
        <v>557</v>
      </c>
      <c r="B172" s="3">
        <v>36</v>
      </c>
      <c r="C172" s="3" t="s">
        <v>16</v>
      </c>
      <c r="D172" s="3" t="s">
        <v>122</v>
      </c>
      <c r="E172" s="3" t="s">
        <v>76</v>
      </c>
      <c r="F172" s="4">
        <v>44184</v>
      </c>
      <c r="G172" s="3" t="s">
        <v>558</v>
      </c>
      <c r="H172" s="3" t="s">
        <v>559</v>
      </c>
      <c r="I172" s="3" t="s">
        <v>57</v>
      </c>
      <c r="J172" s="5">
        <v>4266.7843071875204</v>
      </c>
      <c r="K172" s="3">
        <v>268</v>
      </c>
      <c r="L172" s="3" t="s">
        <v>31</v>
      </c>
      <c r="M172" s="4">
        <v>44205</v>
      </c>
      <c r="N172" s="3" t="s">
        <v>79</v>
      </c>
      <c r="O172" s="3" t="s">
        <v>24</v>
      </c>
      <c r="P172" s="3" t="str">
        <f>IF(Table1[[#This Row],[Billing Amount]]&lt;5000,"Low",IF(Table1[[#This Row],[Billing Amount]]&lt;=15000,"Medium","High"))</f>
        <v>Low</v>
      </c>
      <c r="Q172" s="3" t="str">
        <f>IF(Table1[[#This Row],[Discharge Date]]="Yes","Discharged","Under Treatment")</f>
        <v>Under Treatment</v>
      </c>
      <c r="R172" s="3" t="str">
        <f>IF(Table1[[#This Row],[Test Results]]&gt;120,"High Risk","Normal")</f>
        <v>High Risk</v>
      </c>
      <c r="S172" s="3" t="str">
        <f>IF(Table1[[#This Row],[Age]]&lt;=18,"0-18",IF(Table1[[#This Row],[Age]]&lt;=35,"19-35",IF(Table1[[#This Row],[Age]]&lt;=50,"36-50",IF(Table1[[#This Row],[Age]]&lt;=65,"51-65","65+"))))</f>
        <v>36-50</v>
      </c>
    </row>
    <row r="173" spans="1:19" x14ac:dyDescent="0.3">
      <c r="A173" s="3" t="s">
        <v>560</v>
      </c>
      <c r="B173" s="3">
        <v>54</v>
      </c>
      <c r="C173" s="3" t="s">
        <v>16</v>
      </c>
      <c r="D173" s="3" t="s">
        <v>49</v>
      </c>
      <c r="E173" s="3" t="s">
        <v>27</v>
      </c>
      <c r="F173" s="4">
        <v>45016</v>
      </c>
      <c r="G173" s="3" t="s">
        <v>561</v>
      </c>
      <c r="H173" s="3" t="s">
        <v>562</v>
      </c>
      <c r="I173" s="3" t="s">
        <v>65</v>
      </c>
      <c r="J173" s="5">
        <v>4751.1627410323799</v>
      </c>
      <c r="K173" s="3">
        <v>192</v>
      </c>
      <c r="L173" s="3" t="s">
        <v>22</v>
      </c>
      <c r="M173" s="4">
        <v>45045</v>
      </c>
      <c r="N173" s="3" t="s">
        <v>52</v>
      </c>
      <c r="O173" s="3" t="s">
        <v>33</v>
      </c>
      <c r="P173" s="3" t="str">
        <f>IF(Table1[[#This Row],[Billing Amount]]&lt;5000,"Low",IF(Table1[[#This Row],[Billing Amount]]&lt;=15000,"Medium","High"))</f>
        <v>Low</v>
      </c>
      <c r="Q173" s="3" t="str">
        <f>IF(Table1[[#This Row],[Discharge Date]]="Yes","Discharged","Under Treatment")</f>
        <v>Under Treatment</v>
      </c>
      <c r="R173" s="3" t="str">
        <f>IF(Table1[[#This Row],[Test Results]]&gt;120,"High Risk","Normal")</f>
        <v>High Risk</v>
      </c>
      <c r="S173" s="3" t="str">
        <f>IF(Table1[[#This Row],[Age]]&lt;=18,"0-18",IF(Table1[[#This Row],[Age]]&lt;=35,"19-35",IF(Table1[[#This Row],[Age]]&lt;=50,"36-50",IF(Table1[[#This Row],[Age]]&lt;=65,"51-65","65+"))))</f>
        <v>51-65</v>
      </c>
    </row>
    <row r="174" spans="1:19" x14ac:dyDescent="0.3">
      <c r="A174" s="3" t="s">
        <v>563</v>
      </c>
      <c r="B174" s="3">
        <v>56</v>
      </c>
      <c r="C174" s="3" t="s">
        <v>35</v>
      </c>
      <c r="D174" s="3" t="s">
        <v>49</v>
      </c>
      <c r="E174" s="3" t="s">
        <v>27</v>
      </c>
      <c r="F174" s="4">
        <v>45138</v>
      </c>
      <c r="G174" s="3" t="s">
        <v>564</v>
      </c>
      <c r="H174" s="3" t="s">
        <v>565</v>
      </c>
      <c r="I174" s="3" t="s">
        <v>65</v>
      </c>
      <c r="J174" s="5">
        <v>11311.3273479975</v>
      </c>
      <c r="K174" s="3">
        <v>302</v>
      </c>
      <c r="L174" s="3" t="s">
        <v>22</v>
      </c>
      <c r="M174" s="4">
        <v>45140</v>
      </c>
      <c r="N174" s="3" t="s">
        <v>79</v>
      </c>
      <c r="O174" s="3" t="s">
        <v>24</v>
      </c>
      <c r="P174" s="3" t="str">
        <f>IF(Table1[[#This Row],[Billing Amount]]&lt;5000,"Low",IF(Table1[[#This Row],[Billing Amount]]&lt;=15000,"Medium","High"))</f>
        <v>Medium</v>
      </c>
      <c r="Q174" s="3" t="str">
        <f>IF(Table1[[#This Row],[Discharge Date]]="Yes","Discharged","Under Treatment")</f>
        <v>Under Treatment</v>
      </c>
      <c r="R174" s="3" t="str">
        <f>IF(Table1[[#This Row],[Test Results]]&gt;120,"High Risk","Normal")</f>
        <v>High Risk</v>
      </c>
      <c r="S174" s="3" t="str">
        <f>IF(Table1[[#This Row],[Age]]&lt;=18,"0-18",IF(Table1[[#This Row],[Age]]&lt;=35,"19-35",IF(Table1[[#This Row],[Age]]&lt;=50,"36-50",IF(Table1[[#This Row],[Age]]&lt;=65,"51-65","65+"))))</f>
        <v>51-65</v>
      </c>
    </row>
    <row r="175" spans="1:19" x14ac:dyDescent="0.3">
      <c r="A175" s="3" t="s">
        <v>566</v>
      </c>
      <c r="B175" s="3">
        <v>64</v>
      </c>
      <c r="C175" s="3" t="s">
        <v>35</v>
      </c>
      <c r="D175" s="3" t="s">
        <v>36</v>
      </c>
      <c r="E175" s="3" t="s">
        <v>43</v>
      </c>
      <c r="F175" s="4">
        <v>45276</v>
      </c>
      <c r="G175" s="3" t="s">
        <v>567</v>
      </c>
      <c r="H175" s="3" t="s">
        <v>568</v>
      </c>
      <c r="I175" s="3" t="s">
        <v>65</v>
      </c>
      <c r="J175" s="5">
        <v>17670.5052173935</v>
      </c>
      <c r="K175" s="3">
        <v>128</v>
      </c>
      <c r="L175" s="3" t="s">
        <v>46</v>
      </c>
      <c r="M175" s="4">
        <v>45306</v>
      </c>
      <c r="N175" s="3" t="s">
        <v>23</v>
      </c>
      <c r="O175" s="3" t="s">
        <v>33</v>
      </c>
      <c r="P175" s="3" t="str">
        <f>IF(Table1[[#This Row],[Billing Amount]]&lt;5000,"Low",IF(Table1[[#This Row],[Billing Amount]]&lt;=15000,"Medium","High"))</f>
        <v>High</v>
      </c>
      <c r="Q175" s="3" t="str">
        <f>IF(Table1[[#This Row],[Discharge Date]]="Yes","Discharged","Under Treatment")</f>
        <v>Under Treatment</v>
      </c>
      <c r="R175" s="3" t="str">
        <f>IF(Table1[[#This Row],[Test Results]]&gt;120,"High Risk","Normal")</f>
        <v>High Risk</v>
      </c>
      <c r="S175" s="3" t="str">
        <f>IF(Table1[[#This Row],[Age]]&lt;=18,"0-18",IF(Table1[[#This Row],[Age]]&lt;=35,"19-35",IF(Table1[[#This Row],[Age]]&lt;=50,"36-50",IF(Table1[[#This Row],[Age]]&lt;=65,"51-65","65+"))))</f>
        <v>51-65</v>
      </c>
    </row>
    <row r="176" spans="1:19" x14ac:dyDescent="0.3">
      <c r="A176" s="3" t="s">
        <v>569</v>
      </c>
      <c r="B176" s="3">
        <v>76</v>
      </c>
      <c r="C176" s="3" t="s">
        <v>16</v>
      </c>
      <c r="D176" s="3" t="s">
        <v>26</v>
      </c>
      <c r="E176" s="3" t="s">
        <v>27</v>
      </c>
      <c r="F176" s="4">
        <v>44170</v>
      </c>
      <c r="G176" s="3" t="s">
        <v>570</v>
      </c>
      <c r="H176" s="3" t="s">
        <v>571</v>
      </c>
      <c r="I176" s="3" t="s">
        <v>30</v>
      </c>
      <c r="J176" s="5">
        <v>5714.7480179146596</v>
      </c>
      <c r="K176" s="3">
        <v>238</v>
      </c>
      <c r="L176" s="3" t="s">
        <v>46</v>
      </c>
      <c r="M176" s="4">
        <v>44183</v>
      </c>
      <c r="N176" s="3" t="s">
        <v>79</v>
      </c>
      <c r="O176" s="3" t="s">
        <v>47</v>
      </c>
      <c r="P176" s="3" t="str">
        <f>IF(Table1[[#This Row],[Billing Amount]]&lt;5000,"Low",IF(Table1[[#This Row],[Billing Amount]]&lt;=15000,"Medium","High"))</f>
        <v>Medium</v>
      </c>
      <c r="Q176" s="3" t="str">
        <f>IF(Table1[[#This Row],[Discharge Date]]="Yes","Discharged","Under Treatment")</f>
        <v>Under Treatment</v>
      </c>
      <c r="R176" s="3" t="str">
        <f>IF(Table1[[#This Row],[Test Results]]&gt;120,"High Risk","Normal")</f>
        <v>High Risk</v>
      </c>
      <c r="S176" s="3" t="str">
        <f>IF(Table1[[#This Row],[Age]]&lt;=18,"0-18",IF(Table1[[#This Row],[Age]]&lt;=35,"19-35",IF(Table1[[#This Row],[Age]]&lt;=50,"36-50",IF(Table1[[#This Row],[Age]]&lt;=65,"51-65","65+"))))</f>
        <v>65+</v>
      </c>
    </row>
    <row r="177" spans="1:19" x14ac:dyDescent="0.3">
      <c r="A177" s="3" t="s">
        <v>572</v>
      </c>
      <c r="B177" s="3">
        <v>21</v>
      </c>
      <c r="C177" s="3" t="s">
        <v>35</v>
      </c>
      <c r="D177" s="3" t="s">
        <v>49</v>
      </c>
      <c r="E177" s="3" t="s">
        <v>43</v>
      </c>
      <c r="F177" s="4">
        <v>44511</v>
      </c>
      <c r="G177" s="3" t="s">
        <v>573</v>
      </c>
      <c r="H177" s="3" t="s">
        <v>574</v>
      </c>
      <c r="I177" s="3" t="s">
        <v>65</v>
      </c>
      <c r="J177" s="5">
        <v>5985.9784872401897</v>
      </c>
      <c r="K177" s="3">
        <v>136</v>
      </c>
      <c r="L177" s="3" t="s">
        <v>22</v>
      </c>
      <c r="M177" s="4">
        <v>44534</v>
      </c>
      <c r="N177" s="3" t="s">
        <v>52</v>
      </c>
      <c r="O177" s="3" t="s">
        <v>24</v>
      </c>
      <c r="P177" s="3" t="str">
        <f>IF(Table1[[#This Row],[Billing Amount]]&lt;5000,"Low",IF(Table1[[#This Row],[Billing Amount]]&lt;=15000,"Medium","High"))</f>
        <v>Medium</v>
      </c>
      <c r="Q177" s="3" t="str">
        <f>IF(Table1[[#This Row],[Discharge Date]]="Yes","Discharged","Under Treatment")</f>
        <v>Under Treatment</v>
      </c>
      <c r="R177" s="3" t="str">
        <f>IF(Table1[[#This Row],[Test Results]]&gt;120,"High Risk","Normal")</f>
        <v>High Risk</v>
      </c>
      <c r="S177" s="3" t="str">
        <f>IF(Table1[[#This Row],[Age]]&lt;=18,"0-18",IF(Table1[[#This Row],[Age]]&lt;=35,"19-35",IF(Table1[[#This Row],[Age]]&lt;=50,"36-50",IF(Table1[[#This Row],[Age]]&lt;=65,"51-65","65+"))))</f>
        <v>19-35</v>
      </c>
    </row>
    <row r="178" spans="1:19" x14ac:dyDescent="0.3">
      <c r="A178" s="3" t="s">
        <v>575</v>
      </c>
      <c r="B178" s="3">
        <v>59</v>
      </c>
      <c r="C178" s="3" t="s">
        <v>35</v>
      </c>
      <c r="D178" s="3" t="s">
        <v>42</v>
      </c>
      <c r="E178" s="3" t="s">
        <v>27</v>
      </c>
      <c r="F178" s="4">
        <v>43719</v>
      </c>
      <c r="G178" s="3" t="s">
        <v>576</v>
      </c>
      <c r="H178" s="3" t="s">
        <v>577</v>
      </c>
      <c r="I178" s="3" t="s">
        <v>21</v>
      </c>
      <c r="J178" s="5">
        <v>27385.736227988102</v>
      </c>
      <c r="K178" s="3">
        <v>427</v>
      </c>
      <c r="L178" s="3" t="s">
        <v>31</v>
      </c>
      <c r="M178" s="4">
        <v>43723</v>
      </c>
      <c r="N178" s="3" t="s">
        <v>52</v>
      </c>
      <c r="O178" s="3" t="s">
        <v>33</v>
      </c>
      <c r="P178" s="3" t="str">
        <f>IF(Table1[[#This Row],[Billing Amount]]&lt;5000,"Low",IF(Table1[[#This Row],[Billing Amount]]&lt;=15000,"Medium","High"))</f>
        <v>High</v>
      </c>
      <c r="Q178" s="3" t="str">
        <f>IF(Table1[[#This Row],[Discharge Date]]="Yes","Discharged","Under Treatment")</f>
        <v>Under Treatment</v>
      </c>
      <c r="R178" s="3" t="str">
        <f>IF(Table1[[#This Row],[Test Results]]&gt;120,"High Risk","Normal")</f>
        <v>High Risk</v>
      </c>
      <c r="S178" s="3" t="str">
        <f>IF(Table1[[#This Row],[Age]]&lt;=18,"0-18",IF(Table1[[#This Row],[Age]]&lt;=35,"19-35",IF(Table1[[#This Row],[Age]]&lt;=50,"36-50",IF(Table1[[#This Row],[Age]]&lt;=65,"51-65","65+"))))</f>
        <v>51-65</v>
      </c>
    </row>
    <row r="179" spans="1:19" x14ac:dyDescent="0.3">
      <c r="A179" s="3" t="s">
        <v>578</v>
      </c>
      <c r="B179" s="3">
        <v>31</v>
      </c>
      <c r="C179" s="3" t="s">
        <v>35</v>
      </c>
      <c r="D179" s="3" t="s">
        <v>36</v>
      </c>
      <c r="E179" s="3" t="s">
        <v>43</v>
      </c>
      <c r="F179" s="4">
        <v>44180</v>
      </c>
      <c r="G179" s="3" t="s">
        <v>579</v>
      </c>
      <c r="H179" s="3" t="s">
        <v>580</v>
      </c>
      <c r="I179" s="3" t="s">
        <v>57</v>
      </c>
      <c r="J179" s="5">
        <v>3730.00219089662</v>
      </c>
      <c r="K179" s="3">
        <v>218</v>
      </c>
      <c r="L179" s="3" t="s">
        <v>22</v>
      </c>
      <c r="M179" s="4">
        <v>44197</v>
      </c>
      <c r="N179" s="3" t="s">
        <v>32</v>
      </c>
      <c r="O179" s="3" t="s">
        <v>47</v>
      </c>
      <c r="P179" s="3" t="str">
        <f>IF(Table1[[#This Row],[Billing Amount]]&lt;5000,"Low",IF(Table1[[#This Row],[Billing Amount]]&lt;=15000,"Medium","High"))</f>
        <v>Low</v>
      </c>
      <c r="Q179" s="3" t="str">
        <f>IF(Table1[[#This Row],[Discharge Date]]="Yes","Discharged","Under Treatment")</f>
        <v>Under Treatment</v>
      </c>
      <c r="R179" s="3" t="str">
        <f>IF(Table1[[#This Row],[Test Results]]&gt;120,"High Risk","Normal")</f>
        <v>High Risk</v>
      </c>
      <c r="S179" s="3" t="str">
        <f>IF(Table1[[#This Row],[Age]]&lt;=18,"0-18",IF(Table1[[#This Row],[Age]]&lt;=35,"19-35",IF(Table1[[#This Row],[Age]]&lt;=50,"36-50",IF(Table1[[#This Row],[Age]]&lt;=65,"51-65","65+"))))</f>
        <v>19-35</v>
      </c>
    </row>
    <row r="180" spans="1:19" x14ac:dyDescent="0.3">
      <c r="A180" s="3" t="s">
        <v>581</v>
      </c>
      <c r="B180" s="3">
        <v>36</v>
      </c>
      <c r="C180" s="3" t="s">
        <v>35</v>
      </c>
      <c r="D180" s="3" t="s">
        <v>42</v>
      </c>
      <c r="E180" s="3" t="s">
        <v>54</v>
      </c>
      <c r="F180" s="4">
        <v>44903</v>
      </c>
      <c r="G180" s="3" t="s">
        <v>582</v>
      </c>
      <c r="H180" s="3" t="s">
        <v>583</v>
      </c>
      <c r="I180" s="3" t="s">
        <v>21</v>
      </c>
      <c r="J180" s="5">
        <v>22480.965928930698</v>
      </c>
      <c r="K180" s="3">
        <v>348</v>
      </c>
      <c r="L180" s="3" t="s">
        <v>46</v>
      </c>
      <c r="M180" s="4">
        <v>44928</v>
      </c>
      <c r="N180" s="3" t="s">
        <v>32</v>
      </c>
      <c r="O180" s="3" t="s">
        <v>33</v>
      </c>
      <c r="P180" s="3" t="str">
        <f>IF(Table1[[#This Row],[Billing Amount]]&lt;5000,"Low",IF(Table1[[#This Row],[Billing Amount]]&lt;=15000,"Medium","High"))</f>
        <v>High</v>
      </c>
      <c r="Q180" s="3" t="str">
        <f>IF(Table1[[#This Row],[Discharge Date]]="Yes","Discharged","Under Treatment")</f>
        <v>Under Treatment</v>
      </c>
      <c r="R180" s="3" t="str">
        <f>IF(Table1[[#This Row],[Test Results]]&gt;120,"High Risk","Normal")</f>
        <v>High Risk</v>
      </c>
      <c r="S180" s="3" t="str">
        <f>IF(Table1[[#This Row],[Age]]&lt;=18,"0-18",IF(Table1[[#This Row],[Age]]&lt;=35,"19-35",IF(Table1[[#This Row],[Age]]&lt;=50,"36-50",IF(Table1[[#This Row],[Age]]&lt;=65,"51-65","65+"))))</f>
        <v>36-50</v>
      </c>
    </row>
    <row r="181" spans="1:19" x14ac:dyDescent="0.3">
      <c r="A181" s="3" t="s">
        <v>584</v>
      </c>
      <c r="B181" s="3">
        <v>42</v>
      </c>
      <c r="C181" s="3" t="s">
        <v>35</v>
      </c>
      <c r="D181" s="3" t="s">
        <v>103</v>
      </c>
      <c r="E181" s="3" t="s">
        <v>43</v>
      </c>
      <c r="F181" s="4">
        <v>44392</v>
      </c>
      <c r="G181" s="3" t="s">
        <v>585</v>
      </c>
      <c r="H181" s="3" t="s">
        <v>586</v>
      </c>
      <c r="I181" s="3" t="s">
        <v>39</v>
      </c>
      <c r="J181" s="5">
        <v>35022.316712360604</v>
      </c>
      <c r="K181" s="3">
        <v>486</v>
      </c>
      <c r="L181" s="3" t="s">
        <v>46</v>
      </c>
      <c r="M181" s="4">
        <v>44413</v>
      </c>
      <c r="N181" s="3" t="s">
        <v>40</v>
      </c>
      <c r="O181" s="3" t="s">
        <v>33</v>
      </c>
      <c r="P181" s="3" t="str">
        <f>IF(Table1[[#This Row],[Billing Amount]]&lt;5000,"Low",IF(Table1[[#This Row],[Billing Amount]]&lt;=15000,"Medium","High"))</f>
        <v>High</v>
      </c>
      <c r="Q181" s="3" t="str">
        <f>IF(Table1[[#This Row],[Discharge Date]]="Yes","Discharged","Under Treatment")</f>
        <v>Under Treatment</v>
      </c>
      <c r="R181" s="3" t="str">
        <f>IF(Table1[[#This Row],[Test Results]]&gt;120,"High Risk","Normal")</f>
        <v>High Risk</v>
      </c>
      <c r="S181" s="3" t="str">
        <f>IF(Table1[[#This Row],[Age]]&lt;=18,"0-18",IF(Table1[[#This Row],[Age]]&lt;=35,"19-35",IF(Table1[[#This Row],[Age]]&lt;=50,"36-50",IF(Table1[[#This Row],[Age]]&lt;=65,"51-65","65+"))))</f>
        <v>36-50</v>
      </c>
    </row>
    <row r="182" spans="1:19" x14ac:dyDescent="0.3">
      <c r="A182" s="3" t="s">
        <v>587</v>
      </c>
      <c r="B182" s="3">
        <v>18</v>
      </c>
      <c r="C182" s="3" t="s">
        <v>35</v>
      </c>
      <c r="D182" s="3" t="s">
        <v>49</v>
      </c>
      <c r="E182" s="3" t="s">
        <v>54</v>
      </c>
      <c r="F182" s="4">
        <v>44728</v>
      </c>
      <c r="G182" s="3" t="s">
        <v>588</v>
      </c>
      <c r="H182" s="3" t="s">
        <v>589</v>
      </c>
      <c r="I182" s="3" t="s">
        <v>21</v>
      </c>
      <c r="J182" s="5">
        <v>45072.418258940997</v>
      </c>
      <c r="K182" s="3">
        <v>147</v>
      </c>
      <c r="L182" s="3" t="s">
        <v>22</v>
      </c>
      <c r="M182" s="4">
        <v>44746</v>
      </c>
      <c r="N182" s="3" t="s">
        <v>79</v>
      </c>
      <c r="O182" s="3" t="s">
        <v>33</v>
      </c>
      <c r="P182" s="3" t="str">
        <f>IF(Table1[[#This Row],[Billing Amount]]&lt;5000,"Low",IF(Table1[[#This Row],[Billing Amount]]&lt;=15000,"Medium","High"))</f>
        <v>High</v>
      </c>
      <c r="Q182" s="3" t="str">
        <f>IF(Table1[[#This Row],[Discharge Date]]="Yes","Discharged","Under Treatment")</f>
        <v>Under Treatment</v>
      </c>
      <c r="R182" s="3" t="str">
        <f>IF(Table1[[#This Row],[Test Results]]&gt;120,"High Risk","Normal")</f>
        <v>High Risk</v>
      </c>
      <c r="S182" s="3" t="str">
        <f>IF(Table1[[#This Row],[Age]]&lt;=18,"0-18",IF(Table1[[#This Row],[Age]]&lt;=35,"19-35",IF(Table1[[#This Row],[Age]]&lt;=50,"36-50",IF(Table1[[#This Row],[Age]]&lt;=65,"51-65","65+"))))</f>
        <v>0-18</v>
      </c>
    </row>
    <row r="183" spans="1:19" x14ac:dyDescent="0.3">
      <c r="A183" s="3" t="s">
        <v>590</v>
      </c>
      <c r="B183" s="3">
        <v>62</v>
      </c>
      <c r="C183" s="3" t="s">
        <v>35</v>
      </c>
      <c r="D183" s="3" t="s">
        <v>26</v>
      </c>
      <c r="E183" s="3" t="s">
        <v>27</v>
      </c>
      <c r="F183" s="4">
        <v>45331</v>
      </c>
      <c r="G183" s="3" t="s">
        <v>591</v>
      </c>
      <c r="H183" s="3" t="s">
        <v>592</v>
      </c>
      <c r="I183" s="3" t="s">
        <v>57</v>
      </c>
      <c r="J183" s="5">
        <v>45902.707644690199</v>
      </c>
      <c r="K183" s="3">
        <v>126</v>
      </c>
      <c r="L183" s="3" t="s">
        <v>22</v>
      </c>
      <c r="M183" s="4">
        <v>45341</v>
      </c>
      <c r="N183" s="3" t="s">
        <v>40</v>
      </c>
      <c r="O183" s="3" t="s">
        <v>24</v>
      </c>
      <c r="P183" s="3" t="str">
        <f>IF(Table1[[#This Row],[Billing Amount]]&lt;5000,"Low",IF(Table1[[#This Row],[Billing Amount]]&lt;=15000,"Medium","High"))</f>
        <v>High</v>
      </c>
      <c r="Q183" s="3" t="str">
        <f>IF(Table1[[#This Row],[Discharge Date]]="Yes","Discharged","Under Treatment")</f>
        <v>Under Treatment</v>
      </c>
      <c r="R183" s="3" t="str">
        <f>IF(Table1[[#This Row],[Test Results]]&gt;120,"High Risk","Normal")</f>
        <v>High Risk</v>
      </c>
      <c r="S183" s="3" t="str">
        <f>IF(Table1[[#This Row],[Age]]&lt;=18,"0-18",IF(Table1[[#This Row],[Age]]&lt;=35,"19-35",IF(Table1[[#This Row],[Age]]&lt;=50,"36-50",IF(Table1[[#This Row],[Age]]&lt;=65,"51-65","65+"))))</f>
        <v>51-65</v>
      </c>
    </row>
    <row r="184" spans="1:19" x14ac:dyDescent="0.3">
      <c r="A184" s="3" t="s">
        <v>593</v>
      </c>
      <c r="B184" s="3">
        <v>53</v>
      </c>
      <c r="C184" s="3" t="s">
        <v>16</v>
      </c>
      <c r="D184" s="3" t="s">
        <v>49</v>
      </c>
      <c r="E184" s="3" t="s">
        <v>76</v>
      </c>
      <c r="F184" s="4">
        <v>45355</v>
      </c>
      <c r="G184" s="3" t="s">
        <v>594</v>
      </c>
      <c r="H184" s="3" t="s">
        <v>595</v>
      </c>
      <c r="I184" s="3" t="s">
        <v>30</v>
      </c>
      <c r="J184" s="5">
        <v>28899.185758748299</v>
      </c>
      <c r="K184" s="3">
        <v>314</v>
      </c>
      <c r="L184" s="3" t="s">
        <v>31</v>
      </c>
      <c r="M184" s="4">
        <v>45369</v>
      </c>
      <c r="N184" s="3" t="s">
        <v>23</v>
      </c>
      <c r="O184" s="3" t="s">
        <v>47</v>
      </c>
      <c r="P184" s="3" t="str">
        <f>IF(Table1[[#This Row],[Billing Amount]]&lt;5000,"Low",IF(Table1[[#This Row],[Billing Amount]]&lt;=15000,"Medium","High"))</f>
        <v>High</v>
      </c>
      <c r="Q184" s="3" t="str">
        <f>IF(Table1[[#This Row],[Discharge Date]]="Yes","Discharged","Under Treatment")</f>
        <v>Under Treatment</v>
      </c>
      <c r="R184" s="3" t="str">
        <f>IF(Table1[[#This Row],[Test Results]]&gt;120,"High Risk","Normal")</f>
        <v>High Risk</v>
      </c>
      <c r="S184" s="3" t="str">
        <f>IF(Table1[[#This Row],[Age]]&lt;=18,"0-18",IF(Table1[[#This Row],[Age]]&lt;=35,"19-35",IF(Table1[[#This Row],[Age]]&lt;=50,"36-50",IF(Table1[[#This Row],[Age]]&lt;=65,"51-65","65+"))))</f>
        <v>51-65</v>
      </c>
    </row>
    <row r="185" spans="1:19" x14ac:dyDescent="0.3">
      <c r="A185" s="3" t="s">
        <v>596</v>
      </c>
      <c r="B185" s="3">
        <v>82</v>
      </c>
      <c r="C185" s="3" t="s">
        <v>35</v>
      </c>
      <c r="D185" s="3" t="s">
        <v>26</v>
      </c>
      <c r="E185" s="3" t="s">
        <v>27</v>
      </c>
      <c r="F185" s="4">
        <v>44603</v>
      </c>
      <c r="G185" s="3" t="s">
        <v>597</v>
      </c>
      <c r="H185" s="3" t="s">
        <v>598</v>
      </c>
      <c r="I185" s="3" t="s">
        <v>21</v>
      </c>
      <c r="J185" s="5">
        <v>39003.1814380949</v>
      </c>
      <c r="K185" s="3">
        <v>133</v>
      </c>
      <c r="L185" s="3" t="s">
        <v>46</v>
      </c>
      <c r="M185" s="4">
        <v>44617</v>
      </c>
      <c r="N185" s="3" t="s">
        <v>79</v>
      </c>
      <c r="O185" s="3" t="s">
        <v>24</v>
      </c>
      <c r="P185" s="3" t="str">
        <f>IF(Table1[[#This Row],[Billing Amount]]&lt;5000,"Low",IF(Table1[[#This Row],[Billing Amount]]&lt;=15000,"Medium","High"))</f>
        <v>High</v>
      </c>
      <c r="Q185" s="3" t="str">
        <f>IF(Table1[[#This Row],[Discharge Date]]="Yes","Discharged","Under Treatment")</f>
        <v>Under Treatment</v>
      </c>
      <c r="R185" s="3" t="str">
        <f>IF(Table1[[#This Row],[Test Results]]&gt;120,"High Risk","Normal")</f>
        <v>High Risk</v>
      </c>
      <c r="S185" s="3" t="str">
        <f>IF(Table1[[#This Row],[Age]]&lt;=18,"0-18",IF(Table1[[#This Row],[Age]]&lt;=35,"19-35",IF(Table1[[#This Row],[Age]]&lt;=50,"36-50",IF(Table1[[#This Row],[Age]]&lt;=65,"51-65","65+"))))</f>
        <v>65+</v>
      </c>
    </row>
    <row r="186" spans="1:19" x14ac:dyDescent="0.3">
      <c r="A186" s="3" t="s">
        <v>599</v>
      </c>
      <c r="B186" s="3">
        <v>19</v>
      </c>
      <c r="C186" s="3" t="s">
        <v>35</v>
      </c>
      <c r="D186" s="3" t="s">
        <v>122</v>
      </c>
      <c r="E186" s="3" t="s">
        <v>43</v>
      </c>
      <c r="F186" s="4">
        <v>44600</v>
      </c>
      <c r="G186" s="3" t="s">
        <v>600</v>
      </c>
      <c r="H186" s="3" t="s">
        <v>601</v>
      </c>
      <c r="I186" s="3" t="s">
        <v>21</v>
      </c>
      <c r="J186" s="5">
        <v>10348.818521438599</v>
      </c>
      <c r="K186" s="3">
        <v>271</v>
      </c>
      <c r="L186" s="3" t="s">
        <v>31</v>
      </c>
      <c r="M186" s="4">
        <v>44609</v>
      </c>
      <c r="N186" s="3" t="s">
        <v>32</v>
      </c>
      <c r="O186" s="3" t="s">
        <v>33</v>
      </c>
      <c r="P186" s="3" t="str">
        <f>IF(Table1[[#This Row],[Billing Amount]]&lt;5000,"Low",IF(Table1[[#This Row],[Billing Amount]]&lt;=15000,"Medium","High"))</f>
        <v>Medium</v>
      </c>
      <c r="Q186" s="3" t="str">
        <f>IF(Table1[[#This Row],[Discharge Date]]="Yes","Discharged","Under Treatment")</f>
        <v>Under Treatment</v>
      </c>
      <c r="R186" s="3" t="str">
        <f>IF(Table1[[#This Row],[Test Results]]&gt;120,"High Risk","Normal")</f>
        <v>High Risk</v>
      </c>
      <c r="S186" s="3" t="str">
        <f>IF(Table1[[#This Row],[Age]]&lt;=18,"0-18",IF(Table1[[#This Row],[Age]]&lt;=35,"19-35",IF(Table1[[#This Row],[Age]]&lt;=50,"36-50",IF(Table1[[#This Row],[Age]]&lt;=65,"51-65","65+"))))</f>
        <v>19-35</v>
      </c>
    </row>
    <row r="187" spans="1:19" x14ac:dyDescent="0.3">
      <c r="A187" s="3" t="s">
        <v>602</v>
      </c>
      <c r="B187" s="3">
        <v>83</v>
      </c>
      <c r="C187" s="3" t="s">
        <v>35</v>
      </c>
      <c r="D187" s="3" t="s">
        <v>36</v>
      </c>
      <c r="E187" s="3" t="s">
        <v>76</v>
      </c>
      <c r="F187" s="4">
        <v>45092</v>
      </c>
      <c r="G187" s="3" t="s">
        <v>603</v>
      </c>
      <c r="H187" s="3" t="s">
        <v>604</v>
      </c>
      <c r="I187" s="3" t="s">
        <v>57</v>
      </c>
      <c r="J187" s="5">
        <v>14371.5396986661</v>
      </c>
      <c r="K187" s="3">
        <v>341</v>
      </c>
      <c r="L187" s="3" t="s">
        <v>22</v>
      </c>
      <c r="M187" s="4">
        <v>45107</v>
      </c>
      <c r="N187" s="3" t="s">
        <v>23</v>
      </c>
      <c r="O187" s="3" t="s">
        <v>33</v>
      </c>
      <c r="P187" s="3" t="str">
        <f>IF(Table1[[#This Row],[Billing Amount]]&lt;5000,"Low",IF(Table1[[#This Row],[Billing Amount]]&lt;=15000,"Medium","High"))</f>
        <v>Medium</v>
      </c>
      <c r="Q187" s="3" t="str">
        <f>IF(Table1[[#This Row],[Discharge Date]]="Yes","Discharged","Under Treatment")</f>
        <v>Under Treatment</v>
      </c>
      <c r="R187" s="3" t="str">
        <f>IF(Table1[[#This Row],[Test Results]]&gt;120,"High Risk","Normal")</f>
        <v>High Risk</v>
      </c>
      <c r="S187" s="3" t="str">
        <f>IF(Table1[[#This Row],[Age]]&lt;=18,"0-18",IF(Table1[[#This Row],[Age]]&lt;=35,"19-35",IF(Table1[[#This Row],[Age]]&lt;=50,"36-50",IF(Table1[[#This Row],[Age]]&lt;=65,"51-65","65+"))))</f>
        <v>65+</v>
      </c>
    </row>
    <row r="188" spans="1:19" x14ac:dyDescent="0.3">
      <c r="A188" s="3" t="s">
        <v>605</v>
      </c>
      <c r="B188" s="3">
        <v>26</v>
      </c>
      <c r="C188" s="3" t="s">
        <v>16</v>
      </c>
      <c r="D188" s="3" t="s">
        <v>122</v>
      </c>
      <c r="E188" s="3" t="s">
        <v>43</v>
      </c>
      <c r="F188" s="4">
        <v>44480</v>
      </c>
      <c r="G188" s="3" t="s">
        <v>606</v>
      </c>
      <c r="H188" s="3" t="s">
        <v>607</v>
      </c>
      <c r="I188" s="3" t="s">
        <v>57</v>
      </c>
      <c r="J188" s="5">
        <v>13769.403128763801</v>
      </c>
      <c r="K188" s="3">
        <v>498</v>
      </c>
      <c r="L188" s="3" t="s">
        <v>22</v>
      </c>
      <c r="M188" s="4">
        <v>44493</v>
      </c>
      <c r="N188" s="3" t="s">
        <v>32</v>
      </c>
      <c r="O188" s="3" t="s">
        <v>47</v>
      </c>
      <c r="P188" s="3" t="str">
        <f>IF(Table1[[#This Row],[Billing Amount]]&lt;5000,"Low",IF(Table1[[#This Row],[Billing Amount]]&lt;=15000,"Medium","High"))</f>
        <v>Medium</v>
      </c>
      <c r="Q188" s="3" t="str">
        <f>IF(Table1[[#This Row],[Discharge Date]]="Yes","Discharged","Under Treatment")</f>
        <v>Under Treatment</v>
      </c>
      <c r="R188" s="3" t="str">
        <f>IF(Table1[[#This Row],[Test Results]]&gt;120,"High Risk","Normal")</f>
        <v>High Risk</v>
      </c>
      <c r="S188" s="3" t="str">
        <f>IF(Table1[[#This Row],[Age]]&lt;=18,"0-18",IF(Table1[[#This Row],[Age]]&lt;=35,"19-35",IF(Table1[[#This Row],[Age]]&lt;=50,"36-50",IF(Table1[[#This Row],[Age]]&lt;=65,"51-65","65+"))))</f>
        <v>19-35</v>
      </c>
    </row>
    <row r="189" spans="1:19" x14ac:dyDescent="0.3">
      <c r="A189" s="3" t="s">
        <v>608</v>
      </c>
      <c r="B189" s="3">
        <v>51</v>
      </c>
      <c r="C189" s="3" t="s">
        <v>16</v>
      </c>
      <c r="D189" s="3" t="s">
        <v>42</v>
      </c>
      <c r="E189" s="3" t="s">
        <v>93</v>
      </c>
      <c r="F189" s="4">
        <v>44542</v>
      </c>
      <c r="G189" s="3" t="s">
        <v>609</v>
      </c>
      <c r="H189" s="3" t="s">
        <v>610</v>
      </c>
      <c r="I189" s="3" t="s">
        <v>39</v>
      </c>
      <c r="J189" s="5">
        <v>35868.538636765501</v>
      </c>
      <c r="K189" s="3">
        <v>309</v>
      </c>
      <c r="L189" s="3" t="s">
        <v>46</v>
      </c>
      <c r="M189" s="4">
        <v>44560</v>
      </c>
      <c r="N189" s="3" t="s">
        <v>79</v>
      </c>
      <c r="O189" s="3" t="s">
        <v>47</v>
      </c>
      <c r="P189" s="3" t="str">
        <f>IF(Table1[[#This Row],[Billing Amount]]&lt;5000,"Low",IF(Table1[[#This Row],[Billing Amount]]&lt;=15000,"Medium","High"))</f>
        <v>High</v>
      </c>
      <c r="Q189" s="3" t="str">
        <f>IF(Table1[[#This Row],[Discharge Date]]="Yes","Discharged","Under Treatment")</f>
        <v>Under Treatment</v>
      </c>
      <c r="R189" s="3" t="str">
        <f>IF(Table1[[#This Row],[Test Results]]&gt;120,"High Risk","Normal")</f>
        <v>High Risk</v>
      </c>
      <c r="S189" s="3" t="str">
        <f>IF(Table1[[#This Row],[Age]]&lt;=18,"0-18",IF(Table1[[#This Row],[Age]]&lt;=35,"19-35",IF(Table1[[#This Row],[Age]]&lt;=50,"36-50",IF(Table1[[#This Row],[Age]]&lt;=65,"51-65","65+"))))</f>
        <v>51-65</v>
      </c>
    </row>
    <row r="190" spans="1:19" x14ac:dyDescent="0.3">
      <c r="A190" s="3" t="s">
        <v>611</v>
      </c>
      <c r="B190" s="3">
        <v>20</v>
      </c>
      <c r="C190" s="3" t="s">
        <v>16</v>
      </c>
      <c r="D190" s="3" t="s">
        <v>42</v>
      </c>
      <c r="E190" s="3" t="s">
        <v>27</v>
      </c>
      <c r="F190" s="4">
        <v>45116</v>
      </c>
      <c r="G190" s="3" t="s">
        <v>612</v>
      </c>
      <c r="H190" s="3" t="s">
        <v>613</v>
      </c>
      <c r="I190" s="3" t="s">
        <v>21</v>
      </c>
      <c r="J190" s="5">
        <v>35205.284598024402</v>
      </c>
      <c r="K190" s="3">
        <v>104</v>
      </c>
      <c r="L190" s="3" t="s">
        <v>31</v>
      </c>
      <c r="M190" s="4">
        <v>45122</v>
      </c>
      <c r="N190" s="3" t="s">
        <v>79</v>
      </c>
      <c r="O190" s="3" t="s">
        <v>47</v>
      </c>
      <c r="P190" s="3" t="str">
        <f>IF(Table1[[#This Row],[Billing Amount]]&lt;5000,"Low",IF(Table1[[#This Row],[Billing Amount]]&lt;=15000,"Medium","High"))</f>
        <v>High</v>
      </c>
      <c r="Q190" s="3" t="str">
        <f>IF(Table1[[#This Row],[Discharge Date]]="Yes","Discharged","Under Treatment")</f>
        <v>Under Treatment</v>
      </c>
      <c r="R190" s="3" t="str">
        <f>IF(Table1[[#This Row],[Test Results]]&gt;120,"High Risk","Normal")</f>
        <v>High Risk</v>
      </c>
      <c r="S190" s="3" t="str">
        <f>IF(Table1[[#This Row],[Age]]&lt;=18,"0-18",IF(Table1[[#This Row],[Age]]&lt;=35,"19-35",IF(Table1[[#This Row],[Age]]&lt;=50,"36-50",IF(Table1[[#This Row],[Age]]&lt;=65,"51-65","65+"))))</f>
        <v>19-35</v>
      </c>
    </row>
    <row r="191" spans="1:19" x14ac:dyDescent="0.3">
      <c r="A191" s="3" t="s">
        <v>614</v>
      </c>
      <c r="B191" s="3">
        <v>61</v>
      </c>
      <c r="C191" s="3" t="s">
        <v>35</v>
      </c>
      <c r="D191" s="3" t="s">
        <v>36</v>
      </c>
      <c r="E191" s="3" t="s">
        <v>27</v>
      </c>
      <c r="F191" s="4">
        <v>44082</v>
      </c>
      <c r="G191" s="3" t="s">
        <v>615</v>
      </c>
      <c r="H191" s="3" t="s">
        <v>616</v>
      </c>
      <c r="I191" s="3" t="s">
        <v>21</v>
      </c>
      <c r="J191" s="5">
        <v>21576.502345538702</v>
      </c>
      <c r="K191" s="3">
        <v>308</v>
      </c>
      <c r="L191" s="3" t="s">
        <v>31</v>
      </c>
      <c r="M191" s="4">
        <v>44107</v>
      </c>
      <c r="N191" s="3" t="s">
        <v>32</v>
      </c>
      <c r="O191" s="3" t="s">
        <v>47</v>
      </c>
      <c r="P191" s="3" t="str">
        <f>IF(Table1[[#This Row],[Billing Amount]]&lt;5000,"Low",IF(Table1[[#This Row],[Billing Amount]]&lt;=15000,"Medium","High"))</f>
        <v>High</v>
      </c>
      <c r="Q191" s="3" t="str">
        <f>IF(Table1[[#This Row],[Discharge Date]]="Yes","Discharged","Under Treatment")</f>
        <v>Under Treatment</v>
      </c>
      <c r="R191" s="3" t="str">
        <f>IF(Table1[[#This Row],[Test Results]]&gt;120,"High Risk","Normal")</f>
        <v>High Risk</v>
      </c>
      <c r="S191" s="3" t="str">
        <f>IF(Table1[[#This Row],[Age]]&lt;=18,"0-18",IF(Table1[[#This Row],[Age]]&lt;=35,"19-35",IF(Table1[[#This Row],[Age]]&lt;=50,"36-50",IF(Table1[[#This Row],[Age]]&lt;=65,"51-65","65+"))))</f>
        <v>51-65</v>
      </c>
    </row>
    <row r="192" spans="1:19" x14ac:dyDescent="0.3">
      <c r="A192" s="3" t="s">
        <v>617</v>
      </c>
      <c r="B192" s="3">
        <v>44</v>
      </c>
      <c r="C192" s="3" t="s">
        <v>16</v>
      </c>
      <c r="D192" s="3" t="s">
        <v>59</v>
      </c>
      <c r="E192" s="3" t="s">
        <v>76</v>
      </c>
      <c r="F192" s="4">
        <v>44074</v>
      </c>
      <c r="G192" s="3" t="s">
        <v>618</v>
      </c>
      <c r="H192" s="3" t="s">
        <v>619</v>
      </c>
      <c r="I192" s="3" t="s">
        <v>39</v>
      </c>
      <c r="J192" s="5">
        <v>18771.010687105801</v>
      </c>
      <c r="K192" s="3">
        <v>168</v>
      </c>
      <c r="L192" s="3" t="s">
        <v>22</v>
      </c>
      <c r="M192" s="4">
        <v>44092</v>
      </c>
      <c r="N192" s="3" t="s">
        <v>79</v>
      </c>
      <c r="O192" s="3" t="s">
        <v>47</v>
      </c>
      <c r="P192" s="3" t="str">
        <f>IF(Table1[[#This Row],[Billing Amount]]&lt;5000,"Low",IF(Table1[[#This Row],[Billing Amount]]&lt;=15000,"Medium","High"))</f>
        <v>High</v>
      </c>
      <c r="Q192" s="3" t="str">
        <f>IF(Table1[[#This Row],[Discharge Date]]="Yes","Discharged","Under Treatment")</f>
        <v>Under Treatment</v>
      </c>
      <c r="R192" s="3" t="str">
        <f>IF(Table1[[#This Row],[Test Results]]&gt;120,"High Risk","Normal")</f>
        <v>High Risk</v>
      </c>
      <c r="S192" s="3" t="str">
        <f>IF(Table1[[#This Row],[Age]]&lt;=18,"0-18",IF(Table1[[#This Row],[Age]]&lt;=35,"19-35",IF(Table1[[#This Row],[Age]]&lt;=50,"36-50",IF(Table1[[#This Row],[Age]]&lt;=65,"51-65","65+"))))</f>
        <v>36-50</v>
      </c>
    </row>
    <row r="193" spans="1:19" x14ac:dyDescent="0.3">
      <c r="A193" s="3" t="s">
        <v>620</v>
      </c>
      <c r="B193" s="3">
        <v>74</v>
      </c>
      <c r="C193" s="3" t="s">
        <v>35</v>
      </c>
      <c r="D193" s="3" t="s">
        <v>49</v>
      </c>
      <c r="E193" s="3" t="s">
        <v>18</v>
      </c>
      <c r="F193" s="4">
        <v>45392</v>
      </c>
      <c r="G193" s="3" t="s">
        <v>621</v>
      </c>
      <c r="H193" s="3" t="s">
        <v>622</v>
      </c>
      <c r="I193" s="3" t="s">
        <v>21</v>
      </c>
      <c r="J193" s="5">
        <v>21668.5645083491</v>
      </c>
      <c r="K193" s="3">
        <v>115</v>
      </c>
      <c r="L193" s="3" t="s">
        <v>31</v>
      </c>
      <c r="M193" s="4">
        <v>45415</v>
      </c>
      <c r="N193" s="3" t="s">
        <v>79</v>
      </c>
      <c r="O193" s="3" t="s">
        <v>47</v>
      </c>
      <c r="P193" s="3" t="str">
        <f>IF(Table1[[#This Row],[Billing Amount]]&lt;5000,"Low",IF(Table1[[#This Row],[Billing Amount]]&lt;=15000,"Medium","High"))</f>
        <v>High</v>
      </c>
      <c r="Q193" s="3" t="str">
        <f>IF(Table1[[#This Row],[Discharge Date]]="Yes","Discharged","Under Treatment")</f>
        <v>Under Treatment</v>
      </c>
      <c r="R193" s="3" t="str">
        <f>IF(Table1[[#This Row],[Test Results]]&gt;120,"High Risk","Normal")</f>
        <v>High Risk</v>
      </c>
      <c r="S193" s="3" t="str">
        <f>IF(Table1[[#This Row],[Age]]&lt;=18,"0-18",IF(Table1[[#This Row],[Age]]&lt;=35,"19-35",IF(Table1[[#This Row],[Age]]&lt;=50,"36-50",IF(Table1[[#This Row],[Age]]&lt;=65,"51-65","65+"))))</f>
        <v>65+</v>
      </c>
    </row>
    <row r="194" spans="1:19" x14ac:dyDescent="0.3">
      <c r="A194" s="3" t="s">
        <v>623</v>
      </c>
      <c r="B194" s="3">
        <v>83</v>
      </c>
      <c r="C194" s="3" t="s">
        <v>16</v>
      </c>
      <c r="D194" s="3" t="s">
        <v>122</v>
      </c>
      <c r="E194" s="3" t="s">
        <v>43</v>
      </c>
      <c r="F194" s="4">
        <v>44586</v>
      </c>
      <c r="G194" s="3" t="s">
        <v>624</v>
      </c>
      <c r="H194" s="3" t="s">
        <v>625</v>
      </c>
      <c r="I194" s="3" t="s">
        <v>65</v>
      </c>
      <c r="J194" s="5">
        <v>40825.184423605002</v>
      </c>
      <c r="K194" s="3">
        <v>438</v>
      </c>
      <c r="L194" s="3" t="s">
        <v>46</v>
      </c>
      <c r="M194" s="4">
        <v>44589</v>
      </c>
      <c r="N194" s="3" t="s">
        <v>40</v>
      </c>
      <c r="O194" s="3" t="s">
        <v>47</v>
      </c>
      <c r="P194" s="3" t="str">
        <f>IF(Table1[[#This Row],[Billing Amount]]&lt;5000,"Low",IF(Table1[[#This Row],[Billing Amount]]&lt;=15000,"Medium","High"))</f>
        <v>High</v>
      </c>
      <c r="Q194" s="3" t="str">
        <f>IF(Table1[[#This Row],[Discharge Date]]="Yes","Discharged","Under Treatment")</f>
        <v>Under Treatment</v>
      </c>
      <c r="R194" s="3" t="str">
        <f>IF(Table1[[#This Row],[Test Results]]&gt;120,"High Risk","Normal")</f>
        <v>High Risk</v>
      </c>
      <c r="S194" s="3" t="str">
        <f>IF(Table1[[#This Row],[Age]]&lt;=18,"0-18",IF(Table1[[#This Row],[Age]]&lt;=35,"19-35",IF(Table1[[#This Row],[Age]]&lt;=50,"36-50",IF(Table1[[#This Row],[Age]]&lt;=65,"51-65","65+"))))</f>
        <v>65+</v>
      </c>
    </row>
    <row r="195" spans="1:19" x14ac:dyDescent="0.3">
      <c r="A195" s="3" t="s">
        <v>626</v>
      </c>
      <c r="B195" s="3">
        <v>62</v>
      </c>
      <c r="C195" s="3" t="s">
        <v>35</v>
      </c>
      <c r="D195" s="3" t="s">
        <v>59</v>
      </c>
      <c r="E195" s="3" t="s">
        <v>18</v>
      </c>
      <c r="F195" s="4">
        <v>45181</v>
      </c>
      <c r="G195" s="3" t="s">
        <v>627</v>
      </c>
      <c r="H195" s="3" t="s">
        <v>628</v>
      </c>
      <c r="I195" s="3" t="s">
        <v>21</v>
      </c>
      <c r="J195" s="5">
        <v>40469.566259100502</v>
      </c>
      <c r="K195" s="3">
        <v>286</v>
      </c>
      <c r="L195" s="3" t="s">
        <v>46</v>
      </c>
      <c r="M195" s="4">
        <v>45211</v>
      </c>
      <c r="N195" s="3" t="s">
        <v>52</v>
      </c>
      <c r="O195" s="3" t="s">
        <v>24</v>
      </c>
      <c r="P195" s="3" t="str">
        <f>IF(Table1[[#This Row],[Billing Amount]]&lt;5000,"Low",IF(Table1[[#This Row],[Billing Amount]]&lt;=15000,"Medium","High"))</f>
        <v>High</v>
      </c>
      <c r="Q195" s="3" t="str">
        <f>IF(Table1[[#This Row],[Discharge Date]]="Yes","Discharged","Under Treatment")</f>
        <v>Under Treatment</v>
      </c>
      <c r="R195" s="3" t="str">
        <f>IF(Table1[[#This Row],[Test Results]]&gt;120,"High Risk","Normal")</f>
        <v>High Risk</v>
      </c>
      <c r="S195" s="3" t="str">
        <f>IF(Table1[[#This Row],[Age]]&lt;=18,"0-18",IF(Table1[[#This Row],[Age]]&lt;=35,"19-35",IF(Table1[[#This Row],[Age]]&lt;=50,"36-50",IF(Table1[[#This Row],[Age]]&lt;=65,"51-65","65+"))))</f>
        <v>51-65</v>
      </c>
    </row>
    <row r="196" spans="1:19" x14ac:dyDescent="0.3">
      <c r="A196" s="3" t="s">
        <v>629</v>
      </c>
      <c r="B196" s="3">
        <v>62</v>
      </c>
      <c r="C196" s="3" t="s">
        <v>35</v>
      </c>
      <c r="D196" s="3" t="s">
        <v>17</v>
      </c>
      <c r="E196" s="3" t="s">
        <v>27</v>
      </c>
      <c r="F196" s="4">
        <v>44048</v>
      </c>
      <c r="G196" s="3" t="s">
        <v>630</v>
      </c>
      <c r="H196" s="3" t="s">
        <v>631</v>
      </c>
      <c r="I196" s="3" t="s">
        <v>30</v>
      </c>
      <c r="J196" s="5">
        <v>25749.520835540301</v>
      </c>
      <c r="K196" s="3">
        <v>138</v>
      </c>
      <c r="L196" s="3" t="s">
        <v>46</v>
      </c>
      <c r="M196" s="4">
        <v>44057</v>
      </c>
      <c r="N196" s="3" t="s">
        <v>32</v>
      </c>
      <c r="O196" s="3" t="s">
        <v>33</v>
      </c>
      <c r="P196" s="3" t="str">
        <f>IF(Table1[[#This Row],[Billing Amount]]&lt;5000,"Low",IF(Table1[[#This Row],[Billing Amount]]&lt;=15000,"Medium","High"))</f>
        <v>High</v>
      </c>
      <c r="Q196" s="3" t="str">
        <f>IF(Table1[[#This Row],[Discharge Date]]="Yes","Discharged","Under Treatment")</f>
        <v>Under Treatment</v>
      </c>
      <c r="R196" s="3" t="str">
        <f>IF(Table1[[#This Row],[Test Results]]&gt;120,"High Risk","Normal")</f>
        <v>High Risk</v>
      </c>
      <c r="S196" s="3" t="str">
        <f>IF(Table1[[#This Row],[Age]]&lt;=18,"0-18",IF(Table1[[#This Row],[Age]]&lt;=35,"19-35",IF(Table1[[#This Row],[Age]]&lt;=50,"36-50",IF(Table1[[#This Row],[Age]]&lt;=65,"51-65","65+"))))</f>
        <v>51-65</v>
      </c>
    </row>
    <row r="197" spans="1:19" x14ac:dyDescent="0.3">
      <c r="A197" s="3" t="s">
        <v>632</v>
      </c>
      <c r="B197" s="3">
        <v>18</v>
      </c>
      <c r="C197" s="3" t="s">
        <v>16</v>
      </c>
      <c r="D197" s="3" t="s">
        <v>36</v>
      </c>
      <c r="E197" s="3" t="s">
        <v>54</v>
      </c>
      <c r="F197" s="4">
        <v>44688</v>
      </c>
      <c r="G197" s="3" t="s">
        <v>633</v>
      </c>
      <c r="H197" s="3" t="s">
        <v>634</v>
      </c>
      <c r="I197" s="3" t="s">
        <v>39</v>
      </c>
      <c r="J197" s="5">
        <v>15841.201676512501</v>
      </c>
      <c r="K197" s="3">
        <v>275</v>
      </c>
      <c r="L197" s="3" t="s">
        <v>22</v>
      </c>
      <c r="M197" s="4">
        <v>44715</v>
      </c>
      <c r="N197" s="3" t="s">
        <v>32</v>
      </c>
      <c r="O197" s="3" t="s">
        <v>47</v>
      </c>
      <c r="P197" s="3" t="str">
        <f>IF(Table1[[#This Row],[Billing Amount]]&lt;5000,"Low",IF(Table1[[#This Row],[Billing Amount]]&lt;=15000,"Medium","High"))</f>
        <v>High</v>
      </c>
      <c r="Q197" s="3" t="str">
        <f>IF(Table1[[#This Row],[Discharge Date]]="Yes","Discharged","Under Treatment")</f>
        <v>Under Treatment</v>
      </c>
      <c r="R197" s="3" t="str">
        <f>IF(Table1[[#This Row],[Test Results]]&gt;120,"High Risk","Normal")</f>
        <v>High Risk</v>
      </c>
      <c r="S197" s="3" t="str">
        <f>IF(Table1[[#This Row],[Age]]&lt;=18,"0-18",IF(Table1[[#This Row],[Age]]&lt;=35,"19-35",IF(Table1[[#This Row],[Age]]&lt;=50,"36-50",IF(Table1[[#This Row],[Age]]&lt;=65,"51-65","65+"))))</f>
        <v>0-18</v>
      </c>
    </row>
    <row r="198" spans="1:19" x14ac:dyDescent="0.3">
      <c r="A198" s="3" t="s">
        <v>635</v>
      </c>
      <c r="B198" s="3">
        <v>26</v>
      </c>
      <c r="C198" s="3" t="s">
        <v>35</v>
      </c>
      <c r="D198" s="3" t="s">
        <v>49</v>
      </c>
      <c r="E198" s="3" t="s">
        <v>54</v>
      </c>
      <c r="F198" s="4">
        <v>45354</v>
      </c>
      <c r="G198" s="3" t="s">
        <v>636</v>
      </c>
      <c r="H198" s="3" t="s">
        <v>637</v>
      </c>
      <c r="I198" s="3" t="s">
        <v>21</v>
      </c>
      <c r="J198" s="5">
        <v>32085.227646508702</v>
      </c>
      <c r="K198" s="3">
        <v>392</v>
      </c>
      <c r="L198" s="3" t="s">
        <v>22</v>
      </c>
      <c r="M198" s="4">
        <v>45378</v>
      </c>
      <c r="N198" s="3" t="s">
        <v>52</v>
      </c>
      <c r="O198" s="3" t="s">
        <v>33</v>
      </c>
      <c r="P198" s="3" t="str">
        <f>IF(Table1[[#This Row],[Billing Amount]]&lt;5000,"Low",IF(Table1[[#This Row],[Billing Amount]]&lt;=15000,"Medium","High"))</f>
        <v>High</v>
      </c>
      <c r="Q198" s="3" t="str">
        <f>IF(Table1[[#This Row],[Discharge Date]]="Yes","Discharged","Under Treatment")</f>
        <v>Under Treatment</v>
      </c>
      <c r="R198" s="3" t="str">
        <f>IF(Table1[[#This Row],[Test Results]]&gt;120,"High Risk","Normal")</f>
        <v>High Risk</v>
      </c>
      <c r="S198" s="3" t="str">
        <f>IF(Table1[[#This Row],[Age]]&lt;=18,"0-18",IF(Table1[[#This Row],[Age]]&lt;=35,"19-35",IF(Table1[[#This Row],[Age]]&lt;=50,"36-50",IF(Table1[[#This Row],[Age]]&lt;=65,"51-65","65+"))))</f>
        <v>19-35</v>
      </c>
    </row>
    <row r="199" spans="1:19" x14ac:dyDescent="0.3">
      <c r="A199" s="3" t="s">
        <v>638</v>
      </c>
      <c r="B199" s="3">
        <v>45</v>
      </c>
      <c r="C199" s="3" t="s">
        <v>35</v>
      </c>
      <c r="D199" s="3" t="s">
        <v>103</v>
      </c>
      <c r="E199" s="3" t="s">
        <v>18</v>
      </c>
      <c r="F199" s="4">
        <v>43904</v>
      </c>
      <c r="G199" s="3" t="s">
        <v>639</v>
      </c>
      <c r="H199" s="3" t="s">
        <v>640</v>
      </c>
      <c r="I199" s="3" t="s">
        <v>65</v>
      </c>
      <c r="J199" s="5">
        <v>12356.560651293899</v>
      </c>
      <c r="K199" s="3">
        <v>156</v>
      </c>
      <c r="L199" s="3" t="s">
        <v>31</v>
      </c>
      <c r="M199" s="4">
        <v>43924</v>
      </c>
      <c r="N199" s="3" t="s">
        <v>40</v>
      </c>
      <c r="O199" s="3" t="s">
        <v>33</v>
      </c>
      <c r="P199" s="3" t="str">
        <f>IF(Table1[[#This Row],[Billing Amount]]&lt;5000,"Low",IF(Table1[[#This Row],[Billing Amount]]&lt;=15000,"Medium","High"))</f>
        <v>Medium</v>
      </c>
      <c r="Q199" s="3" t="str">
        <f>IF(Table1[[#This Row],[Discharge Date]]="Yes","Discharged","Under Treatment")</f>
        <v>Under Treatment</v>
      </c>
      <c r="R199" s="3" t="str">
        <f>IF(Table1[[#This Row],[Test Results]]&gt;120,"High Risk","Normal")</f>
        <v>High Risk</v>
      </c>
      <c r="S199" s="3" t="str">
        <f>IF(Table1[[#This Row],[Age]]&lt;=18,"0-18",IF(Table1[[#This Row],[Age]]&lt;=35,"19-35",IF(Table1[[#This Row],[Age]]&lt;=50,"36-50",IF(Table1[[#This Row],[Age]]&lt;=65,"51-65","65+"))))</f>
        <v>36-50</v>
      </c>
    </row>
    <row r="200" spans="1:19" x14ac:dyDescent="0.3">
      <c r="A200" s="3" t="s">
        <v>641</v>
      </c>
      <c r="B200" s="3">
        <v>26</v>
      </c>
      <c r="C200" s="3" t="s">
        <v>16</v>
      </c>
      <c r="D200" s="3" t="s">
        <v>59</v>
      </c>
      <c r="E200" s="3" t="s">
        <v>54</v>
      </c>
      <c r="F200" s="4">
        <v>45329</v>
      </c>
      <c r="G200" s="3" t="s">
        <v>642</v>
      </c>
      <c r="H200" s="3" t="s">
        <v>643</v>
      </c>
      <c r="I200" s="3" t="s">
        <v>39</v>
      </c>
      <c r="J200" s="5">
        <v>15367.411315522801</v>
      </c>
      <c r="K200" s="3">
        <v>255</v>
      </c>
      <c r="L200" s="3" t="s">
        <v>31</v>
      </c>
      <c r="M200" s="4">
        <v>45346</v>
      </c>
      <c r="N200" s="3" t="s">
        <v>32</v>
      </c>
      <c r="O200" s="3" t="s">
        <v>33</v>
      </c>
      <c r="P200" s="3" t="str">
        <f>IF(Table1[[#This Row],[Billing Amount]]&lt;5000,"Low",IF(Table1[[#This Row],[Billing Amount]]&lt;=15000,"Medium","High"))</f>
        <v>High</v>
      </c>
      <c r="Q200" s="3" t="str">
        <f>IF(Table1[[#This Row],[Discharge Date]]="Yes","Discharged","Under Treatment")</f>
        <v>Under Treatment</v>
      </c>
      <c r="R200" s="3" t="str">
        <f>IF(Table1[[#This Row],[Test Results]]&gt;120,"High Risk","Normal")</f>
        <v>High Risk</v>
      </c>
      <c r="S200" s="3" t="str">
        <f>IF(Table1[[#This Row],[Age]]&lt;=18,"0-18",IF(Table1[[#This Row],[Age]]&lt;=35,"19-35",IF(Table1[[#This Row],[Age]]&lt;=50,"36-50",IF(Table1[[#This Row],[Age]]&lt;=65,"51-65","65+"))))</f>
        <v>19-35</v>
      </c>
    </row>
    <row r="201" spans="1:19" x14ac:dyDescent="0.3">
      <c r="A201" s="3" t="s">
        <v>644</v>
      </c>
      <c r="B201" s="3">
        <v>26</v>
      </c>
      <c r="C201" s="3" t="s">
        <v>16</v>
      </c>
      <c r="D201" s="3" t="s">
        <v>42</v>
      </c>
      <c r="E201" s="3" t="s">
        <v>18</v>
      </c>
      <c r="F201" s="4">
        <v>43667</v>
      </c>
      <c r="G201" s="3" t="s">
        <v>645</v>
      </c>
      <c r="H201" s="3" t="s">
        <v>646</v>
      </c>
      <c r="I201" s="3" t="s">
        <v>30</v>
      </c>
      <c r="J201" s="5">
        <v>40190.202918017501</v>
      </c>
      <c r="K201" s="3">
        <v>315</v>
      </c>
      <c r="L201" s="3" t="s">
        <v>46</v>
      </c>
      <c r="M201" s="4">
        <v>43682</v>
      </c>
      <c r="N201" s="3" t="s">
        <v>52</v>
      </c>
      <c r="O201" s="3" t="s">
        <v>47</v>
      </c>
      <c r="P201" s="3" t="str">
        <f>IF(Table1[[#This Row],[Billing Amount]]&lt;5000,"Low",IF(Table1[[#This Row],[Billing Amount]]&lt;=15000,"Medium","High"))</f>
        <v>High</v>
      </c>
      <c r="Q201" s="3" t="str">
        <f>IF(Table1[[#This Row],[Discharge Date]]="Yes","Discharged","Under Treatment")</f>
        <v>Under Treatment</v>
      </c>
      <c r="R201" s="3" t="str">
        <f>IF(Table1[[#This Row],[Test Results]]&gt;120,"High Risk","Normal")</f>
        <v>High Risk</v>
      </c>
      <c r="S201" s="3" t="str">
        <f>IF(Table1[[#This Row],[Age]]&lt;=18,"0-18",IF(Table1[[#This Row],[Age]]&lt;=35,"19-35",IF(Table1[[#This Row],[Age]]&lt;=50,"36-50",IF(Table1[[#This Row],[Age]]&lt;=65,"51-65","65+"))))</f>
        <v>19-35</v>
      </c>
    </row>
    <row r="202" spans="1:19" x14ac:dyDescent="0.3">
      <c r="A202" s="3" t="s">
        <v>647</v>
      </c>
      <c r="B202" s="3">
        <v>79</v>
      </c>
      <c r="C202" s="3" t="s">
        <v>35</v>
      </c>
      <c r="D202" s="3" t="s">
        <v>42</v>
      </c>
      <c r="E202" s="3" t="s">
        <v>43</v>
      </c>
      <c r="F202" s="4">
        <v>45030</v>
      </c>
      <c r="G202" s="3" t="s">
        <v>648</v>
      </c>
      <c r="H202" s="3" t="s">
        <v>649</v>
      </c>
      <c r="I202" s="3" t="s">
        <v>39</v>
      </c>
      <c r="J202" s="5">
        <v>3872.09698519108</v>
      </c>
      <c r="K202" s="3">
        <v>322</v>
      </c>
      <c r="L202" s="3" t="s">
        <v>46</v>
      </c>
      <c r="M202" s="4">
        <v>45034</v>
      </c>
      <c r="N202" s="3" t="s">
        <v>52</v>
      </c>
      <c r="O202" s="3" t="s">
        <v>33</v>
      </c>
      <c r="P202" s="3" t="str">
        <f>IF(Table1[[#This Row],[Billing Amount]]&lt;5000,"Low",IF(Table1[[#This Row],[Billing Amount]]&lt;=15000,"Medium","High"))</f>
        <v>Low</v>
      </c>
      <c r="Q202" s="3" t="str">
        <f>IF(Table1[[#This Row],[Discharge Date]]="Yes","Discharged","Under Treatment")</f>
        <v>Under Treatment</v>
      </c>
      <c r="R202" s="3" t="str">
        <f>IF(Table1[[#This Row],[Test Results]]&gt;120,"High Risk","Normal")</f>
        <v>High Risk</v>
      </c>
      <c r="S202" s="3" t="str">
        <f>IF(Table1[[#This Row],[Age]]&lt;=18,"0-18",IF(Table1[[#This Row],[Age]]&lt;=35,"19-35",IF(Table1[[#This Row],[Age]]&lt;=50,"36-50",IF(Table1[[#This Row],[Age]]&lt;=65,"51-65","65+"))))</f>
        <v>65+</v>
      </c>
    </row>
    <row r="203" spans="1:19" x14ac:dyDescent="0.3">
      <c r="A203" s="3" t="s">
        <v>650</v>
      </c>
      <c r="B203" s="3">
        <v>33</v>
      </c>
      <c r="C203" s="3" t="s">
        <v>35</v>
      </c>
      <c r="D203" s="3" t="s">
        <v>17</v>
      </c>
      <c r="E203" s="3" t="s">
        <v>93</v>
      </c>
      <c r="F203" s="4">
        <v>45308</v>
      </c>
      <c r="G203" s="3" t="s">
        <v>651</v>
      </c>
      <c r="H203" s="3" t="s">
        <v>652</v>
      </c>
      <c r="I203" s="3" t="s">
        <v>65</v>
      </c>
      <c r="J203" s="5">
        <v>3311.5891055535499</v>
      </c>
      <c r="K203" s="3">
        <v>184</v>
      </c>
      <c r="L203" s="3" t="s">
        <v>46</v>
      </c>
      <c r="M203" s="4">
        <v>45327</v>
      </c>
      <c r="N203" s="3" t="s">
        <v>79</v>
      </c>
      <c r="O203" s="3" t="s">
        <v>24</v>
      </c>
      <c r="P203" s="3" t="str">
        <f>IF(Table1[[#This Row],[Billing Amount]]&lt;5000,"Low",IF(Table1[[#This Row],[Billing Amount]]&lt;=15000,"Medium","High"))</f>
        <v>Low</v>
      </c>
      <c r="Q203" s="3" t="str">
        <f>IF(Table1[[#This Row],[Discharge Date]]="Yes","Discharged","Under Treatment")</f>
        <v>Under Treatment</v>
      </c>
      <c r="R203" s="3" t="str">
        <f>IF(Table1[[#This Row],[Test Results]]&gt;120,"High Risk","Normal")</f>
        <v>High Risk</v>
      </c>
      <c r="S203" s="3" t="str">
        <f>IF(Table1[[#This Row],[Age]]&lt;=18,"0-18",IF(Table1[[#This Row],[Age]]&lt;=35,"19-35",IF(Table1[[#This Row],[Age]]&lt;=50,"36-50",IF(Table1[[#This Row],[Age]]&lt;=65,"51-65","65+"))))</f>
        <v>19-35</v>
      </c>
    </row>
    <row r="204" spans="1:19" x14ac:dyDescent="0.3">
      <c r="A204" s="3" t="s">
        <v>653</v>
      </c>
      <c r="B204" s="3">
        <v>34</v>
      </c>
      <c r="C204" s="3" t="s">
        <v>35</v>
      </c>
      <c r="D204" s="3" t="s">
        <v>42</v>
      </c>
      <c r="E204" s="3" t="s">
        <v>18</v>
      </c>
      <c r="F204" s="4">
        <v>43641</v>
      </c>
      <c r="G204" s="3" t="s">
        <v>654</v>
      </c>
      <c r="H204" s="3" t="s">
        <v>655</v>
      </c>
      <c r="I204" s="3" t="s">
        <v>57</v>
      </c>
      <c r="J204" s="5">
        <v>18524.866637485698</v>
      </c>
      <c r="K204" s="3">
        <v>472</v>
      </c>
      <c r="L204" s="3" t="s">
        <v>22</v>
      </c>
      <c r="M204" s="4">
        <v>43646</v>
      </c>
      <c r="N204" s="3" t="s">
        <v>79</v>
      </c>
      <c r="O204" s="3" t="s">
        <v>47</v>
      </c>
      <c r="P204" s="3" t="str">
        <f>IF(Table1[[#This Row],[Billing Amount]]&lt;5000,"Low",IF(Table1[[#This Row],[Billing Amount]]&lt;=15000,"Medium","High"))</f>
        <v>High</v>
      </c>
      <c r="Q204" s="3" t="str">
        <f>IF(Table1[[#This Row],[Discharge Date]]="Yes","Discharged","Under Treatment")</f>
        <v>Under Treatment</v>
      </c>
      <c r="R204" s="3" t="str">
        <f>IF(Table1[[#This Row],[Test Results]]&gt;120,"High Risk","Normal")</f>
        <v>High Risk</v>
      </c>
      <c r="S204" s="3" t="str">
        <f>IF(Table1[[#This Row],[Age]]&lt;=18,"0-18",IF(Table1[[#This Row],[Age]]&lt;=35,"19-35",IF(Table1[[#This Row],[Age]]&lt;=50,"36-50",IF(Table1[[#This Row],[Age]]&lt;=65,"51-65","65+"))))</f>
        <v>19-35</v>
      </c>
    </row>
    <row r="205" spans="1:19" x14ac:dyDescent="0.3">
      <c r="A205" s="3" t="s">
        <v>656</v>
      </c>
      <c r="B205" s="3">
        <v>76</v>
      </c>
      <c r="C205" s="3" t="s">
        <v>35</v>
      </c>
      <c r="D205" s="3" t="s">
        <v>59</v>
      </c>
      <c r="E205" s="3" t="s">
        <v>76</v>
      </c>
      <c r="F205" s="4">
        <v>44336</v>
      </c>
      <c r="G205" s="3" t="s">
        <v>657</v>
      </c>
      <c r="H205" s="3" t="s">
        <v>658</v>
      </c>
      <c r="I205" s="3" t="s">
        <v>57</v>
      </c>
      <c r="J205" s="5">
        <v>30107.4870351719</v>
      </c>
      <c r="K205" s="3">
        <v>494</v>
      </c>
      <c r="L205" s="3" t="s">
        <v>31</v>
      </c>
      <c r="M205" s="4">
        <v>44359</v>
      </c>
      <c r="N205" s="3" t="s">
        <v>32</v>
      </c>
      <c r="O205" s="3" t="s">
        <v>33</v>
      </c>
      <c r="P205" s="3" t="str">
        <f>IF(Table1[[#This Row],[Billing Amount]]&lt;5000,"Low",IF(Table1[[#This Row],[Billing Amount]]&lt;=15000,"Medium","High"))</f>
        <v>High</v>
      </c>
      <c r="Q205" s="3" t="str">
        <f>IF(Table1[[#This Row],[Discharge Date]]="Yes","Discharged","Under Treatment")</f>
        <v>Under Treatment</v>
      </c>
      <c r="R205" s="3" t="str">
        <f>IF(Table1[[#This Row],[Test Results]]&gt;120,"High Risk","Normal")</f>
        <v>High Risk</v>
      </c>
      <c r="S205" s="3" t="str">
        <f>IF(Table1[[#This Row],[Age]]&lt;=18,"0-18",IF(Table1[[#This Row],[Age]]&lt;=35,"19-35",IF(Table1[[#This Row],[Age]]&lt;=50,"36-50",IF(Table1[[#This Row],[Age]]&lt;=65,"51-65","65+"))))</f>
        <v>65+</v>
      </c>
    </row>
    <row r="206" spans="1:19" x14ac:dyDescent="0.3">
      <c r="A206" s="3" t="s">
        <v>659</v>
      </c>
      <c r="B206" s="3">
        <v>50</v>
      </c>
      <c r="C206" s="3" t="s">
        <v>35</v>
      </c>
      <c r="D206" s="3" t="s">
        <v>17</v>
      </c>
      <c r="E206" s="3" t="s">
        <v>27</v>
      </c>
      <c r="F206" s="4">
        <v>43924</v>
      </c>
      <c r="G206" s="3" t="s">
        <v>660</v>
      </c>
      <c r="H206" s="3" t="s">
        <v>661</v>
      </c>
      <c r="I206" s="3" t="s">
        <v>57</v>
      </c>
      <c r="J206" s="5">
        <v>15826.101276253899</v>
      </c>
      <c r="K206" s="3">
        <v>398</v>
      </c>
      <c r="L206" s="3" t="s">
        <v>31</v>
      </c>
      <c r="M206" s="4">
        <v>43932</v>
      </c>
      <c r="N206" s="3" t="s">
        <v>23</v>
      </c>
      <c r="O206" s="3" t="s">
        <v>24</v>
      </c>
      <c r="P206" s="3" t="str">
        <f>IF(Table1[[#This Row],[Billing Amount]]&lt;5000,"Low",IF(Table1[[#This Row],[Billing Amount]]&lt;=15000,"Medium","High"))</f>
        <v>High</v>
      </c>
      <c r="Q206" s="3" t="str">
        <f>IF(Table1[[#This Row],[Discharge Date]]="Yes","Discharged","Under Treatment")</f>
        <v>Under Treatment</v>
      </c>
      <c r="R206" s="3" t="str">
        <f>IF(Table1[[#This Row],[Test Results]]&gt;120,"High Risk","Normal")</f>
        <v>High Risk</v>
      </c>
      <c r="S206" s="3" t="str">
        <f>IF(Table1[[#This Row],[Age]]&lt;=18,"0-18",IF(Table1[[#This Row],[Age]]&lt;=35,"19-35",IF(Table1[[#This Row],[Age]]&lt;=50,"36-50",IF(Table1[[#This Row],[Age]]&lt;=65,"51-65","65+"))))</f>
        <v>36-50</v>
      </c>
    </row>
    <row r="207" spans="1:19" x14ac:dyDescent="0.3">
      <c r="A207" s="3" t="s">
        <v>662</v>
      </c>
      <c r="B207" s="3">
        <v>38</v>
      </c>
      <c r="C207" s="3" t="s">
        <v>35</v>
      </c>
      <c r="D207" s="3" t="s">
        <v>59</v>
      </c>
      <c r="E207" s="3" t="s">
        <v>93</v>
      </c>
      <c r="F207" s="4">
        <v>44532</v>
      </c>
      <c r="G207" s="3" t="s">
        <v>663</v>
      </c>
      <c r="H207" s="3" t="s">
        <v>664</v>
      </c>
      <c r="I207" s="3" t="s">
        <v>39</v>
      </c>
      <c r="J207" s="5">
        <v>49663.452871020403</v>
      </c>
      <c r="K207" s="3">
        <v>435</v>
      </c>
      <c r="L207" s="3" t="s">
        <v>31</v>
      </c>
      <c r="M207" s="4">
        <v>44537</v>
      </c>
      <c r="N207" s="3" t="s">
        <v>23</v>
      </c>
      <c r="O207" s="3" t="s">
        <v>24</v>
      </c>
      <c r="P207" s="3" t="str">
        <f>IF(Table1[[#This Row],[Billing Amount]]&lt;5000,"Low",IF(Table1[[#This Row],[Billing Amount]]&lt;=15000,"Medium","High"))</f>
        <v>High</v>
      </c>
      <c r="Q207" s="3" t="str">
        <f>IF(Table1[[#This Row],[Discharge Date]]="Yes","Discharged","Under Treatment")</f>
        <v>Under Treatment</v>
      </c>
      <c r="R207" s="3" t="str">
        <f>IF(Table1[[#This Row],[Test Results]]&gt;120,"High Risk","Normal")</f>
        <v>High Risk</v>
      </c>
      <c r="S207" s="3" t="str">
        <f>IF(Table1[[#This Row],[Age]]&lt;=18,"0-18",IF(Table1[[#This Row],[Age]]&lt;=35,"19-35",IF(Table1[[#This Row],[Age]]&lt;=50,"36-50",IF(Table1[[#This Row],[Age]]&lt;=65,"51-65","65+"))))</f>
        <v>36-50</v>
      </c>
    </row>
    <row r="208" spans="1:19" x14ac:dyDescent="0.3">
      <c r="A208" s="3" t="s">
        <v>665</v>
      </c>
      <c r="B208" s="3">
        <v>43</v>
      </c>
      <c r="C208" s="3" t="s">
        <v>16</v>
      </c>
      <c r="D208" s="3" t="s">
        <v>49</v>
      </c>
      <c r="E208" s="3" t="s">
        <v>18</v>
      </c>
      <c r="F208" s="4">
        <v>44344</v>
      </c>
      <c r="G208" s="3" t="s">
        <v>666</v>
      </c>
      <c r="H208" s="3" t="s">
        <v>667</v>
      </c>
      <c r="I208" s="3" t="s">
        <v>39</v>
      </c>
      <c r="J208" s="5">
        <v>27278.236885224102</v>
      </c>
      <c r="K208" s="3">
        <v>174</v>
      </c>
      <c r="L208" s="3" t="s">
        <v>22</v>
      </c>
      <c r="M208" s="4">
        <v>44365</v>
      </c>
      <c r="N208" s="3" t="s">
        <v>32</v>
      </c>
      <c r="O208" s="3" t="s">
        <v>47</v>
      </c>
      <c r="P208" s="3" t="str">
        <f>IF(Table1[[#This Row],[Billing Amount]]&lt;5000,"Low",IF(Table1[[#This Row],[Billing Amount]]&lt;=15000,"Medium","High"))</f>
        <v>High</v>
      </c>
      <c r="Q208" s="3" t="str">
        <f>IF(Table1[[#This Row],[Discharge Date]]="Yes","Discharged","Under Treatment")</f>
        <v>Under Treatment</v>
      </c>
      <c r="R208" s="3" t="str">
        <f>IF(Table1[[#This Row],[Test Results]]&gt;120,"High Risk","Normal")</f>
        <v>High Risk</v>
      </c>
      <c r="S208" s="3" t="str">
        <f>IF(Table1[[#This Row],[Age]]&lt;=18,"0-18",IF(Table1[[#This Row],[Age]]&lt;=35,"19-35",IF(Table1[[#This Row],[Age]]&lt;=50,"36-50",IF(Table1[[#This Row],[Age]]&lt;=65,"51-65","65+"))))</f>
        <v>36-50</v>
      </c>
    </row>
    <row r="209" spans="1:19" x14ac:dyDescent="0.3">
      <c r="A209" s="3" t="s">
        <v>668</v>
      </c>
      <c r="B209" s="3">
        <v>27</v>
      </c>
      <c r="C209" s="3" t="s">
        <v>35</v>
      </c>
      <c r="D209" s="3" t="s">
        <v>49</v>
      </c>
      <c r="E209" s="3" t="s">
        <v>76</v>
      </c>
      <c r="F209" s="4">
        <v>43913</v>
      </c>
      <c r="G209" s="3" t="s">
        <v>669</v>
      </c>
      <c r="H209" s="3" t="s">
        <v>670</v>
      </c>
      <c r="I209" s="3" t="s">
        <v>65</v>
      </c>
      <c r="J209" s="5">
        <v>33170.436740038502</v>
      </c>
      <c r="K209" s="3">
        <v>137</v>
      </c>
      <c r="L209" s="3" t="s">
        <v>22</v>
      </c>
      <c r="M209" s="4">
        <v>43932</v>
      </c>
      <c r="N209" s="3" t="s">
        <v>23</v>
      </c>
      <c r="O209" s="3" t="s">
        <v>47</v>
      </c>
      <c r="P209" s="3" t="str">
        <f>IF(Table1[[#This Row],[Billing Amount]]&lt;5000,"Low",IF(Table1[[#This Row],[Billing Amount]]&lt;=15000,"Medium","High"))</f>
        <v>High</v>
      </c>
      <c r="Q209" s="3" t="str">
        <f>IF(Table1[[#This Row],[Discharge Date]]="Yes","Discharged","Under Treatment")</f>
        <v>Under Treatment</v>
      </c>
      <c r="R209" s="3" t="str">
        <f>IF(Table1[[#This Row],[Test Results]]&gt;120,"High Risk","Normal")</f>
        <v>High Risk</v>
      </c>
      <c r="S209" s="3" t="str">
        <f>IF(Table1[[#This Row],[Age]]&lt;=18,"0-18",IF(Table1[[#This Row],[Age]]&lt;=35,"19-35",IF(Table1[[#This Row],[Age]]&lt;=50,"36-50",IF(Table1[[#This Row],[Age]]&lt;=65,"51-65","65+"))))</f>
        <v>19-35</v>
      </c>
    </row>
    <row r="210" spans="1:19" x14ac:dyDescent="0.3">
      <c r="A210" s="3" t="s">
        <v>671</v>
      </c>
      <c r="B210" s="3">
        <v>78</v>
      </c>
      <c r="C210" s="3" t="s">
        <v>16</v>
      </c>
      <c r="D210" s="3" t="s">
        <v>26</v>
      </c>
      <c r="E210" s="3" t="s">
        <v>54</v>
      </c>
      <c r="F210" s="4">
        <v>44779</v>
      </c>
      <c r="G210" s="3" t="s">
        <v>672</v>
      </c>
      <c r="H210" s="3" t="s">
        <v>673</v>
      </c>
      <c r="I210" s="3" t="s">
        <v>30</v>
      </c>
      <c r="J210" s="5">
        <v>1791.3890011113101</v>
      </c>
      <c r="K210" s="3">
        <v>405</v>
      </c>
      <c r="L210" s="3" t="s">
        <v>22</v>
      </c>
      <c r="M210" s="4">
        <v>44809</v>
      </c>
      <c r="N210" s="3" t="s">
        <v>23</v>
      </c>
      <c r="O210" s="3" t="s">
        <v>24</v>
      </c>
      <c r="P210" s="3" t="str">
        <f>IF(Table1[[#This Row],[Billing Amount]]&lt;5000,"Low",IF(Table1[[#This Row],[Billing Amount]]&lt;=15000,"Medium","High"))</f>
        <v>Low</v>
      </c>
      <c r="Q210" s="3" t="str">
        <f>IF(Table1[[#This Row],[Discharge Date]]="Yes","Discharged","Under Treatment")</f>
        <v>Under Treatment</v>
      </c>
      <c r="R210" s="3" t="str">
        <f>IF(Table1[[#This Row],[Test Results]]&gt;120,"High Risk","Normal")</f>
        <v>High Risk</v>
      </c>
      <c r="S210" s="3" t="str">
        <f>IF(Table1[[#This Row],[Age]]&lt;=18,"0-18",IF(Table1[[#This Row],[Age]]&lt;=35,"19-35",IF(Table1[[#This Row],[Age]]&lt;=50,"36-50",IF(Table1[[#This Row],[Age]]&lt;=65,"51-65","65+"))))</f>
        <v>65+</v>
      </c>
    </row>
    <row r="211" spans="1:19" x14ac:dyDescent="0.3">
      <c r="A211" s="3" t="s">
        <v>674</v>
      </c>
      <c r="B211" s="3">
        <v>40</v>
      </c>
      <c r="C211" s="3" t="s">
        <v>16</v>
      </c>
      <c r="D211" s="3" t="s">
        <v>26</v>
      </c>
      <c r="E211" s="3" t="s">
        <v>43</v>
      </c>
      <c r="F211" s="4">
        <v>45360</v>
      </c>
      <c r="G211" s="3" t="s">
        <v>675</v>
      </c>
      <c r="H211" s="3" t="s">
        <v>676</v>
      </c>
      <c r="I211" s="3" t="s">
        <v>21</v>
      </c>
      <c r="J211" s="5">
        <v>31188.0414917411</v>
      </c>
      <c r="K211" s="3">
        <v>111</v>
      </c>
      <c r="L211" s="3" t="s">
        <v>46</v>
      </c>
      <c r="M211" s="4">
        <v>45387</v>
      </c>
      <c r="N211" s="3" t="s">
        <v>32</v>
      </c>
      <c r="O211" s="3" t="s">
        <v>24</v>
      </c>
      <c r="P211" s="3" t="str">
        <f>IF(Table1[[#This Row],[Billing Amount]]&lt;5000,"Low",IF(Table1[[#This Row],[Billing Amount]]&lt;=15000,"Medium","High"))</f>
        <v>High</v>
      </c>
      <c r="Q211" s="3" t="str">
        <f>IF(Table1[[#This Row],[Discharge Date]]="Yes","Discharged","Under Treatment")</f>
        <v>Under Treatment</v>
      </c>
      <c r="R211" s="3" t="str">
        <f>IF(Table1[[#This Row],[Test Results]]&gt;120,"High Risk","Normal")</f>
        <v>High Risk</v>
      </c>
      <c r="S211" s="3" t="str">
        <f>IF(Table1[[#This Row],[Age]]&lt;=18,"0-18",IF(Table1[[#This Row],[Age]]&lt;=35,"19-35",IF(Table1[[#This Row],[Age]]&lt;=50,"36-50",IF(Table1[[#This Row],[Age]]&lt;=65,"51-65","65+"))))</f>
        <v>36-50</v>
      </c>
    </row>
    <row r="212" spans="1:19" x14ac:dyDescent="0.3">
      <c r="A212" s="3" t="s">
        <v>677</v>
      </c>
      <c r="B212" s="3">
        <v>25</v>
      </c>
      <c r="C212" s="3" t="s">
        <v>16</v>
      </c>
      <c r="D212" s="3" t="s">
        <v>59</v>
      </c>
      <c r="E212" s="3" t="s">
        <v>93</v>
      </c>
      <c r="F212" s="4">
        <v>44635</v>
      </c>
      <c r="G212" s="3" t="s">
        <v>678</v>
      </c>
      <c r="H212" s="3" t="s">
        <v>679</v>
      </c>
      <c r="I212" s="3" t="s">
        <v>30</v>
      </c>
      <c r="J212" s="5">
        <v>13854.6457636635</v>
      </c>
      <c r="K212" s="3">
        <v>328</v>
      </c>
      <c r="L212" s="3" t="s">
        <v>46</v>
      </c>
      <c r="M212" s="4">
        <v>44661</v>
      </c>
      <c r="N212" s="3" t="s">
        <v>52</v>
      </c>
      <c r="O212" s="3" t="s">
        <v>33</v>
      </c>
      <c r="P212" s="3" t="str">
        <f>IF(Table1[[#This Row],[Billing Amount]]&lt;5000,"Low",IF(Table1[[#This Row],[Billing Amount]]&lt;=15000,"Medium","High"))</f>
        <v>Medium</v>
      </c>
      <c r="Q212" s="3" t="str">
        <f>IF(Table1[[#This Row],[Discharge Date]]="Yes","Discharged","Under Treatment")</f>
        <v>Under Treatment</v>
      </c>
      <c r="R212" s="3" t="str">
        <f>IF(Table1[[#This Row],[Test Results]]&gt;120,"High Risk","Normal")</f>
        <v>High Risk</v>
      </c>
      <c r="S212" s="3" t="str">
        <f>IF(Table1[[#This Row],[Age]]&lt;=18,"0-18",IF(Table1[[#This Row],[Age]]&lt;=35,"19-35",IF(Table1[[#This Row],[Age]]&lt;=50,"36-50",IF(Table1[[#This Row],[Age]]&lt;=65,"51-65","65+"))))</f>
        <v>19-35</v>
      </c>
    </row>
    <row r="213" spans="1:19" x14ac:dyDescent="0.3">
      <c r="A213" s="3" t="s">
        <v>680</v>
      </c>
      <c r="B213" s="3">
        <v>67</v>
      </c>
      <c r="C213" s="3" t="s">
        <v>35</v>
      </c>
      <c r="D213" s="3" t="s">
        <v>49</v>
      </c>
      <c r="E213" s="3" t="s">
        <v>27</v>
      </c>
      <c r="F213" s="4">
        <v>44051</v>
      </c>
      <c r="G213" s="3" t="s">
        <v>681</v>
      </c>
      <c r="H213" s="3" t="s">
        <v>682</v>
      </c>
      <c r="I213" s="3" t="s">
        <v>21</v>
      </c>
      <c r="J213" s="5">
        <v>11870.9083801416</v>
      </c>
      <c r="K213" s="3">
        <v>196</v>
      </c>
      <c r="L213" s="3" t="s">
        <v>46</v>
      </c>
      <c r="M213" s="4">
        <v>44057</v>
      </c>
      <c r="N213" s="3" t="s">
        <v>32</v>
      </c>
      <c r="O213" s="3" t="s">
        <v>47</v>
      </c>
      <c r="P213" s="3" t="str">
        <f>IF(Table1[[#This Row],[Billing Amount]]&lt;5000,"Low",IF(Table1[[#This Row],[Billing Amount]]&lt;=15000,"Medium","High"))</f>
        <v>Medium</v>
      </c>
      <c r="Q213" s="3" t="str">
        <f>IF(Table1[[#This Row],[Discharge Date]]="Yes","Discharged","Under Treatment")</f>
        <v>Under Treatment</v>
      </c>
      <c r="R213" s="3" t="str">
        <f>IF(Table1[[#This Row],[Test Results]]&gt;120,"High Risk","Normal")</f>
        <v>High Risk</v>
      </c>
      <c r="S213" s="3" t="str">
        <f>IF(Table1[[#This Row],[Age]]&lt;=18,"0-18",IF(Table1[[#This Row],[Age]]&lt;=35,"19-35",IF(Table1[[#This Row],[Age]]&lt;=50,"36-50",IF(Table1[[#This Row],[Age]]&lt;=65,"51-65","65+"))))</f>
        <v>65+</v>
      </c>
    </row>
    <row r="214" spans="1:19" x14ac:dyDescent="0.3">
      <c r="A214" s="3" t="s">
        <v>683</v>
      </c>
      <c r="B214" s="3">
        <v>47</v>
      </c>
      <c r="C214" s="3" t="s">
        <v>35</v>
      </c>
      <c r="D214" s="3" t="s">
        <v>49</v>
      </c>
      <c r="E214" s="3" t="s">
        <v>27</v>
      </c>
      <c r="F214" s="4">
        <v>43625</v>
      </c>
      <c r="G214" s="3" t="s">
        <v>684</v>
      </c>
      <c r="H214" s="3" t="s">
        <v>685</v>
      </c>
      <c r="I214" s="3" t="s">
        <v>57</v>
      </c>
      <c r="J214" s="5">
        <v>25574.127619098599</v>
      </c>
      <c r="K214" s="3">
        <v>464</v>
      </c>
      <c r="L214" s="3" t="s">
        <v>46</v>
      </c>
      <c r="M214" s="4">
        <v>43647</v>
      </c>
      <c r="N214" s="3" t="s">
        <v>40</v>
      </c>
      <c r="O214" s="3" t="s">
        <v>33</v>
      </c>
      <c r="P214" s="3" t="str">
        <f>IF(Table1[[#This Row],[Billing Amount]]&lt;5000,"Low",IF(Table1[[#This Row],[Billing Amount]]&lt;=15000,"Medium","High"))</f>
        <v>High</v>
      </c>
      <c r="Q214" s="3" t="str">
        <f>IF(Table1[[#This Row],[Discharge Date]]="Yes","Discharged","Under Treatment")</f>
        <v>Under Treatment</v>
      </c>
      <c r="R214" s="3" t="str">
        <f>IF(Table1[[#This Row],[Test Results]]&gt;120,"High Risk","Normal")</f>
        <v>High Risk</v>
      </c>
      <c r="S214" s="3" t="str">
        <f>IF(Table1[[#This Row],[Age]]&lt;=18,"0-18",IF(Table1[[#This Row],[Age]]&lt;=35,"19-35",IF(Table1[[#This Row],[Age]]&lt;=50,"36-50",IF(Table1[[#This Row],[Age]]&lt;=65,"51-65","65+"))))</f>
        <v>36-50</v>
      </c>
    </row>
    <row r="215" spans="1:19" x14ac:dyDescent="0.3">
      <c r="A215" s="3" t="s">
        <v>686</v>
      </c>
      <c r="B215" s="3">
        <v>75</v>
      </c>
      <c r="C215" s="3" t="s">
        <v>16</v>
      </c>
      <c r="D215" s="3" t="s">
        <v>59</v>
      </c>
      <c r="E215" s="3" t="s">
        <v>93</v>
      </c>
      <c r="F215" s="4">
        <v>43715</v>
      </c>
      <c r="G215" s="3" t="s">
        <v>687</v>
      </c>
      <c r="H215" s="3" t="s">
        <v>688</v>
      </c>
      <c r="I215" s="3" t="s">
        <v>39</v>
      </c>
      <c r="J215" s="5">
        <v>6132.4040952386404</v>
      </c>
      <c r="K215" s="3">
        <v>231</v>
      </c>
      <c r="L215" s="3" t="s">
        <v>22</v>
      </c>
      <c r="M215" s="4">
        <v>43744</v>
      </c>
      <c r="N215" s="3" t="s">
        <v>23</v>
      </c>
      <c r="O215" s="3" t="s">
        <v>24</v>
      </c>
      <c r="P215" s="3" t="str">
        <f>IF(Table1[[#This Row],[Billing Amount]]&lt;5000,"Low",IF(Table1[[#This Row],[Billing Amount]]&lt;=15000,"Medium","High"))</f>
        <v>Medium</v>
      </c>
      <c r="Q215" s="3" t="str">
        <f>IF(Table1[[#This Row],[Discharge Date]]="Yes","Discharged","Under Treatment")</f>
        <v>Under Treatment</v>
      </c>
      <c r="R215" s="3" t="str">
        <f>IF(Table1[[#This Row],[Test Results]]&gt;120,"High Risk","Normal")</f>
        <v>High Risk</v>
      </c>
      <c r="S215" s="3" t="str">
        <f>IF(Table1[[#This Row],[Age]]&lt;=18,"0-18",IF(Table1[[#This Row],[Age]]&lt;=35,"19-35",IF(Table1[[#This Row],[Age]]&lt;=50,"36-50",IF(Table1[[#This Row],[Age]]&lt;=65,"51-65","65+"))))</f>
        <v>65+</v>
      </c>
    </row>
    <row r="216" spans="1:19" x14ac:dyDescent="0.3">
      <c r="A216" s="3" t="s">
        <v>689</v>
      </c>
      <c r="B216" s="3">
        <v>58</v>
      </c>
      <c r="C216" s="3" t="s">
        <v>35</v>
      </c>
      <c r="D216" s="3" t="s">
        <v>36</v>
      </c>
      <c r="E216" s="3" t="s">
        <v>27</v>
      </c>
      <c r="F216" s="4">
        <v>44241</v>
      </c>
      <c r="G216" s="3" t="s">
        <v>690</v>
      </c>
      <c r="H216" s="3" t="s">
        <v>691</v>
      </c>
      <c r="I216" s="3" t="s">
        <v>30</v>
      </c>
      <c r="J216" s="5">
        <v>33343.902493747803</v>
      </c>
      <c r="K216" s="3">
        <v>117</v>
      </c>
      <c r="L216" s="3" t="s">
        <v>46</v>
      </c>
      <c r="M216" s="4">
        <v>44253</v>
      </c>
      <c r="N216" s="3" t="s">
        <v>79</v>
      </c>
      <c r="O216" s="3" t="s">
        <v>33</v>
      </c>
      <c r="P216" s="3" t="str">
        <f>IF(Table1[[#This Row],[Billing Amount]]&lt;5000,"Low",IF(Table1[[#This Row],[Billing Amount]]&lt;=15000,"Medium","High"))</f>
        <v>High</v>
      </c>
      <c r="Q216" s="3" t="str">
        <f>IF(Table1[[#This Row],[Discharge Date]]="Yes","Discharged","Under Treatment")</f>
        <v>Under Treatment</v>
      </c>
      <c r="R216" s="3" t="str">
        <f>IF(Table1[[#This Row],[Test Results]]&gt;120,"High Risk","Normal")</f>
        <v>High Risk</v>
      </c>
      <c r="S216" s="3" t="str">
        <f>IF(Table1[[#This Row],[Age]]&lt;=18,"0-18",IF(Table1[[#This Row],[Age]]&lt;=35,"19-35",IF(Table1[[#This Row],[Age]]&lt;=50,"36-50",IF(Table1[[#This Row],[Age]]&lt;=65,"51-65","65+"))))</f>
        <v>51-65</v>
      </c>
    </row>
    <row r="217" spans="1:19" x14ac:dyDescent="0.3">
      <c r="A217" s="3" t="s">
        <v>692</v>
      </c>
      <c r="B217" s="3">
        <v>26</v>
      </c>
      <c r="C217" s="3" t="s">
        <v>35</v>
      </c>
      <c r="D217" s="3" t="s">
        <v>36</v>
      </c>
      <c r="E217" s="3" t="s">
        <v>76</v>
      </c>
      <c r="F217" s="4">
        <v>43779</v>
      </c>
      <c r="G217" s="3" t="s">
        <v>693</v>
      </c>
      <c r="H217" s="3" t="s">
        <v>694</v>
      </c>
      <c r="I217" s="3" t="s">
        <v>30</v>
      </c>
      <c r="J217" s="5">
        <v>43484.249746440502</v>
      </c>
      <c r="K217" s="3">
        <v>244</v>
      </c>
      <c r="L217" s="3" t="s">
        <v>22</v>
      </c>
      <c r="M217" s="4">
        <v>43795</v>
      </c>
      <c r="N217" s="3" t="s">
        <v>52</v>
      </c>
      <c r="O217" s="3" t="s">
        <v>47</v>
      </c>
      <c r="P217" s="3" t="str">
        <f>IF(Table1[[#This Row],[Billing Amount]]&lt;5000,"Low",IF(Table1[[#This Row],[Billing Amount]]&lt;=15000,"Medium","High"))</f>
        <v>High</v>
      </c>
      <c r="Q217" s="3" t="str">
        <f>IF(Table1[[#This Row],[Discharge Date]]="Yes","Discharged","Under Treatment")</f>
        <v>Under Treatment</v>
      </c>
      <c r="R217" s="3" t="str">
        <f>IF(Table1[[#This Row],[Test Results]]&gt;120,"High Risk","Normal")</f>
        <v>High Risk</v>
      </c>
      <c r="S217" s="3" t="str">
        <f>IF(Table1[[#This Row],[Age]]&lt;=18,"0-18",IF(Table1[[#This Row],[Age]]&lt;=35,"19-35",IF(Table1[[#This Row],[Age]]&lt;=50,"36-50",IF(Table1[[#This Row],[Age]]&lt;=65,"51-65","65+"))))</f>
        <v>19-35</v>
      </c>
    </row>
    <row r="218" spans="1:19" x14ac:dyDescent="0.3">
      <c r="A218" s="3" t="s">
        <v>695</v>
      </c>
      <c r="B218" s="3">
        <v>22</v>
      </c>
      <c r="C218" s="3" t="s">
        <v>16</v>
      </c>
      <c r="D218" s="3" t="s">
        <v>42</v>
      </c>
      <c r="E218" s="3" t="s">
        <v>27</v>
      </c>
      <c r="F218" s="4">
        <v>45032</v>
      </c>
      <c r="G218" s="3" t="s">
        <v>696</v>
      </c>
      <c r="H218" s="3" t="s">
        <v>697</v>
      </c>
      <c r="I218" s="3" t="s">
        <v>57</v>
      </c>
      <c r="J218" s="5">
        <v>7858.9268599467896</v>
      </c>
      <c r="K218" s="3">
        <v>414</v>
      </c>
      <c r="L218" s="3" t="s">
        <v>22</v>
      </c>
      <c r="M218" s="4">
        <v>45060</v>
      </c>
      <c r="N218" s="3" t="s">
        <v>52</v>
      </c>
      <c r="O218" s="3" t="s">
        <v>24</v>
      </c>
      <c r="P218" s="3" t="str">
        <f>IF(Table1[[#This Row],[Billing Amount]]&lt;5000,"Low",IF(Table1[[#This Row],[Billing Amount]]&lt;=15000,"Medium","High"))</f>
        <v>Medium</v>
      </c>
      <c r="Q218" s="3" t="str">
        <f>IF(Table1[[#This Row],[Discharge Date]]="Yes","Discharged","Under Treatment")</f>
        <v>Under Treatment</v>
      </c>
      <c r="R218" s="3" t="str">
        <f>IF(Table1[[#This Row],[Test Results]]&gt;120,"High Risk","Normal")</f>
        <v>High Risk</v>
      </c>
      <c r="S218" s="3" t="str">
        <f>IF(Table1[[#This Row],[Age]]&lt;=18,"0-18",IF(Table1[[#This Row],[Age]]&lt;=35,"19-35",IF(Table1[[#This Row],[Age]]&lt;=50,"36-50",IF(Table1[[#This Row],[Age]]&lt;=65,"51-65","65+"))))</f>
        <v>19-35</v>
      </c>
    </row>
    <row r="219" spans="1:19" x14ac:dyDescent="0.3">
      <c r="A219" s="3" t="s">
        <v>698</v>
      </c>
      <c r="B219" s="3">
        <v>29</v>
      </c>
      <c r="C219" s="3" t="s">
        <v>35</v>
      </c>
      <c r="D219" s="3" t="s">
        <v>103</v>
      </c>
      <c r="E219" s="3" t="s">
        <v>54</v>
      </c>
      <c r="F219" s="4">
        <v>43946</v>
      </c>
      <c r="G219" s="3" t="s">
        <v>699</v>
      </c>
      <c r="H219" s="3" t="s">
        <v>700</v>
      </c>
      <c r="I219" s="3" t="s">
        <v>65</v>
      </c>
      <c r="J219" s="5">
        <v>33161.938402998101</v>
      </c>
      <c r="K219" s="3">
        <v>493</v>
      </c>
      <c r="L219" s="3" t="s">
        <v>22</v>
      </c>
      <c r="M219" s="4">
        <v>43949</v>
      </c>
      <c r="N219" s="3" t="s">
        <v>23</v>
      </c>
      <c r="O219" s="3" t="s">
        <v>33</v>
      </c>
      <c r="P219" s="3" t="str">
        <f>IF(Table1[[#This Row],[Billing Amount]]&lt;5000,"Low",IF(Table1[[#This Row],[Billing Amount]]&lt;=15000,"Medium","High"))</f>
        <v>High</v>
      </c>
      <c r="Q219" s="3" t="str">
        <f>IF(Table1[[#This Row],[Discharge Date]]="Yes","Discharged","Under Treatment")</f>
        <v>Under Treatment</v>
      </c>
      <c r="R219" s="3" t="str">
        <f>IF(Table1[[#This Row],[Test Results]]&gt;120,"High Risk","Normal")</f>
        <v>High Risk</v>
      </c>
      <c r="S219" s="3" t="str">
        <f>IF(Table1[[#This Row],[Age]]&lt;=18,"0-18",IF(Table1[[#This Row],[Age]]&lt;=35,"19-35",IF(Table1[[#This Row],[Age]]&lt;=50,"36-50",IF(Table1[[#This Row],[Age]]&lt;=65,"51-65","65+"))))</f>
        <v>19-35</v>
      </c>
    </row>
    <row r="220" spans="1:19" x14ac:dyDescent="0.3">
      <c r="A220" s="3" t="s">
        <v>701</v>
      </c>
      <c r="B220" s="3">
        <v>30</v>
      </c>
      <c r="C220" s="3" t="s">
        <v>16</v>
      </c>
      <c r="D220" s="3" t="s">
        <v>36</v>
      </c>
      <c r="E220" s="3" t="s">
        <v>18</v>
      </c>
      <c r="F220" s="4">
        <v>44429</v>
      </c>
      <c r="G220" s="3" t="s">
        <v>702</v>
      </c>
      <c r="H220" s="3" t="s">
        <v>703</v>
      </c>
      <c r="I220" s="3" t="s">
        <v>65</v>
      </c>
      <c r="J220" s="5">
        <v>2879.46053205424</v>
      </c>
      <c r="K220" s="3">
        <v>183</v>
      </c>
      <c r="L220" s="3" t="s">
        <v>22</v>
      </c>
      <c r="M220" s="4">
        <v>44436</v>
      </c>
      <c r="N220" s="3" t="s">
        <v>32</v>
      </c>
      <c r="O220" s="3" t="s">
        <v>24</v>
      </c>
      <c r="P220" s="3" t="str">
        <f>IF(Table1[[#This Row],[Billing Amount]]&lt;5000,"Low",IF(Table1[[#This Row],[Billing Amount]]&lt;=15000,"Medium","High"))</f>
        <v>Low</v>
      </c>
      <c r="Q220" s="3" t="str">
        <f>IF(Table1[[#This Row],[Discharge Date]]="Yes","Discharged","Under Treatment")</f>
        <v>Under Treatment</v>
      </c>
      <c r="R220" s="3" t="str">
        <f>IF(Table1[[#This Row],[Test Results]]&gt;120,"High Risk","Normal")</f>
        <v>High Risk</v>
      </c>
      <c r="S220" s="3" t="str">
        <f>IF(Table1[[#This Row],[Age]]&lt;=18,"0-18",IF(Table1[[#This Row],[Age]]&lt;=35,"19-35",IF(Table1[[#This Row],[Age]]&lt;=50,"36-50",IF(Table1[[#This Row],[Age]]&lt;=65,"51-65","65+"))))</f>
        <v>19-35</v>
      </c>
    </row>
    <row r="221" spans="1:19" x14ac:dyDescent="0.3">
      <c r="A221" s="3" t="s">
        <v>704</v>
      </c>
      <c r="B221" s="3">
        <v>22</v>
      </c>
      <c r="C221" s="3" t="s">
        <v>35</v>
      </c>
      <c r="D221" s="3" t="s">
        <v>42</v>
      </c>
      <c r="E221" s="3" t="s">
        <v>54</v>
      </c>
      <c r="F221" s="4">
        <v>44210</v>
      </c>
      <c r="G221" s="3" t="s">
        <v>705</v>
      </c>
      <c r="H221" s="3" t="s">
        <v>262</v>
      </c>
      <c r="I221" s="3" t="s">
        <v>39</v>
      </c>
      <c r="J221" s="5">
        <v>46492.861772948898</v>
      </c>
      <c r="K221" s="3">
        <v>471</v>
      </c>
      <c r="L221" s="3" t="s">
        <v>46</v>
      </c>
      <c r="M221" s="4">
        <v>44223</v>
      </c>
      <c r="N221" s="3" t="s">
        <v>40</v>
      </c>
      <c r="O221" s="3" t="s">
        <v>33</v>
      </c>
      <c r="P221" s="3" t="str">
        <f>IF(Table1[[#This Row],[Billing Amount]]&lt;5000,"Low",IF(Table1[[#This Row],[Billing Amount]]&lt;=15000,"Medium","High"))</f>
        <v>High</v>
      </c>
      <c r="Q221" s="3" t="str">
        <f>IF(Table1[[#This Row],[Discharge Date]]="Yes","Discharged","Under Treatment")</f>
        <v>Under Treatment</v>
      </c>
      <c r="R221" s="3" t="str">
        <f>IF(Table1[[#This Row],[Test Results]]&gt;120,"High Risk","Normal")</f>
        <v>High Risk</v>
      </c>
      <c r="S221" s="3" t="str">
        <f>IF(Table1[[#This Row],[Age]]&lt;=18,"0-18",IF(Table1[[#This Row],[Age]]&lt;=35,"19-35",IF(Table1[[#This Row],[Age]]&lt;=50,"36-50",IF(Table1[[#This Row],[Age]]&lt;=65,"51-65","65+"))))</f>
        <v>19-35</v>
      </c>
    </row>
    <row r="222" spans="1:19" x14ac:dyDescent="0.3">
      <c r="A222" s="3" t="s">
        <v>706</v>
      </c>
      <c r="B222" s="3">
        <v>34</v>
      </c>
      <c r="C222" s="3" t="s">
        <v>16</v>
      </c>
      <c r="D222" s="3" t="s">
        <v>49</v>
      </c>
      <c r="E222" s="3" t="s">
        <v>76</v>
      </c>
      <c r="F222" s="4">
        <v>44086</v>
      </c>
      <c r="G222" s="3" t="s">
        <v>707</v>
      </c>
      <c r="H222" s="3" t="s">
        <v>708</v>
      </c>
      <c r="I222" s="3" t="s">
        <v>39</v>
      </c>
      <c r="J222" s="5">
        <v>5259.2730496477097</v>
      </c>
      <c r="K222" s="3">
        <v>341</v>
      </c>
      <c r="L222" s="3" t="s">
        <v>46</v>
      </c>
      <c r="M222" s="4">
        <v>44100</v>
      </c>
      <c r="N222" s="3" t="s">
        <v>23</v>
      </c>
      <c r="O222" s="3" t="s">
        <v>47</v>
      </c>
      <c r="P222" s="3" t="str">
        <f>IF(Table1[[#This Row],[Billing Amount]]&lt;5000,"Low",IF(Table1[[#This Row],[Billing Amount]]&lt;=15000,"Medium","High"))</f>
        <v>Medium</v>
      </c>
      <c r="Q222" s="3" t="str">
        <f>IF(Table1[[#This Row],[Discharge Date]]="Yes","Discharged","Under Treatment")</f>
        <v>Under Treatment</v>
      </c>
      <c r="R222" s="3" t="str">
        <f>IF(Table1[[#This Row],[Test Results]]&gt;120,"High Risk","Normal")</f>
        <v>High Risk</v>
      </c>
      <c r="S222" s="3" t="str">
        <f>IF(Table1[[#This Row],[Age]]&lt;=18,"0-18",IF(Table1[[#This Row],[Age]]&lt;=35,"19-35",IF(Table1[[#This Row],[Age]]&lt;=50,"36-50",IF(Table1[[#This Row],[Age]]&lt;=65,"51-65","65+"))))</f>
        <v>19-35</v>
      </c>
    </row>
    <row r="223" spans="1:19" x14ac:dyDescent="0.3">
      <c r="A223" s="3" t="s">
        <v>709</v>
      </c>
      <c r="B223" s="3">
        <v>37</v>
      </c>
      <c r="C223" s="3" t="s">
        <v>35</v>
      </c>
      <c r="D223" s="3" t="s">
        <v>36</v>
      </c>
      <c r="E223" s="3" t="s">
        <v>93</v>
      </c>
      <c r="F223" s="4">
        <v>43672</v>
      </c>
      <c r="G223" s="3" t="s">
        <v>710</v>
      </c>
      <c r="H223" s="3" t="s">
        <v>711</v>
      </c>
      <c r="I223" s="3" t="s">
        <v>39</v>
      </c>
      <c r="J223" s="5">
        <v>13418.2163679355</v>
      </c>
      <c r="K223" s="3">
        <v>102</v>
      </c>
      <c r="L223" s="3" t="s">
        <v>31</v>
      </c>
      <c r="M223" s="4">
        <v>43694</v>
      </c>
      <c r="N223" s="3" t="s">
        <v>52</v>
      </c>
      <c r="O223" s="3" t="s">
        <v>47</v>
      </c>
      <c r="P223" s="3" t="str">
        <f>IF(Table1[[#This Row],[Billing Amount]]&lt;5000,"Low",IF(Table1[[#This Row],[Billing Amount]]&lt;=15000,"Medium","High"))</f>
        <v>Medium</v>
      </c>
      <c r="Q223" s="3" t="str">
        <f>IF(Table1[[#This Row],[Discharge Date]]="Yes","Discharged","Under Treatment")</f>
        <v>Under Treatment</v>
      </c>
      <c r="R223" s="3" t="str">
        <f>IF(Table1[[#This Row],[Test Results]]&gt;120,"High Risk","Normal")</f>
        <v>High Risk</v>
      </c>
      <c r="S223" s="3" t="str">
        <f>IF(Table1[[#This Row],[Age]]&lt;=18,"0-18",IF(Table1[[#This Row],[Age]]&lt;=35,"19-35",IF(Table1[[#This Row],[Age]]&lt;=50,"36-50",IF(Table1[[#This Row],[Age]]&lt;=65,"51-65","65+"))))</f>
        <v>36-50</v>
      </c>
    </row>
    <row r="224" spans="1:19" x14ac:dyDescent="0.3">
      <c r="A224" s="3" t="s">
        <v>712</v>
      </c>
      <c r="B224" s="3">
        <v>25</v>
      </c>
      <c r="C224" s="3" t="s">
        <v>35</v>
      </c>
      <c r="D224" s="3" t="s">
        <v>26</v>
      </c>
      <c r="E224" s="3" t="s">
        <v>18</v>
      </c>
      <c r="F224" s="4">
        <v>45267</v>
      </c>
      <c r="G224" s="3" t="s">
        <v>713</v>
      </c>
      <c r="H224" s="3" t="s">
        <v>714</v>
      </c>
      <c r="I224" s="3" t="s">
        <v>21</v>
      </c>
      <c r="J224" s="5">
        <v>36990.455775325303</v>
      </c>
      <c r="K224" s="3">
        <v>356</v>
      </c>
      <c r="L224" s="3" t="s">
        <v>22</v>
      </c>
      <c r="M224" s="4">
        <v>45274</v>
      </c>
      <c r="N224" s="3" t="s">
        <v>40</v>
      </c>
      <c r="O224" s="3" t="s">
        <v>24</v>
      </c>
      <c r="P224" s="3" t="str">
        <f>IF(Table1[[#This Row],[Billing Amount]]&lt;5000,"Low",IF(Table1[[#This Row],[Billing Amount]]&lt;=15000,"Medium","High"))</f>
        <v>High</v>
      </c>
      <c r="Q224" s="3" t="str">
        <f>IF(Table1[[#This Row],[Discharge Date]]="Yes","Discharged","Under Treatment")</f>
        <v>Under Treatment</v>
      </c>
      <c r="R224" s="3" t="str">
        <f>IF(Table1[[#This Row],[Test Results]]&gt;120,"High Risk","Normal")</f>
        <v>High Risk</v>
      </c>
      <c r="S224" s="3" t="str">
        <f>IF(Table1[[#This Row],[Age]]&lt;=18,"0-18",IF(Table1[[#This Row],[Age]]&lt;=35,"19-35",IF(Table1[[#This Row],[Age]]&lt;=50,"36-50",IF(Table1[[#This Row],[Age]]&lt;=65,"51-65","65+"))))</f>
        <v>19-35</v>
      </c>
    </row>
    <row r="225" spans="1:19" x14ac:dyDescent="0.3">
      <c r="A225" s="3" t="s">
        <v>715</v>
      </c>
      <c r="B225" s="3">
        <v>45</v>
      </c>
      <c r="C225" s="3" t="s">
        <v>35</v>
      </c>
      <c r="D225" s="3" t="s">
        <v>17</v>
      </c>
      <c r="E225" s="3" t="s">
        <v>18</v>
      </c>
      <c r="F225" s="4">
        <v>44358</v>
      </c>
      <c r="G225" s="3" t="s">
        <v>716</v>
      </c>
      <c r="H225" s="3" t="s">
        <v>717</v>
      </c>
      <c r="I225" s="3" t="s">
        <v>39</v>
      </c>
      <c r="J225" s="5">
        <v>43567.144157970899</v>
      </c>
      <c r="K225" s="3">
        <v>325</v>
      </c>
      <c r="L225" s="3" t="s">
        <v>22</v>
      </c>
      <c r="M225" s="4">
        <v>44380</v>
      </c>
      <c r="N225" s="3" t="s">
        <v>23</v>
      </c>
      <c r="O225" s="3" t="s">
        <v>24</v>
      </c>
      <c r="P225" s="3" t="str">
        <f>IF(Table1[[#This Row],[Billing Amount]]&lt;5000,"Low",IF(Table1[[#This Row],[Billing Amount]]&lt;=15000,"Medium","High"))</f>
        <v>High</v>
      </c>
      <c r="Q225" s="3" t="str">
        <f>IF(Table1[[#This Row],[Discharge Date]]="Yes","Discharged","Under Treatment")</f>
        <v>Under Treatment</v>
      </c>
      <c r="R225" s="3" t="str">
        <f>IF(Table1[[#This Row],[Test Results]]&gt;120,"High Risk","Normal")</f>
        <v>High Risk</v>
      </c>
      <c r="S225" s="3" t="str">
        <f>IF(Table1[[#This Row],[Age]]&lt;=18,"0-18",IF(Table1[[#This Row],[Age]]&lt;=35,"19-35",IF(Table1[[#This Row],[Age]]&lt;=50,"36-50",IF(Table1[[#This Row],[Age]]&lt;=65,"51-65","65+"))))</f>
        <v>36-50</v>
      </c>
    </row>
    <row r="226" spans="1:19" x14ac:dyDescent="0.3">
      <c r="A226" s="3" t="s">
        <v>718</v>
      </c>
      <c r="B226" s="3">
        <v>44</v>
      </c>
      <c r="C226" s="3" t="s">
        <v>16</v>
      </c>
      <c r="D226" s="3" t="s">
        <v>59</v>
      </c>
      <c r="E226" s="3" t="s">
        <v>54</v>
      </c>
      <c r="F226" s="4">
        <v>43976</v>
      </c>
      <c r="G226" s="3" t="s">
        <v>719</v>
      </c>
      <c r="H226" s="3" t="s">
        <v>720</v>
      </c>
      <c r="I226" s="3" t="s">
        <v>39</v>
      </c>
      <c r="J226" s="5">
        <v>4677.5958465044396</v>
      </c>
      <c r="K226" s="3">
        <v>488</v>
      </c>
      <c r="L226" s="3" t="s">
        <v>31</v>
      </c>
      <c r="M226" s="4">
        <v>43987</v>
      </c>
      <c r="N226" s="3" t="s">
        <v>79</v>
      </c>
      <c r="O226" s="3" t="s">
        <v>33</v>
      </c>
      <c r="P226" s="3" t="str">
        <f>IF(Table1[[#This Row],[Billing Amount]]&lt;5000,"Low",IF(Table1[[#This Row],[Billing Amount]]&lt;=15000,"Medium","High"))</f>
        <v>Low</v>
      </c>
      <c r="Q226" s="3" t="str">
        <f>IF(Table1[[#This Row],[Discharge Date]]="Yes","Discharged","Under Treatment")</f>
        <v>Under Treatment</v>
      </c>
      <c r="R226" s="3" t="str">
        <f>IF(Table1[[#This Row],[Test Results]]&gt;120,"High Risk","Normal")</f>
        <v>High Risk</v>
      </c>
      <c r="S226" s="3" t="str">
        <f>IF(Table1[[#This Row],[Age]]&lt;=18,"0-18",IF(Table1[[#This Row],[Age]]&lt;=35,"19-35",IF(Table1[[#This Row],[Age]]&lt;=50,"36-50",IF(Table1[[#This Row],[Age]]&lt;=65,"51-65","65+"))))</f>
        <v>36-50</v>
      </c>
    </row>
    <row r="227" spans="1:19" x14ac:dyDescent="0.3">
      <c r="A227" s="3" t="s">
        <v>721</v>
      </c>
      <c r="B227" s="3">
        <v>34</v>
      </c>
      <c r="C227" s="3" t="s">
        <v>16</v>
      </c>
      <c r="D227" s="3" t="s">
        <v>42</v>
      </c>
      <c r="E227" s="3" t="s">
        <v>76</v>
      </c>
      <c r="F227" s="4">
        <v>45194</v>
      </c>
      <c r="G227" s="3" t="s">
        <v>722</v>
      </c>
      <c r="H227" s="3" t="s">
        <v>723</v>
      </c>
      <c r="I227" s="3" t="s">
        <v>39</v>
      </c>
      <c r="J227" s="5">
        <v>35157.170267322799</v>
      </c>
      <c r="K227" s="3">
        <v>328</v>
      </c>
      <c r="L227" s="3" t="s">
        <v>46</v>
      </c>
      <c r="M227" s="4">
        <v>45220</v>
      </c>
      <c r="N227" s="3" t="s">
        <v>52</v>
      </c>
      <c r="O227" s="3" t="s">
        <v>24</v>
      </c>
      <c r="P227" s="3" t="str">
        <f>IF(Table1[[#This Row],[Billing Amount]]&lt;5000,"Low",IF(Table1[[#This Row],[Billing Amount]]&lt;=15000,"Medium","High"))</f>
        <v>High</v>
      </c>
      <c r="Q227" s="3" t="str">
        <f>IF(Table1[[#This Row],[Discharge Date]]="Yes","Discharged","Under Treatment")</f>
        <v>Under Treatment</v>
      </c>
      <c r="R227" s="3" t="str">
        <f>IF(Table1[[#This Row],[Test Results]]&gt;120,"High Risk","Normal")</f>
        <v>High Risk</v>
      </c>
      <c r="S227" s="3" t="str">
        <f>IF(Table1[[#This Row],[Age]]&lt;=18,"0-18",IF(Table1[[#This Row],[Age]]&lt;=35,"19-35",IF(Table1[[#This Row],[Age]]&lt;=50,"36-50",IF(Table1[[#This Row],[Age]]&lt;=65,"51-65","65+"))))</f>
        <v>19-35</v>
      </c>
    </row>
    <row r="228" spans="1:19" x14ac:dyDescent="0.3">
      <c r="A228" s="3" t="s">
        <v>724</v>
      </c>
      <c r="B228" s="3">
        <v>32</v>
      </c>
      <c r="C228" s="3" t="s">
        <v>16</v>
      </c>
      <c r="D228" s="3" t="s">
        <v>42</v>
      </c>
      <c r="E228" s="3" t="s">
        <v>27</v>
      </c>
      <c r="F228" s="4">
        <v>43842</v>
      </c>
      <c r="G228" s="3" t="s">
        <v>725</v>
      </c>
      <c r="H228" s="3" t="s">
        <v>726</v>
      </c>
      <c r="I228" s="3" t="s">
        <v>39</v>
      </c>
      <c r="J228" s="5">
        <v>23775.449006940398</v>
      </c>
      <c r="K228" s="3">
        <v>133</v>
      </c>
      <c r="L228" s="3" t="s">
        <v>46</v>
      </c>
      <c r="M228" s="4">
        <v>43849</v>
      </c>
      <c r="N228" s="3" t="s">
        <v>40</v>
      </c>
      <c r="O228" s="3" t="s">
        <v>24</v>
      </c>
      <c r="P228" s="3" t="str">
        <f>IF(Table1[[#This Row],[Billing Amount]]&lt;5000,"Low",IF(Table1[[#This Row],[Billing Amount]]&lt;=15000,"Medium","High"))</f>
        <v>High</v>
      </c>
      <c r="Q228" s="3" t="str">
        <f>IF(Table1[[#This Row],[Discharge Date]]="Yes","Discharged","Under Treatment")</f>
        <v>Under Treatment</v>
      </c>
      <c r="R228" s="3" t="str">
        <f>IF(Table1[[#This Row],[Test Results]]&gt;120,"High Risk","Normal")</f>
        <v>High Risk</v>
      </c>
      <c r="S228" s="3" t="str">
        <f>IF(Table1[[#This Row],[Age]]&lt;=18,"0-18",IF(Table1[[#This Row],[Age]]&lt;=35,"19-35",IF(Table1[[#This Row],[Age]]&lt;=50,"36-50",IF(Table1[[#This Row],[Age]]&lt;=65,"51-65","65+"))))</f>
        <v>19-35</v>
      </c>
    </row>
    <row r="229" spans="1:19" x14ac:dyDescent="0.3">
      <c r="A229" s="3" t="s">
        <v>727</v>
      </c>
      <c r="B229" s="3">
        <v>64</v>
      </c>
      <c r="C229" s="3" t="s">
        <v>16</v>
      </c>
      <c r="D229" s="3" t="s">
        <v>103</v>
      </c>
      <c r="E229" s="3" t="s">
        <v>93</v>
      </c>
      <c r="F229" s="4">
        <v>44771</v>
      </c>
      <c r="G229" s="3" t="s">
        <v>728</v>
      </c>
      <c r="H229" s="3" t="s">
        <v>729</v>
      </c>
      <c r="I229" s="3" t="s">
        <v>57</v>
      </c>
      <c r="J229" s="5">
        <v>17732.469366062702</v>
      </c>
      <c r="K229" s="3">
        <v>247</v>
      </c>
      <c r="L229" s="3" t="s">
        <v>22</v>
      </c>
      <c r="M229" s="4">
        <v>44780</v>
      </c>
      <c r="N229" s="3" t="s">
        <v>32</v>
      </c>
      <c r="O229" s="3" t="s">
        <v>24</v>
      </c>
      <c r="P229" s="3" t="str">
        <f>IF(Table1[[#This Row],[Billing Amount]]&lt;5000,"Low",IF(Table1[[#This Row],[Billing Amount]]&lt;=15000,"Medium","High"))</f>
        <v>High</v>
      </c>
      <c r="Q229" s="3" t="str">
        <f>IF(Table1[[#This Row],[Discharge Date]]="Yes","Discharged","Under Treatment")</f>
        <v>Under Treatment</v>
      </c>
      <c r="R229" s="3" t="str">
        <f>IF(Table1[[#This Row],[Test Results]]&gt;120,"High Risk","Normal")</f>
        <v>High Risk</v>
      </c>
      <c r="S229" s="3" t="str">
        <f>IF(Table1[[#This Row],[Age]]&lt;=18,"0-18",IF(Table1[[#This Row],[Age]]&lt;=35,"19-35",IF(Table1[[#This Row],[Age]]&lt;=50,"36-50",IF(Table1[[#This Row],[Age]]&lt;=65,"51-65","65+"))))</f>
        <v>51-65</v>
      </c>
    </row>
    <row r="230" spans="1:19" x14ac:dyDescent="0.3">
      <c r="A230" s="3" t="s">
        <v>730</v>
      </c>
      <c r="B230" s="3">
        <v>80</v>
      </c>
      <c r="C230" s="3" t="s">
        <v>16</v>
      </c>
      <c r="D230" s="3" t="s">
        <v>36</v>
      </c>
      <c r="E230" s="3" t="s">
        <v>54</v>
      </c>
      <c r="F230" s="4">
        <v>44977</v>
      </c>
      <c r="G230" s="3" t="s">
        <v>731</v>
      </c>
      <c r="H230" s="3" t="s">
        <v>732</v>
      </c>
      <c r="I230" s="3" t="s">
        <v>65</v>
      </c>
      <c r="J230" s="5">
        <v>3845.3974956264701</v>
      </c>
      <c r="K230" s="3">
        <v>158</v>
      </c>
      <c r="L230" s="3" t="s">
        <v>31</v>
      </c>
      <c r="M230" s="4">
        <v>44995</v>
      </c>
      <c r="N230" s="3" t="s">
        <v>52</v>
      </c>
      <c r="O230" s="3" t="s">
        <v>24</v>
      </c>
      <c r="P230" s="3" t="str">
        <f>IF(Table1[[#This Row],[Billing Amount]]&lt;5000,"Low",IF(Table1[[#This Row],[Billing Amount]]&lt;=15000,"Medium","High"))</f>
        <v>Low</v>
      </c>
      <c r="Q230" s="3" t="str">
        <f>IF(Table1[[#This Row],[Discharge Date]]="Yes","Discharged","Under Treatment")</f>
        <v>Under Treatment</v>
      </c>
      <c r="R230" s="3" t="str">
        <f>IF(Table1[[#This Row],[Test Results]]&gt;120,"High Risk","Normal")</f>
        <v>High Risk</v>
      </c>
      <c r="S230" s="3" t="str">
        <f>IF(Table1[[#This Row],[Age]]&lt;=18,"0-18",IF(Table1[[#This Row],[Age]]&lt;=35,"19-35",IF(Table1[[#This Row],[Age]]&lt;=50,"36-50",IF(Table1[[#This Row],[Age]]&lt;=65,"51-65","65+"))))</f>
        <v>65+</v>
      </c>
    </row>
    <row r="231" spans="1:19" x14ac:dyDescent="0.3">
      <c r="A231" s="3" t="s">
        <v>733</v>
      </c>
      <c r="B231" s="3">
        <v>80</v>
      </c>
      <c r="C231" s="3" t="s">
        <v>16</v>
      </c>
      <c r="D231" s="3" t="s">
        <v>36</v>
      </c>
      <c r="E231" s="3" t="s">
        <v>18</v>
      </c>
      <c r="F231" s="4">
        <v>44391</v>
      </c>
      <c r="G231" s="3" t="s">
        <v>734</v>
      </c>
      <c r="H231" s="3" t="s">
        <v>735</v>
      </c>
      <c r="I231" s="3" t="s">
        <v>21</v>
      </c>
      <c r="J231" s="5">
        <v>22401.550353437498</v>
      </c>
      <c r="K231" s="3">
        <v>242</v>
      </c>
      <c r="L231" s="3" t="s">
        <v>46</v>
      </c>
      <c r="M231" s="4">
        <v>44401</v>
      </c>
      <c r="N231" s="3" t="s">
        <v>79</v>
      </c>
      <c r="O231" s="3" t="s">
        <v>33</v>
      </c>
      <c r="P231" s="3" t="str">
        <f>IF(Table1[[#This Row],[Billing Amount]]&lt;5000,"Low",IF(Table1[[#This Row],[Billing Amount]]&lt;=15000,"Medium","High"))</f>
        <v>High</v>
      </c>
      <c r="Q231" s="3" t="str">
        <f>IF(Table1[[#This Row],[Discharge Date]]="Yes","Discharged","Under Treatment")</f>
        <v>Under Treatment</v>
      </c>
      <c r="R231" s="3" t="str">
        <f>IF(Table1[[#This Row],[Test Results]]&gt;120,"High Risk","Normal")</f>
        <v>High Risk</v>
      </c>
      <c r="S231" s="3" t="str">
        <f>IF(Table1[[#This Row],[Age]]&lt;=18,"0-18",IF(Table1[[#This Row],[Age]]&lt;=35,"19-35",IF(Table1[[#This Row],[Age]]&lt;=50,"36-50",IF(Table1[[#This Row],[Age]]&lt;=65,"51-65","65+"))))</f>
        <v>65+</v>
      </c>
    </row>
    <row r="232" spans="1:19" x14ac:dyDescent="0.3">
      <c r="A232" s="3" t="s">
        <v>736</v>
      </c>
      <c r="B232" s="3">
        <v>37</v>
      </c>
      <c r="C232" s="3" t="s">
        <v>35</v>
      </c>
      <c r="D232" s="3" t="s">
        <v>42</v>
      </c>
      <c r="E232" s="3" t="s">
        <v>76</v>
      </c>
      <c r="F232" s="4">
        <v>45399</v>
      </c>
      <c r="G232" s="3" t="s">
        <v>737</v>
      </c>
      <c r="H232" s="3" t="s">
        <v>738</v>
      </c>
      <c r="I232" s="3" t="s">
        <v>57</v>
      </c>
      <c r="J232" s="5">
        <v>23340.304719213502</v>
      </c>
      <c r="K232" s="3">
        <v>151</v>
      </c>
      <c r="L232" s="3" t="s">
        <v>22</v>
      </c>
      <c r="M232" s="4">
        <v>45419</v>
      </c>
      <c r="N232" s="3" t="s">
        <v>40</v>
      </c>
      <c r="O232" s="3" t="s">
        <v>24</v>
      </c>
      <c r="P232" s="3" t="str">
        <f>IF(Table1[[#This Row],[Billing Amount]]&lt;5000,"Low",IF(Table1[[#This Row],[Billing Amount]]&lt;=15000,"Medium","High"))</f>
        <v>High</v>
      </c>
      <c r="Q232" s="3" t="str">
        <f>IF(Table1[[#This Row],[Discharge Date]]="Yes","Discharged","Under Treatment")</f>
        <v>Under Treatment</v>
      </c>
      <c r="R232" s="3" t="str">
        <f>IF(Table1[[#This Row],[Test Results]]&gt;120,"High Risk","Normal")</f>
        <v>High Risk</v>
      </c>
      <c r="S232" s="3" t="str">
        <f>IF(Table1[[#This Row],[Age]]&lt;=18,"0-18",IF(Table1[[#This Row],[Age]]&lt;=35,"19-35",IF(Table1[[#This Row],[Age]]&lt;=50,"36-50",IF(Table1[[#This Row],[Age]]&lt;=65,"51-65","65+"))))</f>
        <v>36-50</v>
      </c>
    </row>
    <row r="233" spans="1:19" x14ac:dyDescent="0.3">
      <c r="A233" s="3" t="s">
        <v>739</v>
      </c>
      <c r="B233" s="3">
        <v>52</v>
      </c>
      <c r="C233" s="3" t="s">
        <v>35</v>
      </c>
      <c r="D233" s="3" t="s">
        <v>26</v>
      </c>
      <c r="E233" s="3" t="s">
        <v>76</v>
      </c>
      <c r="F233" s="4">
        <v>44231</v>
      </c>
      <c r="G233" s="3" t="s">
        <v>740</v>
      </c>
      <c r="H233" s="3" t="s">
        <v>741</v>
      </c>
      <c r="I233" s="3" t="s">
        <v>21</v>
      </c>
      <c r="J233" s="5">
        <v>3042.4091835970198</v>
      </c>
      <c r="K233" s="3">
        <v>221</v>
      </c>
      <c r="L233" s="3" t="s">
        <v>22</v>
      </c>
      <c r="M233" s="4">
        <v>44255</v>
      </c>
      <c r="N233" s="3" t="s">
        <v>40</v>
      </c>
      <c r="O233" s="3" t="s">
        <v>47</v>
      </c>
      <c r="P233" s="3" t="str">
        <f>IF(Table1[[#This Row],[Billing Amount]]&lt;5000,"Low",IF(Table1[[#This Row],[Billing Amount]]&lt;=15000,"Medium","High"))</f>
        <v>Low</v>
      </c>
      <c r="Q233" s="3" t="str">
        <f>IF(Table1[[#This Row],[Discharge Date]]="Yes","Discharged","Under Treatment")</f>
        <v>Under Treatment</v>
      </c>
      <c r="R233" s="3" t="str">
        <f>IF(Table1[[#This Row],[Test Results]]&gt;120,"High Risk","Normal")</f>
        <v>High Risk</v>
      </c>
      <c r="S233" s="3" t="str">
        <f>IF(Table1[[#This Row],[Age]]&lt;=18,"0-18",IF(Table1[[#This Row],[Age]]&lt;=35,"19-35",IF(Table1[[#This Row],[Age]]&lt;=50,"36-50",IF(Table1[[#This Row],[Age]]&lt;=65,"51-65","65+"))))</f>
        <v>51-65</v>
      </c>
    </row>
    <row r="234" spans="1:19" x14ac:dyDescent="0.3">
      <c r="A234" s="3" t="s">
        <v>742</v>
      </c>
      <c r="B234" s="3">
        <v>83</v>
      </c>
      <c r="C234" s="3" t="s">
        <v>35</v>
      </c>
      <c r="D234" s="3" t="s">
        <v>122</v>
      </c>
      <c r="E234" s="3" t="s">
        <v>43</v>
      </c>
      <c r="F234" s="4">
        <v>44441</v>
      </c>
      <c r="G234" s="3" t="s">
        <v>743</v>
      </c>
      <c r="H234" s="3" t="s">
        <v>744</v>
      </c>
      <c r="I234" s="3" t="s">
        <v>21</v>
      </c>
      <c r="J234" s="5">
        <v>41817.679182506399</v>
      </c>
      <c r="K234" s="3">
        <v>223</v>
      </c>
      <c r="L234" s="3" t="s">
        <v>22</v>
      </c>
      <c r="M234" s="4">
        <v>44458</v>
      </c>
      <c r="N234" s="3" t="s">
        <v>23</v>
      </c>
      <c r="O234" s="3" t="s">
        <v>33</v>
      </c>
      <c r="P234" s="3" t="str">
        <f>IF(Table1[[#This Row],[Billing Amount]]&lt;5000,"Low",IF(Table1[[#This Row],[Billing Amount]]&lt;=15000,"Medium","High"))</f>
        <v>High</v>
      </c>
      <c r="Q234" s="3" t="str">
        <f>IF(Table1[[#This Row],[Discharge Date]]="Yes","Discharged","Under Treatment")</f>
        <v>Under Treatment</v>
      </c>
      <c r="R234" s="3" t="str">
        <f>IF(Table1[[#This Row],[Test Results]]&gt;120,"High Risk","Normal")</f>
        <v>High Risk</v>
      </c>
      <c r="S234" s="3" t="str">
        <f>IF(Table1[[#This Row],[Age]]&lt;=18,"0-18",IF(Table1[[#This Row],[Age]]&lt;=35,"19-35",IF(Table1[[#This Row],[Age]]&lt;=50,"36-50",IF(Table1[[#This Row],[Age]]&lt;=65,"51-65","65+"))))</f>
        <v>65+</v>
      </c>
    </row>
    <row r="235" spans="1:19" x14ac:dyDescent="0.3">
      <c r="A235" s="3" t="s">
        <v>745</v>
      </c>
      <c r="B235" s="3">
        <v>28</v>
      </c>
      <c r="C235" s="3" t="s">
        <v>35</v>
      </c>
      <c r="D235" s="3" t="s">
        <v>17</v>
      </c>
      <c r="E235" s="3" t="s">
        <v>93</v>
      </c>
      <c r="F235" s="4">
        <v>44814</v>
      </c>
      <c r="G235" s="3" t="s">
        <v>746</v>
      </c>
      <c r="H235" s="3" t="s">
        <v>747</v>
      </c>
      <c r="I235" s="3" t="s">
        <v>65</v>
      </c>
      <c r="J235" s="5">
        <v>49700.324206552097</v>
      </c>
      <c r="K235" s="3">
        <v>359</v>
      </c>
      <c r="L235" s="3" t="s">
        <v>46</v>
      </c>
      <c r="M235" s="4">
        <v>44835</v>
      </c>
      <c r="N235" s="3" t="s">
        <v>23</v>
      </c>
      <c r="O235" s="3" t="s">
        <v>47</v>
      </c>
      <c r="P235" s="3" t="str">
        <f>IF(Table1[[#This Row],[Billing Amount]]&lt;5000,"Low",IF(Table1[[#This Row],[Billing Amount]]&lt;=15000,"Medium","High"))</f>
        <v>High</v>
      </c>
      <c r="Q235" s="3" t="str">
        <f>IF(Table1[[#This Row],[Discharge Date]]="Yes","Discharged","Under Treatment")</f>
        <v>Under Treatment</v>
      </c>
      <c r="R235" s="3" t="str">
        <f>IF(Table1[[#This Row],[Test Results]]&gt;120,"High Risk","Normal")</f>
        <v>High Risk</v>
      </c>
      <c r="S235" s="3" t="str">
        <f>IF(Table1[[#This Row],[Age]]&lt;=18,"0-18",IF(Table1[[#This Row],[Age]]&lt;=35,"19-35",IF(Table1[[#This Row],[Age]]&lt;=50,"36-50",IF(Table1[[#This Row],[Age]]&lt;=65,"51-65","65+"))))</f>
        <v>19-35</v>
      </c>
    </row>
    <row r="236" spans="1:19" x14ac:dyDescent="0.3">
      <c r="A236" s="3" t="s">
        <v>748</v>
      </c>
      <c r="B236" s="3">
        <v>63</v>
      </c>
      <c r="C236" s="3" t="s">
        <v>16</v>
      </c>
      <c r="D236" s="3" t="s">
        <v>26</v>
      </c>
      <c r="E236" s="3" t="s">
        <v>43</v>
      </c>
      <c r="F236" s="4">
        <v>44890</v>
      </c>
      <c r="G236" s="3" t="s">
        <v>749</v>
      </c>
      <c r="H236" s="3" t="s">
        <v>750</v>
      </c>
      <c r="I236" s="3" t="s">
        <v>21</v>
      </c>
      <c r="J236" s="5">
        <v>45157.471124838899</v>
      </c>
      <c r="K236" s="3">
        <v>480</v>
      </c>
      <c r="L236" s="3" t="s">
        <v>46</v>
      </c>
      <c r="M236" s="4">
        <v>44915</v>
      </c>
      <c r="N236" s="3" t="s">
        <v>79</v>
      </c>
      <c r="O236" s="3" t="s">
        <v>24</v>
      </c>
      <c r="P236" s="3" t="str">
        <f>IF(Table1[[#This Row],[Billing Amount]]&lt;5000,"Low",IF(Table1[[#This Row],[Billing Amount]]&lt;=15000,"Medium","High"))</f>
        <v>High</v>
      </c>
      <c r="Q236" s="3" t="str">
        <f>IF(Table1[[#This Row],[Discharge Date]]="Yes","Discharged","Under Treatment")</f>
        <v>Under Treatment</v>
      </c>
      <c r="R236" s="3" t="str">
        <f>IF(Table1[[#This Row],[Test Results]]&gt;120,"High Risk","Normal")</f>
        <v>High Risk</v>
      </c>
      <c r="S236" s="3" t="str">
        <f>IF(Table1[[#This Row],[Age]]&lt;=18,"0-18",IF(Table1[[#This Row],[Age]]&lt;=35,"19-35",IF(Table1[[#This Row],[Age]]&lt;=50,"36-50",IF(Table1[[#This Row],[Age]]&lt;=65,"51-65","65+"))))</f>
        <v>51-65</v>
      </c>
    </row>
    <row r="237" spans="1:19" x14ac:dyDescent="0.3">
      <c r="A237" s="3" t="s">
        <v>751</v>
      </c>
      <c r="B237" s="3">
        <v>85</v>
      </c>
      <c r="C237" s="3" t="s">
        <v>16</v>
      </c>
      <c r="D237" s="3" t="s">
        <v>122</v>
      </c>
      <c r="E237" s="3" t="s">
        <v>54</v>
      </c>
      <c r="F237" s="4">
        <v>45142</v>
      </c>
      <c r="G237" s="3" t="s">
        <v>752</v>
      </c>
      <c r="H237" s="3" t="s">
        <v>753</v>
      </c>
      <c r="I237" s="3" t="s">
        <v>65</v>
      </c>
      <c r="J237" s="5">
        <v>18832.100342779599</v>
      </c>
      <c r="K237" s="3">
        <v>472</v>
      </c>
      <c r="L237" s="3" t="s">
        <v>31</v>
      </c>
      <c r="M237" s="4">
        <v>45150</v>
      </c>
      <c r="N237" s="3" t="s">
        <v>32</v>
      </c>
      <c r="O237" s="3" t="s">
        <v>47</v>
      </c>
      <c r="P237" s="3" t="str">
        <f>IF(Table1[[#This Row],[Billing Amount]]&lt;5000,"Low",IF(Table1[[#This Row],[Billing Amount]]&lt;=15000,"Medium","High"))</f>
        <v>High</v>
      </c>
      <c r="Q237" s="3" t="str">
        <f>IF(Table1[[#This Row],[Discharge Date]]="Yes","Discharged","Under Treatment")</f>
        <v>Under Treatment</v>
      </c>
      <c r="R237" s="3" t="str">
        <f>IF(Table1[[#This Row],[Test Results]]&gt;120,"High Risk","Normal")</f>
        <v>High Risk</v>
      </c>
      <c r="S237" s="3" t="str">
        <f>IF(Table1[[#This Row],[Age]]&lt;=18,"0-18",IF(Table1[[#This Row],[Age]]&lt;=35,"19-35",IF(Table1[[#This Row],[Age]]&lt;=50,"36-50",IF(Table1[[#This Row],[Age]]&lt;=65,"51-65","65+"))))</f>
        <v>65+</v>
      </c>
    </row>
    <row r="238" spans="1:19" x14ac:dyDescent="0.3">
      <c r="A238" s="3" t="s">
        <v>754</v>
      </c>
      <c r="B238" s="3">
        <v>37</v>
      </c>
      <c r="C238" s="3" t="s">
        <v>16</v>
      </c>
      <c r="D238" s="3" t="s">
        <v>122</v>
      </c>
      <c r="E238" s="3" t="s">
        <v>76</v>
      </c>
      <c r="F238" s="4">
        <v>44155</v>
      </c>
      <c r="G238" s="3" t="s">
        <v>755</v>
      </c>
      <c r="H238" s="3" t="s">
        <v>756</v>
      </c>
      <c r="I238" s="3" t="s">
        <v>39</v>
      </c>
      <c r="J238" s="5">
        <v>31732.130077881899</v>
      </c>
      <c r="K238" s="3">
        <v>373</v>
      </c>
      <c r="L238" s="3" t="s">
        <v>46</v>
      </c>
      <c r="M238" s="4">
        <v>44171</v>
      </c>
      <c r="N238" s="3" t="s">
        <v>79</v>
      </c>
      <c r="O238" s="3" t="s">
        <v>24</v>
      </c>
      <c r="P238" s="3" t="str">
        <f>IF(Table1[[#This Row],[Billing Amount]]&lt;5000,"Low",IF(Table1[[#This Row],[Billing Amount]]&lt;=15000,"Medium","High"))</f>
        <v>High</v>
      </c>
      <c r="Q238" s="3" t="str">
        <f>IF(Table1[[#This Row],[Discharge Date]]="Yes","Discharged","Under Treatment")</f>
        <v>Under Treatment</v>
      </c>
      <c r="R238" s="3" t="str">
        <f>IF(Table1[[#This Row],[Test Results]]&gt;120,"High Risk","Normal")</f>
        <v>High Risk</v>
      </c>
      <c r="S238" s="3" t="str">
        <f>IF(Table1[[#This Row],[Age]]&lt;=18,"0-18",IF(Table1[[#This Row],[Age]]&lt;=35,"19-35",IF(Table1[[#This Row],[Age]]&lt;=50,"36-50",IF(Table1[[#This Row],[Age]]&lt;=65,"51-65","65+"))))</f>
        <v>36-50</v>
      </c>
    </row>
    <row r="239" spans="1:19" x14ac:dyDescent="0.3">
      <c r="A239" s="3" t="s">
        <v>757</v>
      </c>
      <c r="B239" s="3">
        <v>22</v>
      </c>
      <c r="C239" s="3" t="s">
        <v>16</v>
      </c>
      <c r="D239" s="3" t="s">
        <v>59</v>
      </c>
      <c r="E239" s="3" t="s">
        <v>43</v>
      </c>
      <c r="F239" s="4">
        <v>43761</v>
      </c>
      <c r="G239" s="3" t="s">
        <v>758</v>
      </c>
      <c r="H239" s="3" t="s">
        <v>759</v>
      </c>
      <c r="I239" s="3" t="s">
        <v>21</v>
      </c>
      <c r="J239" s="5">
        <v>42214.979697714203</v>
      </c>
      <c r="K239" s="3">
        <v>370</v>
      </c>
      <c r="L239" s="3" t="s">
        <v>22</v>
      </c>
      <c r="M239" s="4">
        <v>43778</v>
      </c>
      <c r="N239" s="3" t="s">
        <v>23</v>
      </c>
      <c r="O239" s="3" t="s">
        <v>47</v>
      </c>
      <c r="P239" s="3" t="str">
        <f>IF(Table1[[#This Row],[Billing Amount]]&lt;5000,"Low",IF(Table1[[#This Row],[Billing Amount]]&lt;=15000,"Medium","High"))</f>
        <v>High</v>
      </c>
      <c r="Q239" s="3" t="str">
        <f>IF(Table1[[#This Row],[Discharge Date]]="Yes","Discharged","Under Treatment")</f>
        <v>Under Treatment</v>
      </c>
      <c r="R239" s="3" t="str">
        <f>IF(Table1[[#This Row],[Test Results]]&gt;120,"High Risk","Normal")</f>
        <v>High Risk</v>
      </c>
      <c r="S239" s="3" t="str">
        <f>IF(Table1[[#This Row],[Age]]&lt;=18,"0-18",IF(Table1[[#This Row],[Age]]&lt;=35,"19-35",IF(Table1[[#This Row],[Age]]&lt;=50,"36-50",IF(Table1[[#This Row],[Age]]&lt;=65,"51-65","65+"))))</f>
        <v>19-35</v>
      </c>
    </row>
    <row r="240" spans="1:19" x14ac:dyDescent="0.3">
      <c r="A240" s="3" t="s">
        <v>760</v>
      </c>
      <c r="B240" s="3">
        <v>80</v>
      </c>
      <c r="C240" s="3" t="s">
        <v>35</v>
      </c>
      <c r="D240" s="3" t="s">
        <v>49</v>
      </c>
      <c r="E240" s="3" t="s">
        <v>93</v>
      </c>
      <c r="F240" s="4">
        <v>44121</v>
      </c>
      <c r="G240" s="3" t="s">
        <v>761</v>
      </c>
      <c r="H240" s="3" t="s">
        <v>762</v>
      </c>
      <c r="I240" s="3" t="s">
        <v>30</v>
      </c>
      <c r="J240" s="5">
        <v>12400.2050988106</v>
      </c>
      <c r="K240" s="3">
        <v>141</v>
      </c>
      <c r="L240" s="3" t="s">
        <v>46</v>
      </c>
      <c r="M240" s="4">
        <v>44133</v>
      </c>
      <c r="N240" s="3" t="s">
        <v>40</v>
      </c>
      <c r="O240" s="3" t="s">
        <v>24</v>
      </c>
      <c r="P240" s="3" t="str">
        <f>IF(Table1[[#This Row],[Billing Amount]]&lt;5000,"Low",IF(Table1[[#This Row],[Billing Amount]]&lt;=15000,"Medium","High"))</f>
        <v>Medium</v>
      </c>
      <c r="Q240" s="3" t="str">
        <f>IF(Table1[[#This Row],[Discharge Date]]="Yes","Discharged","Under Treatment")</f>
        <v>Under Treatment</v>
      </c>
      <c r="R240" s="3" t="str">
        <f>IF(Table1[[#This Row],[Test Results]]&gt;120,"High Risk","Normal")</f>
        <v>High Risk</v>
      </c>
      <c r="S240" s="3" t="str">
        <f>IF(Table1[[#This Row],[Age]]&lt;=18,"0-18",IF(Table1[[#This Row],[Age]]&lt;=35,"19-35",IF(Table1[[#This Row],[Age]]&lt;=50,"36-50",IF(Table1[[#This Row],[Age]]&lt;=65,"51-65","65+"))))</f>
        <v>65+</v>
      </c>
    </row>
    <row r="241" spans="1:19" x14ac:dyDescent="0.3">
      <c r="A241" s="3" t="s">
        <v>763</v>
      </c>
      <c r="B241" s="3">
        <v>48</v>
      </c>
      <c r="C241" s="3" t="s">
        <v>35</v>
      </c>
      <c r="D241" s="3" t="s">
        <v>42</v>
      </c>
      <c r="E241" s="3" t="s">
        <v>93</v>
      </c>
      <c r="F241" s="4">
        <v>44922</v>
      </c>
      <c r="G241" s="3" t="s">
        <v>764</v>
      </c>
      <c r="H241" s="3" t="s">
        <v>765</v>
      </c>
      <c r="I241" s="3" t="s">
        <v>21</v>
      </c>
      <c r="J241" s="5">
        <v>1133.58647605806</v>
      </c>
      <c r="K241" s="3">
        <v>343</v>
      </c>
      <c r="L241" s="3" t="s">
        <v>22</v>
      </c>
      <c r="M241" s="4">
        <v>44926</v>
      </c>
      <c r="N241" s="3" t="s">
        <v>52</v>
      </c>
      <c r="O241" s="3" t="s">
        <v>47</v>
      </c>
      <c r="P241" s="3" t="str">
        <f>IF(Table1[[#This Row],[Billing Amount]]&lt;5000,"Low",IF(Table1[[#This Row],[Billing Amount]]&lt;=15000,"Medium","High"))</f>
        <v>Low</v>
      </c>
      <c r="Q241" s="3" t="str">
        <f>IF(Table1[[#This Row],[Discharge Date]]="Yes","Discharged","Under Treatment")</f>
        <v>Under Treatment</v>
      </c>
      <c r="R241" s="3" t="str">
        <f>IF(Table1[[#This Row],[Test Results]]&gt;120,"High Risk","Normal")</f>
        <v>High Risk</v>
      </c>
      <c r="S241" s="3" t="str">
        <f>IF(Table1[[#This Row],[Age]]&lt;=18,"0-18",IF(Table1[[#This Row],[Age]]&lt;=35,"19-35",IF(Table1[[#This Row],[Age]]&lt;=50,"36-50",IF(Table1[[#This Row],[Age]]&lt;=65,"51-65","65+"))))</f>
        <v>36-50</v>
      </c>
    </row>
    <row r="242" spans="1:19" x14ac:dyDescent="0.3">
      <c r="A242" s="3" t="s">
        <v>766</v>
      </c>
      <c r="B242" s="3">
        <v>29</v>
      </c>
      <c r="C242" s="3" t="s">
        <v>16</v>
      </c>
      <c r="D242" s="3" t="s">
        <v>103</v>
      </c>
      <c r="E242" s="3" t="s">
        <v>27</v>
      </c>
      <c r="F242" s="4">
        <v>45093</v>
      </c>
      <c r="G242" s="3" t="s">
        <v>767</v>
      </c>
      <c r="H242" s="3" t="s">
        <v>768</v>
      </c>
      <c r="I242" s="3" t="s">
        <v>21</v>
      </c>
      <c r="J242" s="5">
        <v>24340.322856965598</v>
      </c>
      <c r="K242" s="3">
        <v>310</v>
      </c>
      <c r="L242" s="3" t="s">
        <v>31</v>
      </c>
      <c r="M242" s="4">
        <v>45121</v>
      </c>
      <c r="N242" s="3" t="s">
        <v>40</v>
      </c>
      <c r="O242" s="3" t="s">
        <v>33</v>
      </c>
      <c r="P242" s="3" t="str">
        <f>IF(Table1[[#This Row],[Billing Amount]]&lt;5000,"Low",IF(Table1[[#This Row],[Billing Amount]]&lt;=15000,"Medium","High"))</f>
        <v>High</v>
      </c>
      <c r="Q242" s="3" t="str">
        <f>IF(Table1[[#This Row],[Discharge Date]]="Yes","Discharged","Under Treatment")</f>
        <v>Under Treatment</v>
      </c>
      <c r="R242" s="3" t="str">
        <f>IF(Table1[[#This Row],[Test Results]]&gt;120,"High Risk","Normal")</f>
        <v>High Risk</v>
      </c>
      <c r="S242" s="3" t="str">
        <f>IF(Table1[[#This Row],[Age]]&lt;=18,"0-18",IF(Table1[[#This Row],[Age]]&lt;=35,"19-35",IF(Table1[[#This Row],[Age]]&lt;=50,"36-50",IF(Table1[[#This Row],[Age]]&lt;=65,"51-65","65+"))))</f>
        <v>19-35</v>
      </c>
    </row>
    <row r="243" spans="1:19" x14ac:dyDescent="0.3">
      <c r="A243" s="3" t="s">
        <v>769</v>
      </c>
      <c r="B243" s="3">
        <v>76</v>
      </c>
      <c r="C243" s="3" t="s">
        <v>16</v>
      </c>
      <c r="D243" s="3" t="s">
        <v>26</v>
      </c>
      <c r="E243" s="3" t="s">
        <v>93</v>
      </c>
      <c r="F243" s="4">
        <v>45236</v>
      </c>
      <c r="G243" s="3" t="s">
        <v>770</v>
      </c>
      <c r="H243" s="3" t="s">
        <v>771</v>
      </c>
      <c r="I243" s="3" t="s">
        <v>21</v>
      </c>
      <c r="J243" s="5">
        <v>39390.935547084897</v>
      </c>
      <c r="K243" s="3">
        <v>319</v>
      </c>
      <c r="L243" s="3" t="s">
        <v>46</v>
      </c>
      <c r="M243" s="4">
        <v>45251</v>
      </c>
      <c r="N243" s="3" t="s">
        <v>40</v>
      </c>
      <c r="O243" s="3" t="s">
        <v>47</v>
      </c>
      <c r="P243" s="3" t="str">
        <f>IF(Table1[[#This Row],[Billing Amount]]&lt;5000,"Low",IF(Table1[[#This Row],[Billing Amount]]&lt;=15000,"Medium","High"))</f>
        <v>High</v>
      </c>
      <c r="Q243" s="3" t="str">
        <f>IF(Table1[[#This Row],[Discharge Date]]="Yes","Discharged","Under Treatment")</f>
        <v>Under Treatment</v>
      </c>
      <c r="R243" s="3" t="str">
        <f>IF(Table1[[#This Row],[Test Results]]&gt;120,"High Risk","Normal")</f>
        <v>High Risk</v>
      </c>
      <c r="S243" s="3" t="str">
        <f>IF(Table1[[#This Row],[Age]]&lt;=18,"0-18",IF(Table1[[#This Row],[Age]]&lt;=35,"19-35",IF(Table1[[#This Row],[Age]]&lt;=50,"36-50",IF(Table1[[#This Row],[Age]]&lt;=65,"51-65","65+"))))</f>
        <v>65+</v>
      </c>
    </row>
    <row r="244" spans="1:19" x14ac:dyDescent="0.3">
      <c r="A244" s="3" t="s">
        <v>772</v>
      </c>
      <c r="B244" s="3">
        <v>23</v>
      </c>
      <c r="C244" s="3" t="s">
        <v>35</v>
      </c>
      <c r="D244" s="3" t="s">
        <v>26</v>
      </c>
      <c r="E244" s="3" t="s">
        <v>76</v>
      </c>
      <c r="F244" s="4">
        <v>45286</v>
      </c>
      <c r="G244" s="3" t="s">
        <v>773</v>
      </c>
      <c r="H244" s="3" t="s">
        <v>774</v>
      </c>
      <c r="I244" s="3" t="s">
        <v>30</v>
      </c>
      <c r="J244" s="5">
        <v>17012.507402227198</v>
      </c>
      <c r="K244" s="3">
        <v>121</v>
      </c>
      <c r="L244" s="3" t="s">
        <v>46</v>
      </c>
      <c r="M244" s="4">
        <v>45313</v>
      </c>
      <c r="N244" s="3" t="s">
        <v>52</v>
      </c>
      <c r="O244" s="3" t="s">
        <v>24</v>
      </c>
      <c r="P244" s="3" t="str">
        <f>IF(Table1[[#This Row],[Billing Amount]]&lt;5000,"Low",IF(Table1[[#This Row],[Billing Amount]]&lt;=15000,"Medium","High"))</f>
        <v>High</v>
      </c>
      <c r="Q244" s="3" t="str">
        <f>IF(Table1[[#This Row],[Discharge Date]]="Yes","Discharged","Under Treatment")</f>
        <v>Under Treatment</v>
      </c>
      <c r="R244" s="3" t="str">
        <f>IF(Table1[[#This Row],[Test Results]]&gt;120,"High Risk","Normal")</f>
        <v>High Risk</v>
      </c>
      <c r="S244" s="3" t="str">
        <f>IF(Table1[[#This Row],[Age]]&lt;=18,"0-18",IF(Table1[[#This Row],[Age]]&lt;=35,"19-35",IF(Table1[[#This Row],[Age]]&lt;=50,"36-50",IF(Table1[[#This Row],[Age]]&lt;=65,"51-65","65+"))))</f>
        <v>19-35</v>
      </c>
    </row>
    <row r="245" spans="1:19" x14ac:dyDescent="0.3">
      <c r="A245" s="3" t="s">
        <v>775</v>
      </c>
      <c r="B245" s="3">
        <v>33</v>
      </c>
      <c r="C245" s="3" t="s">
        <v>16</v>
      </c>
      <c r="D245" s="3" t="s">
        <v>17</v>
      </c>
      <c r="E245" s="3" t="s">
        <v>54</v>
      </c>
      <c r="F245" s="4">
        <v>44967</v>
      </c>
      <c r="G245" s="3" t="s">
        <v>776</v>
      </c>
      <c r="H245" s="3" t="s">
        <v>777</v>
      </c>
      <c r="I245" s="3" t="s">
        <v>65</v>
      </c>
      <c r="J245" s="5">
        <v>14493.6139032184</v>
      </c>
      <c r="K245" s="3">
        <v>166</v>
      </c>
      <c r="L245" s="3" t="s">
        <v>31</v>
      </c>
      <c r="M245" s="4">
        <v>44990</v>
      </c>
      <c r="N245" s="3" t="s">
        <v>52</v>
      </c>
      <c r="O245" s="3" t="s">
        <v>33</v>
      </c>
      <c r="P245" s="3" t="str">
        <f>IF(Table1[[#This Row],[Billing Amount]]&lt;5000,"Low",IF(Table1[[#This Row],[Billing Amount]]&lt;=15000,"Medium","High"))</f>
        <v>Medium</v>
      </c>
      <c r="Q245" s="3" t="str">
        <f>IF(Table1[[#This Row],[Discharge Date]]="Yes","Discharged","Under Treatment")</f>
        <v>Under Treatment</v>
      </c>
      <c r="R245" s="3" t="str">
        <f>IF(Table1[[#This Row],[Test Results]]&gt;120,"High Risk","Normal")</f>
        <v>High Risk</v>
      </c>
      <c r="S245" s="3" t="str">
        <f>IF(Table1[[#This Row],[Age]]&lt;=18,"0-18",IF(Table1[[#This Row],[Age]]&lt;=35,"19-35",IF(Table1[[#This Row],[Age]]&lt;=50,"36-50",IF(Table1[[#This Row],[Age]]&lt;=65,"51-65","65+"))))</f>
        <v>19-35</v>
      </c>
    </row>
    <row r="246" spans="1:19" x14ac:dyDescent="0.3">
      <c r="A246" s="3" t="s">
        <v>778</v>
      </c>
      <c r="B246" s="3">
        <v>44</v>
      </c>
      <c r="C246" s="3" t="s">
        <v>35</v>
      </c>
      <c r="D246" s="3" t="s">
        <v>49</v>
      </c>
      <c r="E246" s="3" t="s">
        <v>27</v>
      </c>
      <c r="F246" s="4">
        <v>45190</v>
      </c>
      <c r="G246" s="3" t="s">
        <v>779</v>
      </c>
      <c r="H246" s="3" t="s">
        <v>780</v>
      </c>
      <c r="I246" s="3" t="s">
        <v>57</v>
      </c>
      <c r="J246" s="5">
        <v>6232.0017868470904</v>
      </c>
      <c r="K246" s="3">
        <v>186</v>
      </c>
      <c r="L246" s="3" t="s">
        <v>31</v>
      </c>
      <c r="M246" s="4">
        <v>45194</v>
      </c>
      <c r="N246" s="3" t="s">
        <v>32</v>
      </c>
      <c r="O246" s="3" t="s">
        <v>33</v>
      </c>
      <c r="P246" s="3" t="str">
        <f>IF(Table1[[#This Row],[Billing Amount]]&lt;5000,"Low",IF(Table1[[#This Row],[Billing Amount]]&lt;=15000,"Medium","High"))</f>
        <v>Medium</v>
      </c>
      <c r="Q246" s="3" t="str">
        <f>IF(Table1[[#This Row],[Discharge Date]]="Yes","Discharged","Under Treatment")</f>
        <v>Under Treatment</v>
      </c>
      <c r="R246" s="3" t="str">
        <f>IF(Table1[[#This Row],[Test Results]]&gt;120,"High Risk","Normal")</f>
        <v>High Risk</v>
      </c>
      <c r="S246" s="3" t="str">
        <f>IF(Table1[[#This Row],[Age]]&lt;=18,"0-18",IF(Table1[[#This Row],[Age]]&lt;=35,"19-35",IF(Table1[[#This Row],[Age]]&lt;=50,"36-50",IF(Table1[[#This Row],[Age]]&lt;=65,"51-65","65+"))))</f>
        <v>36-50</v>
      </c>
    </row>
    <row r="247" spans="1:19" x14ac:dyDescent="0.3">
      <c r="A247" s="3" t="s">
        <v>781</v>
      </c>
      <c r="B247" s="3">
        <v>84</v>
      </c>
      <c r="C247" s="3" t="s">
        <v>16</v>
      </c>
      <c r="D247" s="3" t="s">
        <v>103</v>
      </c>
      <c r="E247" s="3" t="s">
        <v>43</v>
      </c>
      <c r="F247" s="4">
        <v>44160</v>
      </c>
      <c r="G247" s="3" t="s">
        <v>782</v>
      </c>
      <c r="H247" s="3" t="s">
        <v>783</v>
      </c>
      <c r="I247" s="3" t="s">
        <v>65</v>
      </c>
      <c r="J247" s="5">
        <v>22982.252121727601</v>
      </c>
      <c r="K247" s="3">
        <v>320</v>
      </c>
      <c r="L247" s="3" t="s">
        <v>22</v>
      </c>
      <c r="M247" s="4">
        <v>44167</v>
      </c>
      <c r="N247" s="3" t="s">
        <v>32</v>
      </c>
      <c r="O247" s="3" t="s">
        <v>47</v>
      </c>
      <c r="P247" s="3" t="str">
        <f>IF(Table1[[#This Row],[Billing Amount]]&lt;5000,"Low",IF(Table1[[#This Row],[Billing Amount]]&lt;=15000,"Medium","High"))</f>
        <v>High</v>
      </c>
      <c r="Q247" s="3" t="str">
        <f>IF(Table1[[#This Row],[Discharge Date]]="Yes","Discharged","Under Treatment")</f>
        <v>Under Treatment</v>
      </c>
      <c r="R247" s="3" t="str">
        <f>IF(Table1[[#This Row],[Test Results]]&gt;120,"High Risk","Normal")</f>
        <v>High Risk</v>
      </c>
      <c r="S247" s="3" t="str">
        <f>IF(Table1[[#This Row],[Age]]&lt;=18,"0-18",IF(Table1[[#This Row],[Age]]&lt;=35,"19-35",IF(Table1[[#This Row],[Age]]&lt;=50,"36-50",IF(Table1[[#This Row],[Age]]&lt;=65,"51-65","65+"))))</f>
        <v>65+</v>
      </c>
    </row>
    <row r="248" spans="1:19" x14ac:dyDescent="0.3">
      <c r="A248" s="3" t="s">
        <v>784</v>
      </c>
      <c r="B248" s="3">
        <v>42</v>
      </c>
      <c r="C248" s="3" t="s">
        <v>16</v>
      </c>
      <c r="D248" s="3" t="s">
        <v>17</v>
      </c>
      <c r="E248" s="3" t="s">
        <v>93</v>
      </c>
      <c r="F248" s="4">
        <v>44919</v>
      </c>
      <c r="G248" s="3" t="s">
        <v>785</v>
      </c>
      <c r="H248" s="3" t="s">
        <v>786</v>
      </c>
      <c r="I248" s="3" t="s">
        <v>65</v>
      </c>
      <c r="J248" s="5">
        <v>10645.5658530089</v>
      </c>
      <c r="K248" s="3">
        <v>251</v>
      </c>
      <c r="L248" s="3" t="s">
        <v>31</v>
      </c>
      <c r="M248" s="4">
        <v>44932</v>
      </c>
      <c r="N248" s="3" t="s">
        <v>32</v>
      </c>
      <c r="O248" s="3" t="s">
        <v>24</v>
      </c>
      <c r="P248" s="3" t="str">
        <f>IF(Table1[[#This Row],[Billing Amount]]&lt;5000,"Low",IF(Table1[[#This Row],[Billing Amount]]&lt;=15000,"Medium","High"))</f>
        <v>Medium</v>
      </c>
      <c r="Q248" s="3" t="str">
        <f>IF(Table1[[#This Row],[Discharge Date]]="Yes","Discharged","Under Treatment")</f>
        <v>Under Treatment</v>
      </c>
      <c r="R248" s="3" t="str">
        <f>IF(Table1[[#This Row],[Test Results]]&gt;120,"High Risk","Normal")</f>
        <v>High Risk</v>
      </c>
      <c r="S248" s="3" t="str">
        <f>IF(Table1[[#This Row],[Age]]&lt;=18,"0-18",IF(Table1[[#This Row],[Age]]&lt;=35,"19-35",IF(Table1[[#This Row],[Age]]&lt;=50,"36-50",IF(Table1[[#This Row],[Age]]&lt;=65,"51-65","65+"))))</f>
        <v>36-50</v>
      </c>
    </row>
    <row r="249" spans="1:19" x14ac:dyDescent="0.3">
      <c r="A249" s="3" t="s">
        <v>787</v>
      </c>
      <c r="B249" s="3">
        <v>57</v>
      </c>
      <c r="C249" s="3" t="s">
        <v>16</v>
      </c>
      <c r="D249" s="3" t="s">
        <v>103</v>
      </c>
      <c r="E249" s="3" t="s">
        <v>93</v>
      </c>
      <c r="F249" s="4">
        <v>43743</v>
      </c>
      <c r="G249" s="3" t="s">
        <v>788</v>
      </c>
      <c r="H249" s="3" t="s">
        <v>789</v>
      </c>
      <c r="I249" s="3" t="s">
        <v>21</v>
      </c>
      <c r="J249" s="5">
        <v>35041.030967603299</v>
      </c>
      <c r="K249" s="3">
        <v>299</v>
      </c>
      <c r="L249" s="3" t="s">
        <v>46</v>
      </c>
      <c r="M249" s="4">
        <v>43758</v>
      </c>
      <c r="N249" s="3" t="s">
        <v>79</v>
      </c>
      <c r="O249" s="3" t="s">
        <v>24</v>
      </c>
      <c r="P249" s="3" t="str">
        <f>IF(Table1[[#This Row],[Billing Amount]]&lt;5000,"Low",IF(Table1[[#This Row],[Billing Amount]]&lt;=15000,"Medium","High"))</f>
        <v>High</v>
      </c>
      <c r="Q249" s="3" t="str">
        <f>IF(Table1[[#This Row],[Discharge Date]]="Yes","Discharged","Under Treatment")</f>
        <v>Under Treatment</v>
      </c>
      <c r="R249" s="3" t="str">
        <f>IF(Table1[[#This Row],[Test Results]]&gt;120,"High Risk","Normal")</f>
        <v>High Risk</v>
      </c>
      <c r="S249" s="3" t="str">
        <f>IF(Table1[[#This Row],[Age]]&lt;=18,"0-18",IF(Table1[[#This Row],[Age]]&lt;=35,"19-35",IF(Table1[[#This Row],[Age]]&lt;=50,"36-50",IF(Table1[[#This Row],[Age]]&lt;=65,"51-65","65+"))))</f>
        <v>51-65</v>
      </c>
    </row>
    <row r="250" spans="1:19" x14ac:dyDescent="0.3">
      <c r="A250" s="3" t="s">
        <v>790</v>
      </c>
      <c r="B250" s="3">
        <v>75</v>
      </c>
      <c r="C250" s="3" t="s">
        <v>35</v>
      </c>
      <c r="D250" s="3" t="s">
        <v>122</v>
      </c>
      <c r="E250" s="3" t="s">
        <v>93</v>
      </c>
      <c r="F250" s="4">
        <v>44633</v>
      </c>
      <c r="G250" s="3" t="s">
        <v>791</v>
      </c>
      <c r="H250" s="3" t="s">
        <v>792</v>
      </c>
      <c r="I250" s="3" t="s">
        <v>65</v>
      </c>
      <c r="J250" s="5">
        <v>45980.292293796003</v>
      </c>
      <c r="K250" s="3">
        <v>101</v>
      </c>
      <c r="L250" s="3" t="s">
        <v>31</v>
      </c>
      <c r="M250" s="4">
        <v>44646</v>
      </c>
      <c r="N250" s="3" t="s">
        <v>40</v>
      </c>
      <c r="O250" s="3" t="s">
        <v>33</v>
      </c>
      <c r="P250" s="3" t="str">
        <f>IF(Table1[[#This Row],[Billing Amount]]&lt;5000,"Low",IF(Table1[[#This Row],[Billing Amount]]&lt;=15000,"Medium","High"))</f>
        <v>High</v>
      </c>
      <c r="Q250" s="3" t="str">
        <f>IF(Table1[[#This Row],[Discharge Date]]="Yes","Discharged","Under Treatment")</f>
        <v>Under Treatment</v>
      </c>
      <c r="R250" s="3" t="str">
        <f>IF(Table1[[#This Row],[Test Results]]&gt;120,"High Risk","Normal")</f>
        <v>High Risk</v>
      </c>
      <c r="S250" s="3" t="str">
        <f>IF(Table1[[#This Row],[Age]]&lt;=18,"0-18",IF(Table1[[#This Row],[Age]]&lt;=35,"19-35",IF(Table1[[#This Row],[Age]]&lt;=50,"36-50",IF(Table1[[#This Row],[Age]]&lt;=65,"51-65","65+"))))</f>
        <v>65+</v>
      </c>
    </row>
    <row r="251" spans="1:19" x14ac:dyDescent="0.3">
      <c r="A251" s="3" t="s">
        <v>793</v>
      </c>
      <c r="B251" s="3">
        <v>43</v>
      </c>
      <c r="C251" s="3" t="s">
        <v>35</v>
      </c>
      <c r="D251" s="3" t="s">
        <v>59</v>
      </c>
      <c r="E251" s="3" t="s">
        <v>54</v>
      </c>
      <c r="F251" s="4">
        <v>44167</v>
      </c>
      <c r="G251" s="3" t="s">
        <v>794</v>
      </c>
      <c r="H251" s="3" t="s">
        <v>795</v>
      </c>
      <c r="I251" s="3" t="s">
        <v>57</v>
      </c>
      <c r="J251" s="5">
        <v>43670.378191668897</v>
      </c>
      <c r="K251" s="3">
        <v>181</v>
      </c>
      <c r="L251" s="3" t="s">
        <v>46</v>
      </c>
      <c r="M251" s="4">
        <v>44188</v>
      </c>
      <c r="N251" s="3" t="s">
        <v>40</v>
      </c>
      <c r="O251" s="3" t="s">
        <v>24</v>
      </c>
      <c r="P251" s="3" t="str">
        <f>IF(Table1[[#This Row],[Billing Amount]]&lt;5000,"Low",IF(Table1[[#This Row],[Billing Amount]]&lt;=15000,"Medium","High"))</f>
        <v>High</v>
      </c>
      <c r="Q251" s="3" t="str">
        <f>IF(Table1[[#This Row],[Discharge Date]]="Yes","Discharged","Under Treatment")</f>
        <v>Under Treatment</v>
      </c>
      <c r="R251" s="3" t="str">
        <f>IF(Table1[[#This Row],[Test Results]]&gt;120,"High Risk","Normal")</f>
        <v>High Risk</v>
      </c>
      <c r="S251" s="3" t="str">
        <f>IF(Table1[[#This Row],[Age]]&lt;=18,"0-18",IF(Table1[[#This Row],[Age]]&lt;=35,"19-35",IF(Table1[[#This Row],[Age]]&lt;=50,"36-50",IF(Table1[[#This Row],[Age]]&lt;=65,"51-65","65+"))))</f>
        <v>36-50</v>
      </c>
    </row>
    <row r="252" spans="1:19" x14ac:dyDescent="0.3">
      <c r="A252" s="3" t="s">
        <v>796</v>
      </c>
      <c r="B252" s="3">
        <v>22</v>
      </c>
      <c r="C252" s="3" t="s">
        <v>16</v>
      </c>
      <c r="D252" s="3" t="s">
        <v>49</v>
      </c>
      <c r="E252" s="3" t="s">
        <v>54</v>
      </c>
      <c r="F252" s="4">
        <v>45299</v>
      </c>
      <c r="G252" s="3" t="s">
        <v>797</v>
      </c>
      <c r="H252" s="3" t="s">
        <v>798</v>
      </c>
      <c r="I252" s="3" t="s">
        <v>57</v>
      </c>
      <c r="J252" s="5">
        <v>33706.597670683499</v>
      </c>
      <c r="K252" s="3">
        <v>282</v>
      </c>
      <c r="L252" s="3" t="s">
        <v>31</v>
      </c>
      <c r="M252" s="4">
        <v>45306</v>
      </c>
      <c r="N252" s="3" t="s">
        <v>40</v>
      </c>
      <c r="O252" s="3" t="s">
        <v>33</v>
      </c>
      <c r="P252" s="3" t="str">
        <f>IF(Table1[[#This Row],[Billing Amount]]&lt;5000,"Low",IF(Table1[[#This Row],[Billing Amount]]&lt;=15000,"Medium","High"))</f>
        <v>High</v>
      </c>
      <c r="Q252" s="3" t="str">
        <f>IF(Table1[[#This Row],[Discharge Date]]="Yes","Discharged","Under Treatment")</f>
        <v>Under Treatment</v>
      </c>
      <c r="R252" s="3" t="str">
        <f>IF(Table1[[#This Row],[Test Results]]&gt;120,"High Risk","Normal")</f>
        <v>High Risk</v>
      </c>
      <c r="S252" s="3" t="str">
        <f>IF(Table1[[#This Row],[Age]]&lt;=18,"0-18",IF(Table1[[#This Row],[Age]]&lt;=35,"19-35",IF(Table1[[#This Row],[Age]]&lt;=50,"36-50",IF(Table1[[#This Row],[Age]]&lt;=65,"51-65","65+"))))</f>
        <v>19-35</v>
      </c>
    </row>
    <row r="253" spans="1:19" x14ac:dyDescent="0.3">
      <c r="A253" s="3" t="s">
        <v>800</v>
      </c>
      <c r="B253" s="3">
        <v>66</v>
      </c>
      <c r="C253" s="3" t="s">
        <v>35</v>
      </c>
      <c r="D253" s="3" t="s">
        <v>49</v>
      </c>
      <c r="E253" s="3" t="s">
        <v>93</v>
      </c>
      <c r="F253" s="4">
        <v>45008</v>
      </c>
      <c r="G253" s="3" t="s">
        <v>801</v>
      </c>
      <c r="H253" s="3" t="s">
        <v>802</v>
      </c>
      <c r="I253" s="3" t="s">
        <v>21</v>
      </c>
      <c r="J253" s="5">
        <v>49078.469011056601</v>
      </c>
      <c r="K253" s="3">
        <v>389</v>
      </c>
      <c r="L253" s="3" t="s">
        <v>46</v>
      </c>
      <c r="M253" s="4">
        <v>45035</v>
      </c>
      <c r="N253" s="3" t="s">
        <v>52</v>
      </c>
      <c r="O253" s="3" t="s">
        <v>47</v>
      </c>
      <c r="P253" s="3" t="str">
        <f>IF(Table1[[#This Row],[Billing Amount]]&lt;5000,"Low",IF(Table1[[#This Row],[Billing Amount]]&lt;=15000,"Medium","High"))</f>
        <v>High</v>
      </c>
      <c r="Q253" s="3" t="str">
        <f>IF(Table1[[#This Row],[Discharge Date]]="Yes","Discharged","Under Treatment")</f>
        <v>Under Treatment</v>
      </c>
      <c r="R253" s="3" t="str">
        <f>IF(Table1[[#This Row],[Test Results]]&gt;120,"High Risk","Normal")</f>
        <v>High Risk</v>
      </c>
      <c r="S253" s="3" t="str">
        <f>IF(Table1[[#This Row],[Age]]&lt;=18,"0-18",IF(Table1[[#This Row],[Age]]&lt;=35,"19-35",IF(Table1[[#This Row],[Age]]&lt;=50,"36-50",IF(Table1[[#This Row],[Age]]&lt;=65,"51-65","65+"))))</f>
        <v>65+</v>
      </c>
    </row>
    <row r="254" spans="1:19" x14ac:dyDescent="0.3">
      <c r="A254" s="3" t="s">
        <v>803</v>
      </c>
      <c r="B254" s="3">
        <v>19</v>
      </c>
      <c r="C254" s="3" t="s">
        <v>16</v>
      </c>
      <c r="D254" s="3" t="s">
        <v>42</v>
      </c>
      <c r="E254" s="3" t="s">
        <v>27</v>
      </c>
      <c r="F254" s="4">
        <v>43850</v>
      </c>
      <c r="G254" s="3" t="s">
        <v>804</v>
      </c>
      <c r="H254" s="3" t="s">
        <v>805</v>
      </c>
      <c r="I254" s="3" t="s">
        <v>57</v>
      </c>
      <c r="J254" s="5">
        <v>23687.993642467602</v>
      </c>
      <c r="K254" s="3">
        <v>481</v>
      </c>
      <c r="L254" s="3" t="s">
        <v>31</v>
      </c>
      <c r="M254" s="4">
        <v>43872</v>
      </c>
      <c r="N254" s="3" t="s">
        <v>32</v>
      </c>
      <c r="O254" s="3" t="s">
        <v>24</v>
      </c>
      <c r="P254" s="3" t="str">
        <f>IF(Table1[[#This Row],[Billing Amount]]&lt;5000,"Low",IF(Table1[[#This Row],[Billing Amount]]&lt;=15000,"Medium","High"))</f>
        <v>High</v>
      </c>
      <c r="Q254" s="3" t="str">
        <f>IF(Table1[[#This Row],[Discharge Date]]="Yes","Discharged","Under Treatment")</f>
        <v>Under Treatment</v>
      </c>
      <c r="R254" s="3" t="str">
        <f>IF(Table1[[#This Row],[Test Results]]&gt;120,"High Risk","Normal")</f>
        <v>High Risk</v>
      </c>
      <c r="S254" s="3" t="str">
        <f>IF(Table1[[#This Row],[Age]]&lt;=18,"0-18",IF(Table1[[#This Row],[Age]]&lt;=35,"19-35",IF(Table1[[#This Row],[Age]]&lt;=50,"36-50",IF(Table1[[#This Row],[Age]]&lt;=65,"51-65","65+"))))</f>
        <v>19-35</v>
      </c>
    </row>
    <row r="255" spans="1:19" x14ac:dyDescent="0.3">
      <c r="A255" s="3" t="s">
        <v>806</v>
      </c>
      <c r="B255" s="3">
        <v>79</v>
      </c>
      <c r="C255" s="3" t="s">
        <v>35</v>
      </c>
      <c r="D255" s="3" t="s">
        <v>17</v>
      </c>
      <c r="E255" s="3" t="s">
        <v>43</v>
      </c>
      <c r="F255" s="4">
        <v>45314</v>
      </c>
      <c r="G255" s="3" t="s">
        <v>807</v>
      </c>
      <c r="H255" s="3" t="s">
        <v>808</v>
      </c>
      <c r="I255" s="3" t="s">
        <v>57</v>
      </c>
      <c r="J255" s="5">
        <v>17720.318726459001</v>
      </c>
      <c r="K255" s="3">
        <v>275</v>
      </c>
      <c r="L255" s="3" t="s">
        <v>46</v>
      </c>
      <c r="M255" s="4">
        <v>45344</v>
      </c>
      <c r="N255" s="3" t="s">
        <v>23</v>
      </c>
      <c r="O255" s="3" t="s">
        <v>47</v>
      </c>
      <c r="P255" s="3" t="str">
        <f>IF(Table1[[#This Row],[Billing Amount]]&lt;5000,"Low",IF(Table1[[#This Row],[Billing Amount]]&lt;=15000,"Medium","High"))</f>
        <v>High</v>
      </c>
      <c r="Q255" s="3" t="str">
        <f>IF(Table1[[#This Row],[Discharge Date]]="Yes","Discharged","Under Treatment")</f>
        <v>Under Treatment</v>
      </c>
      <c r="R255" s="3" t="str">
        <f>IF(Table1[[#This Row],[Test Results]]&gt;120,"High Risk","Normal")</f>
        <v>High Risk</v>
      </c>
      <c r="S255" s="3" t="str">
        <f>IF(Table1[[#This Row],[Age]]&lt;=18,"0-18",IF(Table1[[#This Row],[Age]]&lt;=35,"19-35",IF(Table1[[#This Row],[Age]]&lt;=50,"36-50",IF(Table1[[#This Row],[Age]]&lt;=65,"51-65","65+"))))</f>
        <v>65+</v>
      </c>
    </row>
    <row r="256" spans="1:19" x14ac:dyDescent="0.3">
      <c r="A256" s="3" t="s">
        <v>809</v>
      </c>
      <c r="B256" s="3">
        <v>76</v>
      </c>
      <c r="C256" s="3" t="s">
        <v>16</v>
      </c>
      <c r="D256" s="3" t="s">
        <v>17</v>
      </c>
      <c r="E256" s="3" t="s">
        <v>54</v>
      </c>
      <c r="F256" s="4">
        <v>44915</v>
      </c>
      <c r="G256" s="3" t="s">
        <v>810</v>
      </c>
      <c r="H256" s="3" t="s">
        <v>811</v>
      </c>
      <c r="I256" s="3" t="s">
        <v>57</v>
      </c>
      <c r="J256" s="5">
        <v>27361.2496848068</v>
      </c>
      <c r="K256" s="3">
        <v>231</v>
      </c>
      <c r="L256" s="3" t="s">
        <v>31</v>
      </c>
      <c r="M256" s="4">
        <v>44928</v>
      </c>
      <c r="N256" s="3" t="s">
        <v>23</v>
      </c>
      <c r="O256" s="3" t="s">
        <v>24</v>
      </c>
      <c r="P256" s="3" t="str">
        <f>IF(Table1[[#This Row],[Billing Amount]]&lt;5000,"Low",IF(Table1[[#This Row],[Billing Amount]]&lt;=15000,"Medium","High"))</f>
        <v>High</v>
      </c>
      <c r="Q256" s="3" t="str">
        <f>IF(Table1[[#This Row],[Discharge Date]]="Yes","Discharged","Under Treatment")</f>
        <v>Under Treatment</v>
      </c>
      <c r="R256" s="3" t="str">
        <f>IF(Table1[[#This Row],[Test Results]]&gt;120,"High Risk","Normal")</f>
        <v>High Risk</v>
      </c>
      <c r="S256" s="3" t="str">
        <f>IF(Table1[[#This Row],[Age]]&lt;=18,"0-18",IF(Table1[[#This Row],[Age]]&lt;=35,"19-35",IF(Table1[[#This Row],[Age]]&lt;=50,"36-50",IF(Table1[[#This Row],[Age]]&lt;=65,"51-65","65+"))))</f>
        <v>65+</v>
      </c>
    </row>
    <row r="257" spans="1:19" x14ac:dyDescent="0.3">
      <c r="A257" s="3" t="s">
        <v>812</v>
      </c>
      <c r="B257" s="3">
        <v>62</v>
      </c>
      <c r="C257" s="3" t="s">
        <v>16</v>
      </c>
      <c r="D257" s="3" t="s">
        <v>122</v>
      </c>
      <c r="E257" s="3" t="s">
        <v>93</v>
      </c>
      <c r="F257" s="4">
        <v>44158</v>
      </c>
      <c r="G257" s="3" t="s">
        <v>813</v>
      </c>
      <c r="H257" s="3" t="s">
        <v>814</v>
      </c>
      <c r="I257" s="3" t="s">
        <v>39</v>
      </c>
      <c r="J257" s="5">
        <v>32868.082770922701</v>
      </c>
      <c r="K257" s="3">
        <v>114</v>
      </c>
      <c r="L257" s="3" t="s">
        <v>31</v>
      </c>
      <c r="M257" s="4">
        <v>44163</v>
      </c>
      <c r="N257" s="3" t="s">
        <v>23</v>
      </c>
      <c r="O257" s="3" t="s">
        <v>33</v>
      </c>
      <c r="P257" s="3" t="str">
        <f>IF(Table1[[#This Row],[Billing Amount]]&lt;5000,"Low",IF(Table1[[#This Row],[Billing Amount]]&lt;=15000,"Medium","High"))</f>
        <v>High</v>
      </c>
      <c r="Q257" s="3" t="str">
        <f>IF(Table1[[#This Row],[Discharge Date]]="Yes","Discharged","Under Treatment")</f>
        <v>Under Treatment</v>
      </c>
      <c r="R257" s="3" t="str">
        <f>IF(Table1[[#This Row],[Test Results]]&gt;120,"High Risk","Normal")</f>
        <v>High Risk</v>
      </c>
      <c r="S257" s="3" t="str">
        <f>IF(Table1[[#This Row],[Age]]&lt;=18,"0-18",IF(Table1[[#This Row],[Age]]&lt;=35,"19-35",IF(Table1[[#This Row],[Age]]&lt;=50,"36-50",IF(Table1[[#This Row],[Age]]&lt;=65,"51-65","65+"))))</f>
        <v>51-65</v>
      </c>
    </row>
    <row r="258" spans="1:19" x14ac:dyDescent="0.3">
      <c r="A258" s="3" t="s">
        <v>815</v>
      </c>
      <c r="B258" s="3">
        <v>80</v>
      </c>
      <c r="C258" s="3" t="s">
        <v>16</v>
      </c>
      <c r="D258" s="3" t="s">
        <v>36</v>
      </c>
      <c r="E258" s="3" t="s">
        <v>54</v>
      </c>
      <c r="F258" s="4">
        <v>43871</v>
      </c>
      <c r="G258" s="3" t="s">
        <v>816</v>
      </c>
      <c r="H258" s="3" t="s">
        <v>817</v>
      </c>
      <c r="I258" s="3" t="s">
        <v>21</v>
      </c>
      <c r="J258" s="5">
        <v>22032.3895867422</v>
      </c>
      <c r="K258" s="3">
        <v>262</v>
      </c>
      <c r="L258" s="3" t="s">
        <v>31</v>
      </c>
      <c r="M258" s="4">
        <v>43890</v>
      </c>
      <c r="N258" s="3" t="s">
        <v>32</v>
      </c>
      <c r="O258" s="3" t="s">
        <v>24</v>
      </c>
      <c r="P258" s="3" t="str">
        <f>IF(Table1[[#This Row],[Billing Amount]]&lt;5000,"Low",IF(Table1[[#This Row],[Billing Amount]]&lt;=15000,"Medium","High"))</f>
        <v>High</v>
      </c>
      <c r="Q258" s="3" t="str">
        <f>IF(Table1[[#This Row],[Discharge Date]]="Yes","Discharged","Under Treatment")</f>
        <v>Under Treatment</v>
      </c>
      <c r="R258" s="3" t="str">
        <f>IF(Table1[[#This Row],[Test Results]]&gt;120,"High Risk","Normal")</f>
        <v>High Risk</v>
      </c>
      <c r="S258" s="3" t="str">
        <f>IF(Table1[[#This Row],[Age]]&lt;=18,"0-18",IF(Table1[[#This Row],[Age]]&lt;=35,"19-35",IF(Table1[[#This Row],[Age]]&lt;=50,"36-50",IF(Table1[[#This Row],[Age]]&lt;=65,"51-65","65+"))))</f>
        <v>65+</v>
      </c>
    </row>
    <row r="259" spans="1:19" x14ac:dyDescent="0.3">
      <c r="A259" s="3" t="s">
        <v>818</v>
      </c>
      <c r="B259" s="3">
        <v>49</v>
      </c>
      <c r="C259" s="3" t="s">
        <v>35</v>
      </c>
      <c r="D259" s="3" t="s">
        <v>26</v>
      </c>
      <c r="E259" s="3" t="s">
        <v>43</v>
      </c>
      <c r="F259" s="4">
        <v>43620</v>
      </c>
      <c r="G259" s="3" t="s">
        <v>819</v>
      </c>
      <c r="H259" s="3" t="s">
        <v>820</v>
      </c>
      <c r="I259" s="3" t="s">
        <v>21</v>
      </c>
      <c r="J259" s="5">
        <v>43165.694086010197</v>
      </c>
      <c r="K259" s="3">
        <v>428</v>
      </c>
      <c r="L259" s="3" t="s">
        <v>46</v>
      </c>
      <c r="M259" s="4">
        <v>43633</v>
      </c>
      <c r="N259" s="3" t="s">
        <v>32</v>
      </c>
      <c r="O259" s="3" t="s">
        <v>47</v>
      </c>
      <c r="P259" s="3" t="str">
        <f>IF(Table1[[#This Row],[Billing Amount]]&lt;5000,"Low",IF(Table1[[#This Row],[Billing Amount]]&lt;=15000,"Medium","High"))</f>
        <v>High</v>
      </c>
      <c r="Q259" s="3" t="str">
        <f>IF(Table1[[#This Row],[Discharge Date]]="Yes","Discharged","Under Treatment")</f>
        <v>Under Treatment</v>
      </c>
      <c r="R259" s="3" t="str">
        <f>IF(Table1[[#This Row],[Test Results]]&gt;120,"High Risk","Normal")</f>
        <v>High Risk</v>
      </c>
      <c r="S259" s="3" t="str">
        <f>IF(Table1[[#This Row],[Age]]&lt;=18,"0-18",IF(Table1[[#This Row],[Age]]&lt;=35,"19-35",IF(Table1[[#This Row],[Age]]&lt;=50,"36-50",IF(Table1[[#This Row],[Age]]&lt;=65,"51-65","65+"))))</f>
        <v>36-50</v>
      </c>
    </row>
    <row r="260" spans="1:19" x14ac:dyDescent="0.3">
      <c r="A260" s="3" t="s">
        <v>821</v>
      </c>
      <c r="B260" s="3">
        <v>66</v>
      </c>
      <c r="C260" s="3" t="s">
        <v>35</v>
      </c>
      <c r="D260" s="3" t="s">
        <v>42</v>
      </c>
      <c r="E260" s="3" t="s">
        <v>27</v>
      </c>
      <c r="F260" s="4">
        <v>45193</v>
      </c>
      <c r="G260" s="3" t="s">
        <v>822</v>
      </c>
      <c r="H260" s="3" t="s">
        <v>823</v>
      </c>
      <c r="I260" s="3" t="s">
        <v>21</v>
      </c>
      <c r="J260" s="5">
        <v>1870.6084397725899</v>
      </c>
      <c r="K260" s="3">
        <v>234</v>
      </c>
      <c r="L260" s="3" t="s">
        <v>31</v>
      </c>
      <c r="M260" s="4">
        <v>45210</v>
      </c>
      <c r="N260" s="3" t="s">
        <v>52</v>
      </c>
      <c r="O260" s="3" t="s">
        <v>33</v>
      </c>
      <c r="P260" s="3" t="str">
        <f>IF(Table1[[#This Row],[Billing Amount]]&lt;5000,"Low",IF(Table1[[#This Row],[Billing Amount]]&lt;=15000,"Medium","High"))</f>
        <v>Low</v>
      </c>
      <c r="Q260" s="3" t="str">
        <f>IF(Table1[[#This Row],[Discharge Date]]="Yes","Discharged","Under Treatment")</f>
        <v>Under Treatment</v>
      </c>
      <c r="R260" s="3" t="str">
        <f>IF(Table1[[#This Row],[Test Results]]&gt;120,"High Risk","Normal")</f>
        <v>High Risk</v>
      </c>
      <c r="S260" s="3" t="str">
        <f>IF(Table1[[#This Row],[Age]]&lt;=18,"0-18",IF(Table1[[#This Row],[Age]]&lt;=35,"19-35",IF(Table1[[#This Row],[Age]]&lt;=50,"36-50",IF(Table1[[#This Row],[Age]]&lt;=65,"51-65","65+"))))</f>
        <v>65+</v>
      </c>
    </row>
    <row r="261" spans="1:19" x14ac:dyDescent="0.3">
      <c r="A261" s="3" t="s">
        <v>824</v>
      </c>
      <c r="B261" s="3">
        <v>50</v>
      </c>
      <c r="C261" s="3" t="s">
        <v>16</v>
      </c>
      <c r="D261" s="3" t="s">
        <v>17</v>
      </c>
      <c r="E261" s="3" t="s">
        <v>43</v>
      </c>
      <c r="F261" s="4">
        <v>44424</v>
      </c>
      <c r="G261" s="3" t="s">
        <v>825</v>
      </c>
      <c r="H261" s="3" t="s">
        <v>826</v>
      </c>
      <c r="I261" s="3" t="s">
        <v>21</v>
      </c>
      <c r="J261" s="5">
        <v>50254.201831162201</v>
      </c>
      <c r="K261" s="3">
        <v>210</v>
      </c>
      <c r="L261" s="3" t="s">
        <v>46</v>
      </c>
      <c r="M261" s="4">
        <v>44428</v>
      </c>
      <c r="N261" s="3" t="s">
        <v>40</v>
      </c>
      <c r="O261" s="3" t="s">
        <v>33</v>
      </c>
      <c r="P261" s="3" t="str">
        <f>IF(Table1[[#This Row],[Billing Amount]]&lt;5000,"Low",IF(Table1[[#This Row],[Billing Amount]]&lt;=15000,"Medium","High"))</f>
        <v>High</v>
      </c>
      <c r="Q261" s="3" t="str">
        <f>IF(Table1[[#This Row],[Discharge Date]]="Yes","Discharged","Under Treatment")</f>
        <v>Under Treatment</v>
      </c>
      <c r="R261" s="3" t="str">
        <f>IF(Table1[[#This Row],[Test Results]]&gt;120,"High Risk","Normal")</f>
        <v>High Risk</v>
      </c>
      <c r="S261" s="3" t="str">
        <f>IF(Table1[[#This Row],[Age]]&lt;=18,"0-18",IF(Table1[[#This Row],[Age]]&lt;=35,"19-35",IF(Table1[[#This Row],[Age]]&lt;=50,"36-50",IF(Table1[[#This Row],[Age]]&lt;=65,"51-65","65+"))))</f>
        <v>36-50</v>
      </c>
    </row>
    <row r="262" spans="1:19" x14ac:dyDescent="0.3">
      <c r="A262" s="3" t="s">
        <v>827</v>
      </c>
      <c r="B262" s="3">
        <v>39</v>
      </c>
      <c r="C262" s="3" t="s">
        <v>16</v>
      </c>
      <c r="D262" s="3" t="s">
        <v>59</v>
      </c>
      <c r="E262" s="3" t="s">
        <v>93</v>
      </c>
      <c r="F262" s="4">
        <v>44018</v>
      </c>
      <c r="G262" s="3" t="s">
        <v>828</v>
      </c>
      <c r="H262" s="3" t="s">
        <v>829</v>
      </c>
      <c r="I262" s="3" t="s">
        <v>39</v>
      </c>
      <c r="J262" s="5">
        <v>23159.663033639299</v>
      </c>
      <c r="K262" s="3">
        <v>333</v>
      </c>
      <c r="L262" s="3" t="s">
        <v>46</v>
      </c>
      <c r="M262" s="4">
        <v>44034</v>
      </c>
      <c r="N262" s="3" t="s">
        <v>52</v>
      </c>
      <c r="O262" s="3" t="s">
        <v>33</v>
      </c>
      <c r="P262" s="3" t="str">
        <f>IF(Table1[[#This Row],[Billing Amount]]&lt;5000,"Low",IF(Table1[[#This Row],[Billing Amount]]&lt;=15000,"Medium","High"))</f>
        <v>High</v>
      </c>
      <c r="Q262" s="3" t="str">
        <f>IF(Table1[[#This Row],[Discharge Date]]="Yes","Discharged","Under Treatment")</f>
        <v>Under Treatment</v>
      </c>
      <c r="R262" s="3" t="str">
        <f>IF(Table1[[#This Row],[Test Results]]&gt;120,"High Risk","Normal")</f>
        <v>High Risk</v>
      </c>
      <c r="S262" s="3" t="str">
        <f>IF(Table1[[#This Row],[Age]]&lt;=18,"0-18",IF(Table1[[#This Row],[Age]]&lt;=35,"19-35",IF(Table1[[#This Row],[Age]]&lt;=50,"36-50",IF(Table1[[#This Row],[Age]]&lt;=65,"51-65","65+"))))</f>
        <v>36-50</v>
      </c>
    </row>
    <row r="263" spans="1:19" x14ac:dyDescent="0.3">
      <c r="A263" s="3" t="s">
        <v>830</v>
      </c>
      <c r="B263" s="3">
        <v>31</v>
      </c>
      <c r="C263" s="3" t="s">
        <v>35</v>
      </c>
      <c r="D263" s="3" t="s">
        <v>17</v>
      </c>
      <c r="E263" s="3" t="s">
        <v>43</v>
      </c>
      <c r="F263" s="4">
        <v>44902</v>
      </c>
      <c r="G263" s="3" t="s">
        <v>831</v>
      </c>
      <c r="H263" s="3" t="s">
        <v>832</v>
      </c>
      <c r="I263" s="3" t="s">
        <v>39</v>
      </c>
      <c r="J263" s="5">
        <v>11469.390589717001</v>
      </c>
      <c r="K263" s="3">
        <v>391</v>
      </c>
      <c r="L263" s="3" t="s">
        <v>46</v>
      </c>
      <c r="M263" s="4">
        <v>44924</v>
      </c>
      <c r="N263" s="3" t="s">
        <v>23</v>
      </c>
      <c r="O263" s="3" t="s">
        <v>47</v>
      </c>
      <c r="P263" s="3" t="str">
        <f>IF(Table1[[#This Row],[Billing Amount]]&lt;5000,"Low",IF(Table1[[#This Row],[Billing Amount]]&lt;=15000,"Medium","High"))</f>
        <v>Medium</v>
      </c>
      <c r="Q263" s="3" t="str">
        <f>IF(Table1[[#This Row],[Discharge Date]]="Yes","Discharged","Under Treatment")</f>
        <v>Under Treatment</v>
      </c>
      <c r="R263" s="3" t="str">
        <f>IF(Table1[[#This Row],[Test Results]]&gt;120,"High Risk","Normal")</f>
        <v>High Risk</v>
      </c>
      <c r="S263" s="3" t="str">
        <f>IF(Table1[[#This Row],[Age]]&lt;=18,"0-18",IF(Table1[[#This Row],[Age]]&lt;=35,"19-35",IF(Table1[[#This Row],[Age]]&lt;=50,"36-50",IF(Table1[[#This Row],[Age]]&lt;=65,"51-65","65+"))))</f>
        <v>19-35</v>
      </c>
    </row>
    <row r="264" spans="1:19" x14ac:dyDescent="0.3">
      <c r="A264" s="3" t="s">
        <v>833</v>
      </c>
      <c r="B264" s="3">
        <v>84</v>
      </c>
      <c r="C264" s="3" t="s">
        <v>16</v>
      </c>
      <c r="D264" s="3" t="s">
        <v>59</v>
      </c>
      <c r="E264" s="3" t="s">
        <v>18</v>
      </c>
      <c r="F264" s="4">
        <v>45289</v>
      </c>
      <c r="G264" s="3" t="s">
        <v>834</v>
      </c>
      <c r="H264" s="3" t="s">
        <v>835</v>
      </c>
      <c r="I264" s="3" t="s">
        <v>39</v>
      </c>
      <c r="J264" s="5">
        <v>35435.170152695602</v>
      </c>
      <c r="K264" s="3">
        <v>458</v>
      </c>
      <c r="L264" s="3" t="s">
        <v>46</v>
      </c>
      <c r="M264" s="4">
        <v>45307</v>
      </c>
      <c r="N264" s="3" t="s">
        <v>32</v>
      </c>
      <c r="O264" s="3" t="s">
        <v>47</v>
      </c>
      <c r="P264" s="3" t="str">
        <f>IF(Table1[[#This Row],[Billing Amount]]&lt;5000,"Low",IF(Table1[[#This Row],[Billing Amount]]&lt;=15000,"Medium","High"))</f>
        <v>High</v>
      </c>
      <c r="Q264" s="3" t="str">
        <f>IF(Table1[[#This Row],[Discharge Date]]="Yes","Discharged","Under Treatment")</f>
        <v>Under Treatment</v>
      </c>
      <c r="R264" s="3" t="str">
        <f>IF(Table1[[#This Row],[Test Results]]&gt;120,"High Risk","Normal")</f>
        <v>High Risk</v>
      </c>
      <c r="S264" s="3" t="str">
        <f>IF(Table1[[#This Row],[Age]]&lt;=18,"0-18",IF(Table1[[#This Row],[Age]]&lt;=35,"19-35",IF(Table1[[#This Row],[Age]]&lt;=50,"36-50",IF(Table1[[#This Row],[Age]]&lt;=65,"51-65","65+"))))</f>
        <v>65+</v>
      </c>
    </row>
    <row r="265" spans="1:19" x14ac:dyDescent="0.3">
      <c r="A265" s="3" t="s">
        <v>836</v>
      </c>
      <c r="B265" s="3">
        <v>71</v>
      </c>
      <c r="C265" s="3" t="s">
        <v>16</v>
      </c>
      <c r="D265" s="3" t="s">
        <v>122</v>
      </c>
      <c r="E265" s="3" t="s">
        <v>18</v>
      </c>
      <c r="F265" s="4">
        <v>44973</v>
      </c>
      <c r="G265" s="3" t="s">
        <v>837</v>
      </c>
      <c r="H265" s="3" t="s">
        <v>838</v>
      </c>
      <c r="I265" s="3" t="s">
        <v>57</v>
      </c>
      <c r="J265" s="5">
        <v>26139.7859488467</v>
      </c>
      <c r="K265" s="3">
        <v>195</v>
      </c>
      <c r="L265" s="3" t="s">
        <v>22</v>
      </c>
      <c r="M265" s="4">
        <v>44982</v>
      </c>
      <c r="N265" s="3" t="s">
        <v>23</v>
      </c>
      <c r="O265" s="3" t="s">
        <v>47</v>
      </c>
      <c r="P265" s="3" t="str">
        <f>IF(Table1[[#This Row],[Billing Amount]]&lt;5000,"Low",IF(Table1[[#This Row],[Billing Amount]]&lt;=15000,"Medium","High"))</f>
        <v>High</v>
      </c>
      <c r="Q265" s="3" t="str">
        <f>IF(Table1[[#This Row],[Discharge Date]]="Yes","Discharged","Under Treatment")</f>
        <v>Under Treatment</v>
      </c>
      <c r="R265" s="3" t="str">
        <f>IF(Table1[[#This Row],[Test Results]]&gt;120,"High Risk","Normal")</f>
        <v>High Risk</v>
      </c>
      <c r="S265" s="3" t="str">
        <f>IF(Table1[[#This Row],[Age]]&lt;=18,"0-18",IF(Table1[[#This Row],[Age]]&lt;=35,"19-35",IF(Table1[[#This Row],[Age]]&lt;=50,"36-50",IF(Table1[[#This Row],[Age]]&lt;=65,"51-65","65+"))))</f>
        <v>65+</v>
      </c>
    </row>
    <row r="266" spans="1:19" x14ac:dyDescent="0.3">
      <c r="A266" s="3" t="s">
        <v>839</v>
      </c>
      <c r="B266" s="3">
        <v>56</v>
      </c>
      <c r="C266" s="3" t="s">
        <v>16</v>
      </c>
      <c r="D266" s="3" t="s">
        <v>42</v>
      </c>
      <c r="E266" s="3" t="s">
        <v>93</v>
      </c>
      <c r="F266" s="4">
        <v>45189</v>
      </c>
      <c r="G266" s="3" t="s">
        <v>189</v>
      </c>
      <c r="H266" s="3" t="s">
        <v>840</v>
      </c>
      <c r="I266" s="3" t="s">
        <v>57</v>
      </c>
      <c r="J266" s="5">
        <v>8421.91538451632</v>
      </c>
      <c r="K266" s="3">
        <v>409</v>
      </c>
      <c r="L266" s="3" t="s">
        <v>31</v>
      </c>
      <c r="M266" s="4">
        <v>45194</v>
      </c>
      <c r="N266" s="3" t="s">
        <v>23</v>
      </c>
      <c r="O266" s="3" t="s">
        <v>33</v>
      </c>
      <c r="P266" s="3" t="str">
        <f>IF(Table1[[#This Row],[Billing Amount]]&lt;5000,"Low",IF(Table1[[#This Row],[Billing Amount]]&lt;=15000,"Medium","High"))</f>
        <v>Medium</v>
      </c>
      <c r="Q266" s="3" t="str">
        <f>IF(Table1[[#This Row],[Discharge Date]]="Yes","Discharged","Under Treatment")</f>
        <v>Under Treatment</v>
      </c>
      <c r="R266" s="3" t="str">
        <f>IF(Table1[[#This Row],[Test Results]]&gt;120,"High Risk","Normal")</f>
        <v>High Risk</v>
      </c>
      <c r="S266" s="3" t="str">
        <f>IF(Table1[[#This Row],[Age]]&lt;=18,"0-18",IF(Table1[[#This Row],[Age]]&lt;=35,"19-35",IF(Table1[[#This Row],[Age]]&lt;=50,"36-50",IF(Table1[[#This Row],[Age]]&lt;=65,"51-65","65+"))))</f>
        <v>51-65</v>
      </c>
    </row>
    <row r="267" spans="1:19" x14ac:dyDescent="0.3">
      <c r="A267" s="3" t="s">
        <v>841</v>
      </c>
      <c r="B267" s="3">
        <v>36</v>
      </c>
      <c r="C267" s="3" t="s">
        <v>16</v>
      </c>
      <c r="D267" s="3" t="s">
        <v>122</v>
      </c>
      <c r="E267" s="3" t="s">
        <v>27</v>
      </c>
      <c r="F267" s="4">
        <v>43841</v>
      </c>
      <c r="G267" s="3" t="s">
        <v>842</v>
      </c>
      <c r="H267" s="3" t="s">
        <v>843</v>
      </c>
      <c r="I267" s="3" t="s">
        <v>65</v>
      </c>
      <c r="J267" s="5">
        <v>23892.552669226399</v>
      </c>
      <c r="K267" s="3">
        <v>268</v>
      </c>
      <c r="L267" s="3" t="s">
        <v>31</v>
      </c>
      <c r="M267" s="4">
        <v>43846</v>
      </c>
      <c r="N267" s="3" t="s">
        <v>40</v>
      </c>
      <c r="O267" s="3" t="s">
        <v>24</v>
      </c>
      <c r="P267" s="3" t="str">
        <f>IF(Table1[[#This Row],[Billing Amount]]&lt;5000,"Low",IF(Table1[[#This Row],[Billing Amount]]&lt;=15000,"Medium","High"))</f>
        <v>High</v>
      </c>
      <c r="Q267" s="3" t="str">
        <f>IF(Table1[[#This Row],[Discharge Date]]="Yes","Discharged","Under Treatment")</f>
        <v>Under Treatment</v>
      </c>
      <c r="R267" s="3" t="str">
        <f>IF(Table1[[#This Row],[Test Results]]&gt;120,"High Risk","Normal")</f>
        <v>High Risk</v>
      </c>
      <c r="S267" s="3" t="str">
        <f>IF(Table1[[#This Row],[Age]]&lt;=18,"0-18",IF(Table1[[#This Row],[Age]]&lt;=35,"19-35",IF(Table1[[#This Row],[Age]]&lt;=50,"36-50",IF(Table1[[#This Row],[Age]]&lt;=65,"51-65","65+"))))</f>
        <v>36-50</v>
      </c>
    </row>
    <row r="268" spans="1:19" x14ac:dyDescent="0.3">
      <c r="A268" s="3" t="s">
        <v>844</v>
      </c>
      <c r="B268" s="3">
        <v>38</v>
      </c>
      <c r="C268" s="3" t="s">
        <v>16</v>
      </c>
      <c r="D268" s="3" t="s">
        <v>122</v>
      </c>
      <c r="E268" s="3" t="s">
        <v>27</v>
      </c>
      <c r="F268" s="4">
        <v>44650</v>
      </c>
      <c r="G268" s="3" t="s">
        <v>845</v>
      </c>
      <c r="H268" s="3" t="s">
        <v>846</v>
      </c>
      <c r="I268" s="3" t="s">
        <v>21</v>
      </c>
      <c r="J268" s="5">
        <v>8171.4626147149202</v>
      </c>
      <c r="K268" s="3">
        <v>279</v>
      </c>
      <c r="L268" s="3" t="s">
        <v>46</v>
      </c>
      <c r="M268" s="4">
        <v>44677</v>
      </c>
      <c r="N268" s="3" t="s">
        <v>32</v>
      </c>
      <c r="O268" s="3" t="s">
        <v>33</v>
      </c>
      <c r="P268" s="3" t="str">
        <f>IF(Table1[[#This Row],[Billing Amount]]&lt;5000,"Low",IF(Table1[[#This Row],[Billing Amount]]&lt;=15000,"Medium","High"))</f>
        <v>Medium</v>
      </c>
      <c r="Q268" s="3" t="str">
        <f>IF(Table1[[#This Row],[Discharge Date]]="Yes","Discharged","Under Treatment")</f>
        <v>Under Treatment</v>
      </c>
      <c r="R268" s="3" t="str">
        <f>IF(Table1[[#This Row],[Test Results]]&gt;120,"High Risk","Normal")</f>
        <v>High Risk</v>
      </c>
      <c r="S268" s="3" t="str">
        <f>IF(Table1[[#This Row],[Age]]&lt;=18,"0-18",IF(Table1[[#This Row],[Age]]&lt;=35,"19-35",IF(Table1[[#This Row],[Age]]&lt;=50,"36-50",IF(Table1[[#This Row],[Age]]&lt;=65,"51-65","65+"))))</f>
        <v>36-50</v>
      </c>
    </row>
    <row r="269" spans="1:19" x14ac:dyDescent="0.3">
      <c r="A269" s="3" t="s">
        <v>847</v>
      </c>
      <c r="B269" s="3">
        <v>21</v>
      </c>
      <c r="C269" s="3" t="s">
        <v>16</v>
      </c>
      <c r="D269" s="3" t="s">
        <v>49</v>
      </c>
      <c r="E269" s="3" t="s">
        <v>93</v>
      </c>
      <c r="F269" s="4">
        <v>43962</v>
      </c>
      <c r="G269" s="3" t="s">
        <v>848</v>
      </c>
      <c r="H269" s="3" t="s">
        <v>849</v>
      </c>
      <c r="I269" s="3" t="s">
        <v>57</v>
      </c>
      <c r="J269" s="5">
        <v>23457.309286507902</v>
      </c>
      <c r="K269" s="3">
        <v>322</v>
      </c>
      <c r="L269" s="3" t="s">
        <v>46</v>
      </c>
      <c r="M269" s="4">
        <v>43971</v>
      </c>
      <c r="N269" s="3" t="s">
        <v>79</v>
      </c>
      <c r="O269" s="3" t="s">
        <v>24</v>
      </c>
      <c r="P269" s="3" t="str">
        <f>IF(Table1[[#This Row],[Billing Amount]]&lt;5000,"Low",IF(Table1[[#This Row],[Billing Amount]]&lt;=15000,"Medium","High"))</f>
        <v>High</v>
      </c>
      <c r="Q269" s="3" t="str">
        <f>IF(Table1[[#This Row],[Discharge Date]]="Yes","Discharged","Under Treatment")</f>
        <v>Under Treatment</v>
      </c>
      <c r="R269" s="3" t="str">
        <f>IF(Table1[[#This Row],[Test Results]]&gt;120,"High Risk","Normal")</f>
        <v>High Risk</v>
      </c>
      <c r="S269" s="3" t="str">
        <f>IF(Table1[[#This Row],[Age]]&lt;=18,"0-18",IF(Table1[[#This Row],[Age]]&lt;=35,"19-35",IF(Table1[[#This Row],[Age]]&lt;=50,"36-50",IF(Table1[[#This Row],[Age]]&lt;=65,"51-65","65+"))))</f>
        <v>19-35</v>
      </c>
    </row>
    <row r="270" spans="1:19" x14ac:dyDescent="0.3">
      <c r="A270" s="3" t="s">
        <v>850</v>
      </c>
      <c r="B270" s="3">
        <v>55</v>
      </c>
      <c r="C270" s="3" t="s">
        <v>35</v>
      </c>
      <c r="D270" s="3" t="s">
        <v>42</v>
      </c>
      <c r="E270" s="3" t="s">
        <v>18</v>
      </c>
      <c r="F270" s="4">
        <v>44581</v>
      </c>
      <c r="G270" s="3" t="s">
        <v>851</v>
      </c>
      <c r="H270" s="3" t="s">
        <v>852</v>
      </c>
      <c r="I270" s="3" t="s">
        <v>65</v>
      </c>
      <c r="J270" s="5">
        <v>25787.439143745902</v>
      </c>
      <c r="K270" s="3">
        <v>205</v>
      </c>
      <c r="L270" s="3" t="s">
        <v>31</v>
      </c>
      <c r="M270" s="4">
        <v>44608</v>
      </c>
      <c r="N270" s="3" t="s">
        <v>23</v>
      </c>
      <c r="O270" s="3" t="s">
        <v>24</v>
      </c>
      <c r="P270" s="3" t="str">
        <f>IF(Table1[[#This Row],[Billing Amount]]&lt;5000,"Low",IF(Table1[[#This Row],[Billing Amount]]&lt;=15000,"Medium","High"))</f>
        <v>High</v>
      </c>
      <c r="Q270" s="3" t="str">
        <f>IF(Table1[[#This Row],[Discharge Date]]="Yes","Discharged","Under Treatment")</f>
        <v>Under Treatment</v>
      </c>
      <c r="R270" s="3" t="str">
        <f>IF(Table1[[#This Row],[Test Results]]&gt;120,"High Risk","Normal")</f>
        <v>High Risk</v>
      </c>
      <c r="S270" s="3" t="str">
        <f>IF(Table1[[#This Row],[Age]]&lt;=18,"0-18",IF(Table1[[#This Row],[Age]]&lt;=35,"19-35",IF(Table1[[#This Row],[Age]]&lt;=50,"36-50",IF(Table1[[#This Row],[Age]]&lt;=65,"51-65","65+"))))</f>
        <v>51-65</v>
      </c>
    </row>
    <row r="271" spans="1:19" x14ac:dyDescent="0.3">
      <c r="A271" s="3" t="s">
        <v>853</v>
      </c>
      <c r="B271" s="3">
        <v>79</v>
      </c>
      <c r="C271" s="3" t="s">
        <v>35</v>
      </c>
      <c r="D271" s="3" t="s">
        <v>36</v>
      </c>
      <c r="E271" s="3" t="s">
        <v>76</v>
      </c>
      <c r="F271" s="4">
        <v>43782</v>
      </c>
      <c r="G271" s="3" t="s">
        <v>854</v>
      </c>
      <c r="H271" s="3" t="s">
        <v>855</v>
      </c>
      <c r="I271" s="3" t="s">
        <v>21</v>
      </c>
      <c r="J271" s="5">
        <v>28525.524767688199</v>
      </c>
      <c r="K271" s="3">
        <v>243</v>
      </c>
      <c r="L271" s="3" t="s">
        <v>22</v>
      </c>
      <c r="M271" s="4">
        <v>43793</v>
      </c>
      <c r="N271" s="3" t="s">
        <v>40</v>
      </c>
      <c r="O271" s="3" t="s">
        <v>47</v>
      </c>
      <c r="P271" s="3" t="str">
        <f>IF(Table1[[#This Row],[Billing Amount]]&lt;5000,"Low",IF(Table1[[#This Row],[Billing Amount]]&lt;=15000,"Medium","High"))</f>
        <v>High</v>
      </c>
      <c r="Q271" s="3" t="str">
        <f>IF(Table1[[#This Row],[Discharge Date]]="Yes","Discharged","Under Treatment")</f>
        <v>Under Treatment</v>
      </c>
      <c r="R271" s="3" t="str">
        <f>IF(Table1[[#This Row],[Test Results]]&gt;120,"High Risk","Normal")</f>
        <v>High Risk</v>
      </c>
      <c r="S271" s="3" t="str">
        <f>IF(Table1[[#This Row],[Age]]&lt;=18,"0-18",IF(Table1[[#This Row],[Age]]&lt;=35,"19-35",IF(Table1[[#This Row],[Age]]&lt;=50,"36-50",IF(Table1[[#This Row],[Age]]&lt;=65,"51-65","65+"))))</f>
        <v>65+</v>
      </c>
    </row>
    <row r="272" spans="1:19" x14ac:dyDescent="0.3">
      <c r="A272" s="3" t="s">
        <v>856</v>
      </c>
      <c r="B272" s="3">
        <v>55</v>
      </c>
      <c r="C272" s="3" t="s">
        <v>16</v>
      </c>
      <c r="D272" s="3" t="s">
        <v>59</v>
      </c>
      <c r="E272" s="3" t="s">
        <v>93</v>
      </c>
      <c r="F272" s="4">
        <v>44230</v>
      </c>
      <c r="G272" s="3" t="s">
        <v>857</v>
      </c>
      <c r="H272" s="3" t="s">
        <v>858</v>
      </c>
      <c r="I272" s="3" t="s">
        <v>57</v>
      </c>
      <c r="J272" s="5">
        <v>17182.869811876899</v>
      </c>
      <c r="K272" s="3">
        <v>408</v>
      </c>
      <c r="L272" s="3" t="s">
        <v>31</v>
      </c>
      <c r="M272" s="4">
        <v>44247</v>
      </c>
      <c r="N272" s="3" t="s">
        <v>79</v>
      </c>
      <c r="O272" s="3" t="s">
        <v>47</v>
      </c>
      <c r="P272" s="3" t="str">
        <f>IF(Table1[[#This Row],[Billing Amount]]&lt;5000,"Low",IF(Table1[[#This Row],[Billing Amount]]&lt;=15000,"Medium","High"))</f>
        <v>High</v>
      </c>
      <c r="Q272" s="3" t="str">
        <f>IF(Table1[[#This Row],[Discharge Date]]="Yes","Discharged","Under Treatment")</f>
        <v>Under Treatment</v>
      </c>
      <c r="R272" s="3" t="str">
        <f>IF(Table1[[#This Row],[Test Results]]&gt;120,"High Risk","Normal")</f>
        <v>High Risk</v>
      </c>
      <c r="S272" s="3" t="str">
        <f>IF(Table1[[#This Row],[Age]]&lt;=18,"0-18",IF(Table1[[#This Row],[Age]]&lt;=35,"19-35",IF(Table1[[#This Row],[Age]]&lt;=50,"36-50",IF(Table1[[#This Row],[Age]]&lt;=65,"51-65","65+"))))</f>
        <v>51-65</v>
      </c>
    </row>
    <row r="273" spans="1:19" x14ac:dyDescent="0.3">
      <c r="A273" s="3" t="s">
        <v>859</v>
      </c>
      <c r="B273" s="3">
        <v>39</v>
      </c>
      <c r="C273" s="3" t="s">
        <v>35</v>
      </c>
      <c r="D273" s="3" t="s">
        <v>42</v>
      </c>
      <c r="E273" s="3" t="s">
        <v>76</v>
      </c>
      <c r="F273" s="4">
        <v>44837</v>
      </c>
      <c r="G273" s="3" t="s">
        <v>860</v>
      </c>
      <c r="H273" s="3" t="s">
        <v>861</v>
      </c>
      <c r="I273" s="3" t="s">
        <v>30</v>
      </c>
      <c r="J273" s="5">
        <v>4243.2026438305902</v>
      </c>
      <c r="K273" s="3">
        <v>138</v>
      </c>
      <c r="L273" s="3" t="s">
        <v>22</v>
      </c>
      <c r="M273" s="4">
        <v>44840</v>
      </c>
      <c r="N273" s="3" t="s">
        <v>32</v>
      </c>
      <c r="O273" s="3" t="s">
        <v>47</v>
      </c>
      <c r="P273" s="3" t="str">
        <f>IF(Table1[[#This Row],[Billing Amount]]&lt;5000,"Low",IF(Table1[[#This Row],[Billing Amount]]&lt;=15000,"Medium","High"))</f>
        <v>Low</v>
      </c>
      <c r="Q273" s="3" t="str">
        <f>IF(Table1[[#This Row],[Discharge Date]]="Yes","Discharged","Under Treatment")</f>
        <v>Under Treatment</v>
      </c>
      <c r="R273" s="3" t="str">
        <f>IF(Table1[[#This Row],[Test Results]]&gt;120,"High Risk","Normal")</f>
        <v>High Risk</v>
      </c>
      <c r="S273" s="3" t="str">
        <f>IF(Table1[[#This Row],[Age]]&lt;=18,"0-18",IF(Table1[[#This Row],[Age]]&lt;=35,"19-35",IF(Table1[[#This Row],[Age]]&lt;=50,"36-50",IF(Table1[[#This Row],[Age]]&lt;=65,"51-65","65+"))))</f>
        <v>36-50</v>
      </c>
    </row>
    <row r="274" spans="1:19" x14ac:dyDescent="0.3">
      <c r="A274" s="3" t="s">
        <v>862</v>
      </c>
      <c r="B274" s="3">
        <v>63</v>
      </c>
      <c r="C274" s="3" t="s">
        <v>35</v>
      </c>
      <c r="D274" s="3" t="s">
        <v>103</v>
      </c>
      <c r="E274" s="3" t="s">
        <v>18</v>
      </c>
      <c r="F274" s="4">
        <v>45284</v>
      </c>
      <c r="G274" s="3" t="s">
        <v>863</v>
      </c>
      <c r="H274" s="3" t="s">
        <v>864</v>
      </c>
      <c r="I274" s="3" t="s">
        <v>65</v>
      </c>
      <c r="J274" s="5">
        <v>40137.789171480603</v>
      </c>
      <c r="K274" s="3">
        <v>467</v>
      </c>
      <c r="L274" s="3" t="s">
        <v>46</v>
      </c>
      <c r="M274" s="4">
        <v>45293</v>
      </c>
      <c r="N274" s="3" t="s">
        <v>32</v>
      </c>
      <c r="O274" s="3" t="s">
        <v>24</v>
      </c>
      <c r="P274" s="3" t="str">
        <f>IF(Table1[[#This Row],[Billing Amount]]&lt;5000,"Low",IF(Table1[[#This Row],[Billing Amount]]&lt;=15000,"Medium","High"))</f>
        <v>High</v>
      </c>
      <c r="Q274" s="3" t="str">
        <f>IF(Table1[[#This Row],[Discharge Date]]="Yes","Discharged","Under Treatment")</f>
        <v>Under Treatment</v>
      </c>
      <c r="R274" s="3" t="str">
        <f>IF(Table1[[#This Row],[Test Results]]&gt;120,"High Risk","Normal")</f>
        <v>High Risk</v>
      </c>
      <c r="S274" s="3" t="str">
        <f>IF(Table1[[#This Row],[Age]]&lt;=18,"0-18",IF(Table1[[#This Row],[Age]]&lt;=35,"19-35",IF(Table1[[#This Row],[Age]]&lt;=50,"36-50",IF(Table1[[#This Row],[Age]]&lt;=65,"51-65","65+"))))</f>
        <v>51-65</v>
      </c>
    </row>
    <row r="275" spans="1:19" x14ac:dyDescent="0.3">
      <c r="A275" s="3" t="s">
        <v>865</v>
      </c>
      <c r="B275" s="3">
        <v>26</v>
      </c>
      <c r="C275" s="3" t="s">
        <v>16</v>
      </c>
      <c r="D275" s="3" t="s">
        <v>59</v>
      </c>
      <c r="E275" s="3" t="s">
        <v>54</v>
      </c>
      <c r="F275" s="4">
        <v>45248</v>
      </c>
      <c r="G275" s="3" t="s">
        <v>866</v>
      </c>
      <c r="H275" s="3" t="s">
        <v>867</v>
      </c>
      <c r="I275" s="3" t="s">
        <v>30</v>
      </c>
      <c r="J275" s="5">
        <v>30676.441759526999</v>
      </c>
      <c r="K275" s="3">
        <v>290</v>
      </c>
      <c r="L275" s="3" t="s">
        <v>46</v>
      </c>
      <c r="M275" s="4">
        <v>45256</v>
      </c>
      <c r="N275" s="3" t="s">
        <v>32</v>
      </c>
      <c r="O275" s="3" t="s">
        <v>24</v>
      </c>
      <c r="P275" s="3" t="str">
        <f>IF(Table1[[#This Row],[Billing Amount]]&lt;5000,"Low",IF(Table1[[#This Row],[Billing Amount]]&lt;=15000,"Medium","High"))</f>
        <v>High</v>
      </c>
      <c r="Q275" s="3" t="str">
        <f>IF(Table1[[#This Row],[Discharge Date]]="Yes","Discharged","Under Treatment")</f>
        <v>Under Treatment</v>
      </c>
      <c r="R275" s="3" t="str">
        <f>IF(Table1[[#This Row],[Test Results]]&gt;120,"High Risk","Normal")</f>
        <v>High Risk</v>
      </c>
      <c r="S275" s="3" t="str">
        <f>IF(Table1[[#This Row],[Age]]&lt;=18,"0-18",IF(Table1[[#This Row],[Age]]&lt;=35,"19-35",IF(Table1[[#This Row],[Age]]&lt;=50,"36-50",IF(Table1[[#This Row],[Age]]&lt;=65,"51-65","65+"))))</f>
        <v>19-35</v>
      </c>
    </row>
    <row r="276" spans="1:19" x14ac:dyDescent="0.3">
      <c r="A276" s="3" t="s">
        <v>868</v>
      </c>
      <c r="B276" s="3">
        <v>76</v>
      </c>
      <c r="C276" s="3" t="s">
        <v>35</v>
      </c>
      <c r="D276" s="3" t="s">
        <v>49</v>
      </c>
      <c r="E276" s="3" t="s">
        <v>76</v>
      </c>
      <c r="F276" s="4">
        <v>45363</v>
      </c>
      <c r="G276" s="3" t="s">
        <v>869</v>
      </c>
      <c r="H276" s="3" t="s">
        <v>870</v>
      </c>
      <c r="I276" s="3" t="s">
        <v>39</v>
      </c>
      <c r="J276" s="5">
        <v>45594.889070635902</v>
      </c>
      <c r="K276" s="3">
        <v>192</v>
      </c>
      <c r="L276" s="3" t="s">
        <v>22</v>
      </c>
      <c r="M276" s="4">
        <v>45391</v>
      </c>
      <c r="N276" s="3" t="s">
        <v>23</v>
      </c>
      <c r="O276" s="3" t="s">
        <v>47</v>
      </c>
      <c r="P276" s="3" t="str">
        <f>IF(Table1[[#This Row],[Billing Amount]]&lt;5000,"Low",IF(Table1[[#This Row],[Billing Amount]]&lt;=15000,"Medium","High"))</f>
        <v>High</v>
      </c>
      <c r="Q276" s="3" t="str">
        <f>IF(Table1[[#This Row],[Discharge Date]]="Yes","Discharged","Under Treatment")</f>
        <v>Under Treatment</v>
      </c>
      <c r="R276" s="3" t="str">
        <f>IF(Table1[[#This Row],[Test Results]]&gt;120,"High Risk","Normal")</f>
        <v>High Risk</v>
      </c>
      <c r="S276" s="3" t="str">
        <f>IF(Table1[[#This Row],[Age]]&lt;=18,"0-18",IF(Table1[[#This Row],[Age]]&lt;=35,"19-35",IF(Table1[[#This Row],[Age]]&lt;=50,"36-50",IF(Table1[[#This Row],[Age]]&lt;=65,"51-65","65+"))))</f>
        <v>65+</v>
      </c>
    </row>
    <row r="277" spans="1:19" x14ac:dyDescent="0.3">
      <c r="A277" s="3" t="s">
        <v>871</v>
      </c>
      <c r="B277" s="3">
        <v>69</v>
      </c>
      <c r="C277" s="3" t="s">
        <v>16</v>
      </c>
      <c r="D277" s="3" t="s">
        <v>26</v>
      </c>
      <c r="E277" s="3" t="s">
        <v>18</v>
      </c>
      <c r="F277" s="4">
        <v>45028</v>
      </c>
      <c r="G277" s="3" t="s">
        <v>872</v>
      </c>
      <c r="H277" s="3" t="s">
        <v>873</v>
      </c>
      <c r="I277" s="3" t="s">
        <v>30</v>
      </c>
      <c r="J277" s="5">
        <v>29076.629611154</v>
      </c>
      <c r="K277" s="3">
        <v>135</v>
      </c>
      <c r="L277" s="3" t="s">
        <v>22</v>
      </c>
      <c r="M277" s="4">
        <v>45053</v>
      </c>
      <c r="N277" s="3" t="s">
        <v>32</v>
      </c>
      <c r="O277" s="3" t="s">
        <v>47</v>
      </c>
      <c r="P277" s="3" t="str">
        <f>IF(Table1[[#This Row],[Billing Amount]]&lt;5000,"Low",IF(Table1[[#This Row],[Billing Amount]]&lt;=15000,"Medium","High"))</f>
        <v>High</v>
      </c>
      <c r="Q277" s="3" t="str">
        <f>IF(Table1[[#This Row],[Discharge Date]]="Yes","Discharged","Under Treatment")</f>
        <v>Under Treatment</v>
      </c>
      <c r="R277" s="3" t="str">
        <f>IF(Table1[[#This Row],[Test Results]]&gt;120,"High Risk","Normal")</f>
        <v>High Risk</v>
      </c>
      <c r="S277" s="3" t="str">
        <f>IF(Table1[[#This Row],[Age]]&lt;=18,"0-18",IF(Table1[[#This Row],[Age]]&lt;=35,"19-35",IF(Table1[[#This Row],[Age]]&lt;=50,"36-50",IF(Table1[[#This Row],[Age]]&lt;=65,"51-65","65+"))))</f>
        <v>65+</v>
      </c>
    </row>
    <row r="278" spans="1:19" x14ac:dyDescent="0.3">
      <c r="A278" s="3" t="s">
        <v>874</v>
      </c>
      <c r="B278" s="3">
        <v>38</v>
      </c>
      <c r="C278" s="3" t="s">
        <v>35</v>
      </c>
      <c r="D278" s="3" t="s">
        <v>42</v>
      </c>
      <c r="E278" s="3" t="s">
        <v>27</v>
      </c>
      <c r="F278" s="4">
        <v>44363</v>
      </c>
      <c r="G278" s="3" t="s">
        <v>875</v>
      </c>
      <c r="H278" s="3" t="s">
        <v>876</v>
      </c>
      <c r="I278" s="3" t="s">
        <v>65</v>
      </c>
      <c r="J278" s="5">
        <v>5223.5020813440497</v>
      </c>
      <c r="K278" s="3">
        <v>255</v>
      </c>
      <c r="L278" s="3" t="s">
        <v>31</v>
      </c>
      <c r="M278" s="4">
        <v>44388</v>
      </c>
      <c r="N278" s="3" t="s">
        <v>23</v>
      </c>
      <c r="O278" s="3" t="s">
        <v>47</v>
      </c>
      <c r="P278" s="3" t="str">
        <f>IF(Table1[[#This Row],[Billing Amount]]&lt;5000,"Low",IF(Table1[[#This Row],[Billing Amount]]&lt;=15000,"Medium","High"))</f>
        <v>Medium</v>
      </c>
      <c r="Q278" s="3" t="str">
        <f>IF(Table1[[#This Row],[Discharge Date]]="Yes","Discharged","Under Treatment")</f>
        <v>Under Treatment</v>
      </c>
      <c r="R278" s="3" t="str">
        <f>IF(Table1[[#This Row],[Test Results]]&gt;120,"High Risk","Normal")</f>
        <v>High Risk</v>
      </c>
      <c r="S278" s="3" t="str">
        <f>IF(Table1[[#This Row],[Age]]&lt;=18,"0-18",IF(Table1[[#This Row],[Age]]&lt;=35,"19-35",IF(Table1[[#This Row],[Age]]&lt;=50,"36-50",IF(Table1[[#This Row],[Age]]&lt;=65,"51-65","65+"))))</f>
        <v>36-50</v>
      </c>
    </row>
    <row r="279" spans="1:19" x14ac:dyDescent="0.3">
      <c r="A279" s="3" t="s">
        <v>877</v>
      </c>
      <c r="B279" s="3">
        <v>19</v>
      </c>
      <c r="C279" s="3" t="s">
        <v>16</v>
      </c>
      <c r="D279" s="3" t="s">
        <v>59</v>
      </c>
      <c r="E279" s="3" t="s">
        <v>76</v>
      </c>
      <c r="F279" s="4">
        <v>44524</v>
      </c>
      <c r="G279" s="3" t="s">
        <v>878</v>
      </c>
      <c r="H279" s="3" t="s">
        <v>879</v>
      </c>
      <c r="I279" s="3" t="s">
        <v>21</v>
      </c>
      <c r="J279" s="5">
        <v>41840.658034423803</v>
      </c>
      <c r="K279" s="3">
        <v>176</v>
      </c>
      <c r="L279" s="3" t="s">
        <v>46</v>
      </c>
      <c r="M279" s="4">
        <v>44543</v>
      </c>
      <c r="N279" s="3" t="s">
        <v>52</v>
      </c>
      <c r="O279" s="3" t="s">
        <v>47</v>
      </c>
      <c r="P279" s="3" t="str">
        <f>IF(Table1[[#This Row],[Billing Amount]]&lt;5000,"Low",IF(Table1[[#This Row],[Billing Amount]]&lt;=15000,"Medium","High"))</f>
        <v>High</v>
      </c>
      <c r="Q279" s="3" t="str">
        <f>IF(Table1[[#This Row],[Discharge Date]]="Yes","Discharged","Under Treatment")</f>
        <v>Under Treatment</v>
      </c>
      <c r="R279" s="3" t="str">
        <f>IF(Table1[[#This Row],[Test Results]]&gt;120,"High Risk","Normal")</f>
        <v>High Risk</v>
      </c>
      <c r="S279" s="3" t="str">
        <f>IF(Table1[[#This Row],[Age]]&lt;=18,"0-18",IF(Table1[[#This Row],[Age]]&lt;=35,"19-35",IF(Table1[[#This Row],[Age]]&lt;=50,"36-50",IF(Table1[[#This Row],[Age]]&lt;=65,"51-65","65+"))))</f>
        <v>19-35</v>
      </c>
    </row>
    <row r="280" spans="1:19" x14ac:dyDescent="0.3">
      <c r="A280" s="3" t="s">
        <v>880</v>
      </c>
      <c r="B280" s="3">
        <v>42</v>
      </c>
      <c r="C280" s="3" t="s">
        <v>35</v>
      </c>
      <c r="D280" s="3" t="s">
        <v>59</v>
      </c>
      <c r="E280" s="3" t="s">
        <v>93</v>
      </c>
      <c r="F280" s="4">
        <v>44738</v>
      </c>
      <c r="G280" s="3" t="s">
        <v>881</v>
      </c>
      <c r="H280" s="3" t="s">
        <v>882</v>
      </c>
      <c r="I280" s="3" t="s">
        <v>65</v>
      </c>
      <c r="J280" s="5">
        <v>7946.1291129576903</v>
      </c>
      <c r="K280" s="3">
        <v>111</v>
      </c>
      <c r="L280" s="3" t="s">
        <v>46</v>
      </c>
      <c r="M280" s="4">
        <v>44743</v>
      </c>
      <c r="N280" s="3" t="s">
        <v>32</v>
      </c>
      <c r="O280" s="3" t="s">
        <v>33</v>
      </c>
      <c r="P280" s="3" t="str">
        <f>IF(Table1[[#This Row],[Billing Amount]]&lt;5000,"Low",IF(Table1[[#This Row],[Billing Amount]]&lt;=15000,"Medium","High"))</f>
        <v>Medium</v>
      </c>
      <c r="Q280" s="3" t="str">
        <f>IF(Table1[[#This Row],[Discharge Date]]="Yes","Discharged","Under Treatment")</f>
        <v>Under Treatment</v>
      </c>
      <c r="R280" s="3" t="str">
        <f>IF(Table1[[#This Row],[Test Results]]&gt;120,"High Risk","Normal")</f>
        <v>High Risk</v>
      </c>
      <c r="S280" s="3" t="str">
        <f>IF(Table1[[#This Row],[Age]]&lt;=18,"0-18",IF(Table1[[#This Row],[Age]]&lt;=35,"19-35",IF(Table1[[#This Row],[Age]]&lt;=50,"36-50",IF(Table1[[#This Row],[Age]]&lt;=65,"51-65","65+"))))</f>
        <v>36-50</v>
      </c>
    </row>
    <row r="281" spans="1:19" x14ac:dyDescent="0.3">
      <c r="A281" s="3" t="s">
        <v>883</v>
      </c>
      <c r="B281" s="3">
        <v>57</v>
      </c>
      <c r="C281" s="3" t="s">
        <v>16</v>
      </c>
      <c r="D281" s="3" t="s">
        <v>59</v>
      </c>
      <c r="E281" s="3" t="s">
        <v>43</v>
      </c>
      <c r="F281" s="4">
        <v>44033</v>
      </c>
      <c r="G281" s="3" t="s">
        <v>884</v>
      </c>
      <c r="H281" s="3" t="s">
        <v>885</v>
      </c>
      <c r="I281" s="3" t="s">
        <v>65</v>
      </c>
      <c r="J281" s="5">
        <v>18689.138447934001</v>
      </c>
      <c r="K281" s="3">
        <v>133</v>
      </c>
      <c r="L281" s="3" t="s">
        <v>22</v>
      </c>
      <c r="M281" s="4">
        <v>44043</v>
      </c>
      <c r="N281" s="3" t="s">
        <v>79</v>
      </c>
      <c r="O281" s="3" t="s">
        <v>24</v>
      </c>
      <c r="P281" s="3" t="str">
        <f>IF(Table1[[#This Row],[Billing Amount]]&lt;5000,"Low",IF(Table1[[#This Row],[Billing Amount]]&lt;=15000,"Medium","High"))</f>
        <v>High</v>
      </c>
      <c r="Q281" s="3" t="str">
        <f>IF(Table1[[#This Row],[Discharge Date]]="Yes","Discharged","Under Treatment")</f>
        <v>Under Treatment</v>
      </c>
      <c r="R281" s="3" t="str">
        <f>IF(Table1[[#This Row],[Test Results]]&gt;120,"High Risk","Normal")</f>
        <v>High Risk</v>
      </c>
      <c r="S281" s="3" t="str">
        <f>IF(Table1[[#This Row],[Age]]&lt;=18,"0-18",IF(Table1[[#This Row],[Age]]&lt;=35,"19-35",IF(Table1[[#This Row],[Age]]&lt;=50,"36-50",IF(Table1[[#This Row],[Age]]&lt;=65,"51-65","65+"))))</f>
        <v>51-65</v>
      </c>
    </row>
    <row r="282" spans="1:19" x14ac:dyDescent="0.3">
      <c r="A282" s="3" t="s">
        <v>886</v>
      </c>
      <c r="B282" s="3">
        <v>36</v>
      </c>
      <c r="C282" s="3" t="s">
        <v>35</v>
      </c>
      <c r="D282" s="3" t="s">
        <v>36</v>
      </c>
      <c r="E282" s="3" t="s">
        <v>93</v>
      </c>
      <c r="F282" s="4">
        <v>43773</v>
      </c>
      <c r="G282" s="3" t="s">
        <v>887</v>
      </c>
      <c r="H282" s="3" t="s">
        <v>888</v>
      </c>
      <c r="I282" s="3" t="s">
        <v>21</v>
      </c>
      <c r="J282" s="5">
        <v>30051.975072767102</v>
      </c>
      <c r="K282" s="3">
        <v>482</v>
      </c>
      <c r="L282" s="3" t="s">
        <v>22</v>
      </c>
      <c r="M282" s="4">
        <v>43802</v>
      </c>
      <c r="N282" s="3" t="s">
        <v>32</v>
      </c>
      <c r="O282" s="3" t="s">
        <v>47</v>
      </c>
      <c r="P282" s="3" t="str">
        <f>IF(Table1[[#This Row],[Billing Amount]]&lt;5000,"Low",IF(Table1[[#This Row],[Billing Amount]]&lt;=15000,"Medium","High"))</f>
        <v>High</v>
      </c>
      <c r="Q282" s="3" t="str">
        <f>IF(Table1[[#This Row],[Discharge Date]]="Yes","Discharged","Under Treatment")</f>
        <v>Under Treatment</v>
      </c>
      <c r="R282" s="3" t="str">
        <f>IF(Table1[[#This Row],[Test Results]]&gt;120,"High Risk","Normal")</f>
        <v>High Risk</v>
      </c>
      <c r="S282" s="3" t="str">
        <f>IF(Table1[[#This Row],[Age]]&lt;=18,"0-18",IF(Table1[[#This Row],[Age]]&lt;=35,"19-35",IF(Table1[[#This Row],[Age]]&lt;=50,"36-50",IF(Table1[[#This Row],[Age]]&lt;=65,"51-65","65+"))))</f>
        <v>36-50</v>
      </c>
    </row>
    <row r="283" spans="1:19" x14ac:dyDescent="0.3">
      <c r="A283" s="3" t="s">
        <v>889</v>
      </c>
      <c r="B283" s="3">
        <v>68</v>
      </c>
      <c r="C283" s="3" t="s">
        <v>35</v>
      </c>
      <c r="D283" s="3" t="s">
        <v>49</v>
      </c>
      <c r="E283" s="3" t="s">
        <v>76</v>
      </c>
      <c r="F283" s="4">
        <v>44501</v>
      </c>
      <c r="G283" s="3" t="s">
        <v>890</v>
      </c>
      <c r="H283" s="3" t="s">
        <v>891</v>
      </c>
      <c r="I283" s="3" t="s">
        <v>30</v>
      </c>
      <c r="J283" s="5">
        <v>22913.5542530079</v>
      </c>
      <c r="K283" s="3">
        <v>124</v>
      </c>
      <c r="L283" s="3" t="s">
        <v>22</v>
      </c>
      <c r="M283" s="4">
        <v>44503</v>
      </c>
      <c r="N283" s="3" t="s">
        <v>23</v>
      </c>
      <c r="O283" s="3" t="s">
        <v>24</v>
      </c>
      <c r="P283" s="3" t="str">
        <f>IF(Table1[[#This Row],[Billing Amount]]&lt;5000,"Low",IF(Table1[[#This Row],[Billing Amount]]&lt;=15000,"Medium","High"))</f>
        <v>High</v>
      </c>
      <c r="Q283" s="3" t="str">
        <f>IF(Table1[[#This Row],[Discharge Date]]="Yes","Discharged","Under Treatment")</f>
        <v>Under Treatment</v>
      </c>
      <c r="R283" s="3" t="str">
        <f>IF(Table1[[#This Row],[Test Results]]&gt;120,"High Risk","Normal")</f>
        <v>High Risk</v>
      </c>
      <c r="S283" s="3" t="str">
        <f>IF(Table1[[#This Row],[Age]]&lt;=18,"0-18",IF(Table1[[#This Row],[Age]]&lt;=35,"19-35",IF(Table1[[#This Row],[Age]]&lt;=50,"36-50",IF(Table1[[#This Row],[Age]]&lt;=65,"51-65","65+"))))</f>
        <v>65+</v>
      </c>
    </row>
    <row r="284" spans="1:19" x14ac:dyDescent="0.3">
      <c r="A284" s="3" t="s">
        <v>892</v>
      </c>
      <c r="B284" s="3">
        <v>37</v>
      </c>
      <c r="C284" s="3" t="s">
        <v>35</v>
      </c>
      <c r="D284" s="3" t="s">
        <v>103</v>
      </c>
      <c r="E284" s="3" t="s">
        <v>27</v>
      </c>
      <c r="F284" s="4">
        <v>44914</v>
      </c>
      <c r="G284" s="3" t="s">
        <v>893</v>
      </c>
      <c r="H284" s="3" t="s">
        <v>894</v>
      </c>
      <c r="I284" s="3" t="s">
        <v>30</v>
      </c>
      <c r="J284" s="5">
        <v>25217.4561843394</v>
      </c>
      <c r="K284" s="3">
        <v>352</v>
      </c>
      <c r="L284" s="3" t="s">
        <v>22</v>
      </c>
      <c r="M284" s="4">
        <v>44932</v>
      </c>
      <c r="N284" s="3" t="s">
        <v>40</v>
      </c>
      <c r="O284" s="3" t="s">
        <v>24</v>
      </c>
      <c r="P284" s="3" t="str">
        <f>IF(Table1[[#This Row],[Billing Amount]]&lt;5000,"Low",IF(Table1[[#This Row],[Billing Amount]]&lt;=15000,"Medium","High"))</f>
        <v>High</v>
      </c>
      <c r="Q284" s="3" t="str">
        <f>IF(Table1[[#This Row],[Discharge Date]]="Yes","Discharged","Under Treatment")</f>
        <v>Under Treatment</v>
      </c>
      <c r="R284" s="3" t="str">
        <f>IF(Table1[[#This Row],[Test Results]]&gt;120,"High Risk","Normal")</f>
        <v>High Risk</v>
      </c>
      <c r="S284" s="3" t="str">
        <f>IF(Table1[[#This Row],[Age]]&lt;=18,"0-18",IF(Table1[[#This Row],[Age]]&lt;=35,"19-35",IF(Table1[[#This Row],[Age]]&lt;=50,"36-50",IF(Table1[[#This Row],[Age]]&lt;=65,"51-65","65+"))))</f>
        <v>36-50</v>
      </c>
    </row>
    <row r="285" spans="1:19" x14ac:dyDescent="0.3">
      <c r="A285" s="3" t="s">
        <v>895</v>
      </c>
      <c r="B285" s="3">
        <v>68</v>
      </c>
      <c r="C285" s="3" t="s">
        <v>16</v>
      </c>
      <c r="D285" s="3" t="s">
        <v>26</v>
      </c>
      <c r="E285" s="3" t="s">
        <v>54</v>
      </c>
      <c r="F285" s="4">
        <v>44110</v>
      </c>
      <c r="G285" s="3" t="s">
        <v>896</v>
      </c>
      <c r="H285" s="3" t="s">
        <v>897</v>
      </c>
      <c r="I285" s="3" t="s">
        <v>39</v>
      </c>
      <c r="J285" s="5">
        <v>41548.408314476997</v>
      </c>
      <c r="K285" s="3">
        <v>124</v>
      </c>
      <c r="L285" s="3" t="s">
        <v>22</v>
      </c>
      <c r="M285" s="4">
        <v>44124</v>
      </c>
      <c r="N285" s="3" t="s">
        <v>40</v>
      </c>
      <c r="O285" s="3" t="s">
        <v>24</v>
      </c>
      <c r="P285" s="3" t="str">
        <f>IF(Table1[[#This Row],[Billing Amount]]&lt;5000,"Low",IF(Table1[[#This Row],[Billing Amount]]&lt;=15000,"Medium","High"))</f>
        <v>High</v>
      </c>
      <c r="Q285" s="3" t="str">
        <f>IF(Table1[[#This Row],[Discharge Date]]="Yes","Discharged","Under Treatment")</f>
        <v>Under Treatment</v>
      </c>
      <c r="R285" s="3" t="str">
        <f>IF(Table1[[#This Row],[Test Results]]&gt;120,"High Risk","Normal")</f>
        <v>High Risk</v>
      </c>
      <c r="S285" s="3" t="str">
        <f>IF(Table1[[#This Row],[Age]]&lt;=18,"0-18",IF(Table1[[#This Row],[Age]]&lt;=35,"19-35",IF(Table1[[#This Row],[Age]]&lt;=50,"36-50",IF(Table1[[#This Row],[Age]]&lt;=65,"51-65","65+"))))</f>
        <v>65+</v>
      </c>
    </row>
    <row r="286" spans="1:19" x14ac:dyDescent="0.3">
      <c r="A286" s="3" t="s">
        <v>898</v>
      </c>
      <c r="B286" s="3">
        <v>81</v>
      </c>
      <c r="C286" s="3" t="s">
        <v>35</v>
      </c>
      <c r="D286" s="3" t="s">
        <v>59</v>
      </c>
      <c r="E286" s="3" t="s">
        <v>93</v>
      </c>
      <c r="F286" s="4">
        <v>44577</v>
      </c>
      <c r="G286" s="3" t="s">
        <v>899</v>
      </c>
      <c r="H286" s="3" t="s">
        <v>900</v>
      </c>
      <c r="I286" s="3" t="s">
        <v>39</v>
      </c>
      <c r="J286" s="5">
        <v>7562.3943796421199</v>
      </c>
      <c r="K286" s="3">
        <v>471</v>
      </c>
      <c r="L286" s="3" t="s">
        <v>46</v>
      </c>
      <c r="M286" s="4">
        <v>44583</v>
      </c>
      <c r="N286" s="3" t="s">
        <v>32</v>
      </c>
      <c r="O286" s="3" t="s">
        <v>47</v>
      </c>
      <c r="P286" s="3" t="str">
        <f>IF(Table1[[#This Row],[Billing Amount]]&lt;5000,"Low",IF(Table1[[#This Row],[Billing Amount]]&lt;=15000,"Medium","High"))</f>
        <v>Medium</v>
      </c>
      <c r="Q286" s="3" t="str">
        <f>IF(Table1[[#This Row],[Discharge Date]]="Yes","Discharged","Under Treatment")</f>
        <v>Under Treatment</v>
      </c>
      <c r="R286" s="3" t="str">
        <f>IF(Table1[[#This Row],[Test Results]]&gt;120,"High Risk","Normal")</f>
        <v>High Risk</v>
      </c>
      <c r="S286" s="3" t="str">
        <f>IF(Table1[[#This Row],[Age]]&lt;=18,"0-18",IF(Table1[[#This Row],[Age]]&lt;=35,"19-35",IF(Table1[[#This Row],[Age]]&lt;=50,"36-50",IF(Table1[[#This Row],[Age]]&lt;=65,"51-65","65+"))))</f>
        <v>65+</v>
      </c>
    </row>
    <row r="287" spans="1:19" x14ac:dyDescent="0.3">
      <c r="A287" s="3" t="s">
        <v>901</v>
      </c>
      <c r="B287" s="3">
        <v>74</v>
      </c>
      <c r="C287" s="3" t="s">
        <v>35</v>
      </c>
      <c r="D287" s="3" t="s">
        <v>26</v>
      </c>
      <c r="E287" s="3" t="s">
        <v>54</v>
      </c>
      <c r="F287" s="4">
        <v>45113</v>
      </c>
      <c r="G287" s="3" t="s">
        <v>902</v>
      </c>
      <c r="H287" s="3" t="s">
        <v>903</v>
      </c>
      <c r="I287" s="3" t="s">
        <v>57</v>
      </c>
      <c r="J287" s="5">
        <v>386.05405469133598</v>
      </c>
      <c r="K287" s="3">
        <v>165</v>
      </c>
      <c r="L287" s="3" t="s">
        <v>46</v>
      </c>
      <c r="M287" s="4">
        <v>45141</v>
      </c>
      <c r="N287" s="3" t="s">
        <v>40</v>
      </c>
      <c r="O287" s="3" t="s">
        <v>24</v>
      </c>
      <c r="P287" s="3" t="str">
        <f>IF(Table1[[#This Row],[Billing Amount]]&lt;5000,"Low",IF(Table1[[#This Row],[Billing Amount]]&lt;=15000,"Medium","High"))</f>
        <v>Low</v>
      </c>
      <c r="Q287" s="3" t="str">
        <f>IF(Table1[[#This Row],[Discharge Date]]="Yes","Discharged","Under Treatment")</f>
        <v>Under Treatment</v>
      </c>
      <c r="R287" s="3" t="str">
        <f>IF(Table1[[#This Row],[Test Results]]&gt;120,"High Risk","Normal")</f>
        <v>High Risk</v>
      </c>
      <c r="S287" s="3" t="str">
        <f>IF(Table1[[#This Row],[Age]]&lt;=18,"0-18",IF(Table1[[#This Row],[Age]]&lt;=35,"19-35",IF(Table1[[#This Row],[Age]]&lt;=50,"36-50",IF(Table1[[#This Row],[Age]]&lt;=65,"51-65","65+"))))</f>
        <v>65+</v>
      </c>
    </row>
    <row r="288" spans="1:19" x14ac:dyDescent="0.3">
      <c r="A288" s="3" t="s">
        <v>904</v>
      </c>
      <c r="B288" s="3">
        <v>75</v>
      </c>
      <c r="C288" s="3" t="s">
        <v>16</v>
      </c>
      <c r="D288" s="3" t="s">
        <v>42</v>
      </c>
      <c r="E288" s="3" t="s">
        <v>93</v>
      </c>
      <c r="F288" s="4">
        <v>44359</v>
      </c>
      <c r="G288" s="3" t="s">
        <v>905</v>
      </c>
      <c r="H288" s="3" t="s">
        <v>906</v>
      </c>
      <c r="I288" s="3" t="s">
        <v>65</v>
      </c>
      <c r="J288" s="5">
        <v>31491.614710744299</v>
      </c>
      <c r="K288" s="3">
        <v>347</v>
      </c>
      <c r="L288" s="3" t="s">
        <v>22</v>
      </c>
      <c r="M288" s="4">
        <v>44362</v>
      </c>
      <c r="N288" s="3" t="s">
        <v>32</v>
      </c>
      <c r="O288" s="3" t="s">
        <v>47</v>
      </c>
      <c r="P288" s="3" t="str">
        <f>IF(Table1[[#This Row],[Billing Amount]]&lt;5000,"Low",IF(Table1[[#This Row],[Billing Amount]]&lt;=15000,"Medium","High"))</f>
        <v>High</v>
      </c>
      <c r="Q288" s="3" t="str">
        <f>IF(Table1[[#This Row],[Discharge Date]]="Yes","Discharged","Under Treatment")</f>
        <v>Under Treatment</v>
      </c>
      <c r="R288" s="3" t="str">
        <f>IF(Table1[[#This Row],[Test Results]]&gt;120,"High Risk","Normal")</f>
        <v>High Risk</v>
      </c>
      <c r="S288" s="3" t="str">
        <f>IF(Table1[[#This Row],[Age]]&lt;=18,"0-18",IF(Table1[[#This Row],[Age]]&lt;=35,"19-35",IF(Table1[[#This Row],[Age]]&lt;=50,"36-50",IF(Table1[[#This Row],[Age]]&lt;=65,"51-65","65+"))))</f>
        <v>65+</v>
      </c>
    </row>
    <row r="289" spans="1:19" x14ac:dyDescent="0.3">
      <c r="A289" s="3" t="s">
        <v>907</v>
      </c>
      <c r="B289" s="3">
        <v>28</v>
      </c>
      <c r="C289" s="3" t="s">
        <v>35</v>
      </c>
      <c r="D289" s="3" t="s">
        <v>59</v>
      </c>
      <c r="E289" s="3" t="s">
        <v>43</v>
      </c>
      <c r="F289" s="4">
        <v>44698</v>
      </c>
      <c r="G289" s="3" t="s">
        <v>908</v>
      </c>
      <c r="H289" s="3" t="s">
        <v>909</v>
      </c>
      <c r="I289" s="3" t="s">
        <v>30</v>
      </c>
      <c r="J289" s="5">
        <v>23673.7217393301</v>
      </c>
      <c r="K289" s="3">
        <v>354</v>
      </c>
      <c r="L289" s="3" t="s">
        <v>22</v>
      </c>
      <c r="M289" s="4">
        <v>44724</v>
      </c>
      <c r="N289" s="3" t="s">
        <v>32</v>
      </c>
      <c r="O289" s="3" t="s">
        <v>47</v>
      </c>
      <c r="P289" s="3" t="str">
        <f>IF(Table1[[#This Row],[Billing Amount]]&lt;5000,"Low",IF(Table1[[#This Row],[Billing Amount]]&lt;=15000,"Medium","High"))</f>
        <v>High</v>
      </c>
      <c r="Q289" s="3" t="str">
        <f>IF(Table1[[#This Row],[Discharge Date]]="Yes","Discharged","Under Treatment")</f>
        <v>Under Treatment</v>
      </c>
      <c r="R289" s="3" t="str">
        <f>IF(Table1[[#This Row],[Test Results]]&gt;120,"High Risk","Normal")</f>
        <v>High Risk</v>
      </c>
      <c r="S289" s="3" t="str">
        <f>IF(Table1[[#This Row],[Age]]&lt;=18,"0-18",IF(Table1[[#This Row],[Age]]&lt;=35,"19-35",IF(Table1[[#This Row],[Age]]&lt;=50,"36-50",IF(Table1[[#This Row],[Age]]&lt;=65,"51-65","65+"))))</f>
        <v>19-35</v>
      </c>
    </row>
    <row r="290" spans="1:19" x14ac:dyDescent="0.3">
      <c r="A290" s="3" t="s">
        <v>910</v>
      </c>
      <c r="B290" s="3">
        <v>35</v>
      </c>
      <c r="C290" s="3" t="s">
        <v>16</v>
      </c>
      <c r="D290" s="3" t="s">
        <v>49</v>
      </c>
      <c r="E290" s="3" t="s">
        <v>76</v>
      </c>
      <c r="F290" s="4">
        <v>44106</v>
      </c>
      <c r="G290" s="3" t="s">
        <v>911</v>
      </c>
      <c r="H290" s="3" t="s">
        <v>912</v>
      </c>
      <c r="I290" s="3" t="s">
        <v>57</v>
      </c>
      <c r="J290" s="5">
        <v>40301.997309242797</v>
      </c>
      <c r="K290" s="3">
        <v>250</v>
      </c>
      <c r="L290" s="3" t="s">
        <v>46</v>
      </c>
      <c r="M290" s="4">
        <v>44121</v>
      </c>
      <c r="N290" s="3" t="s">
        <v>32</v>
      </c>
      <c r="O290" s="3" t="s">
        <v>33</v>
      </c>
      <c r="P290" s="3" t="str">
        <f>IF(Table1[[#This Row],[Billing Amount]]&lt;5000,"Low",IF(Table1[[#This Row],[Billing Amount]]&lt;=15000,"Medium","High"))</f>
        <v>High</v>
      </c>
      <c r="Q290" s="3" t="str">
        <f>IF(Table1[[#This Row],[Discharge Date]]="Yes","Discharged","Under Treatment")</f>
        <v>Under Treatment</v>
      </c>
      <c r="R290" s="3" t="str">
        <f>IF(Table1[[#This Row],[Test Results]]&gt;120,"High Risk","Normal")</f>
        <v>High Risk</v>
      </c>
      <c r="S290" s="3" t="str">
        <f>IF(Table1[[#This Row],[Age]]&lt;=18,"0-18",IF(Table1[[#This Row],[Age]]&lt;=35,"19-35",IF(Table1[[#This Row],[Age]]&lt;=50,"36-50",IF(Table1[[#This Row],[Age]]&lt;=65,"51-65","65+"))))</f>
        <v>19-35</v>
      </c>
    </row>
    <row r="291" spans="1:19" x14ac:dyDescent="0.3">
      <c r="A291" s="3" t="s">
        <v>913</v>
      </c>
      <c r="B291" s="3">
        <v>79</v>
      </c>
      <c r="C291" s="3" t="s">
        <v>35</v>
      </c>
      <c r="D291" s="3" t="s">
        <v>42</v>
      </c>
      <c r="E291" s="3" t="s">
        <v>54</v>
      </c>
      <c r="F291" s="4">
        <v>44428</v>
      </c>
      <c r="G291" s="3" t="s">
        <v>914</v>
      </c>
      <c r="H291" s="3" t="s">
        <v>915</v>
      </c>
      <c r="I291" s="3" t="s">
        <v>30</v>
      </c>
      <c r="J291" s="5">
        <v>37116.163814100801</v>
      </c>
      <c r="K291" s="3">
        <v>225</v>
      </c>
      <c r="L291" s="3" t="s">
        <v>46</v>
      </c>
      <c r="M291" s="4">
        <v>44455</v>
      </c>
      <c r="N291" s="3" t="s">
        <v>79</v>
      </c>
      <c r="O291" s="3" t="s">
        <v>47</v>
      </c>
      <c r="P291" s="3" t="str">
        <f>IF(Table1[[#This Row],[Billing Amount]]&lt;5000,"Low",IF(Table1[[#This Row],[Billing Amount]]&lt;=15000,"Medium","High"))</f>
        <v>High</v>
      </c>
      <c r="Q291" s="3" t="str">
        <f>IF(Table1[[#This Row],[Discharge Date]]="Yes","Discharged","Under Treatment")</f>
        <v>Under Treatment</v>
      </c>
      <c r="R291" s="3" t="str">
        <f>IF(Table1[[#This Row],[Test Results]]&gt;120,"High Risk","Normal")</f>
        <v>High Risk</v>
      </c>
      <c r="S291" s="3" t="str">
        <f>IF(Table1[[#This Row],[Age]]&lt;=18,"0-18",IF(Table1[[#This Row],[Age]]&lt;=35,"19-35",IF(Table1[[#This Row],[Age]]&lt;=50,"36-50",IF(Table1[[#This Row],[Age]]&lt;=65,"51-65","65+"))))</f>
        <v>65+</v>
      </c>
    </row>
    <row r="292" spans="1:19" x14ac:dyDescent="0.3">
      <c r="A292" s="3" t="s">
        <v>916</v>
      </c>
      <c r="B292" s="3">
        <v>69</v>
      </c>
      <c r="C292" s="3" t="s">
        <v>16</v>
      </c>
      <c r="D292" s="3" t="s">
        <v>42</v>
      </c>
      <c r="E292" s="3" t="s">
        <v>93</v>
      </c>
      <c r="F292" s="4">
        <v>45099</v>
      </c>
      <c r="G292" s="3" t="s">
        <v>917</v>
      </c>
      <c r="H292" s="3" t="s">
        <v>918</v>
      </c>
      <c r="I292" s="3" t="s">
        <v>21</v>
      </c>
      <c r="J292" s="5">
        <v>9609.5223071493601</v>
      </c>
      <c r="K292" s="3">
        <v>404</v>
      </c>
      <c r="L292" s="3" t="s">
        <v>22</v>
      </c>
      <c r="M292" s="4">
        <v>45118</v>
      </c>
      <c r="N292" s="3" t="s">
        <v>79</v>
      </c>
      <c r="O292" s="3" t="s">
        <v>24</v>
      </c>
      <c r="P292" s="3" t="str">
        <f>IF(Table1[[#This Row],[Billing Amount]]&lt;5000,"Low",IF(Table1[[#This Row],[Billing Amount]]&lt;=15000,"Medium","High"))</f>
        <v>Medium</v>
      </c>
      <c r="Q292" s="3" t="str">
        <f>IF(Table1[[#This Row],[Discharge Date]]="Yes","Discharged","Under Treatment")</f>
        <v>Under Treatment</v>
      </c>
      <c r="R292" s="3" t="str">
        <f>IF(Table1[[#This Row],[Test Results]]&gt;120,"High Risk","Normal")</f>
        <v>High Risk</v>
      </c>
      <c r="S292" s="3" t="str">
        <f>IF(Table1[[#This Row],[Age]]&lt;=18,"0-18",IF(Table1[[#This Row],[Age]]&lt;=35,"19-35",IF(Table1[[#This Row],[Age]]&lt;=50,"36-50",IF(Table1[[#This Row],[Age]]&lt;=65,"51-65","65+"))))</f>
        <v>65+</v>
      </c>
    </row>
    <row r="293" spans="1:19" x14ac:dyDescent="0.3">
      <c r="A293" s="3" t="s">
        <v>919</v>
      </c>
      <c r="B293" s="3">
        <v>54</v>
      </c>
      <c r="C293" s="3" t="s">
        <v>16</v>
      </c>
      <c r="D293" s="3" t="s">
        <v>36</v>
      </c>
      <c r="E293" s="3" t="s">
        <v>18</v>
      </c>
      <c r="F293" s="4">
        <v>44154</v>
      </c>
      <c r="G293" s="3" t="s">
        <v>920</v>
      </c>
      <c r="H293" s="3" t="s">
        <v>921</v>
      </c>
      <c r="I293" s="3" t="s">
        <v>21</v>
      </c>
      <c r="J293" s="5">
        <v>3771.2371655738698</v>
      </c>
      <c r="K293" s="3">
        <v>426</v>
      </c>
      <c r="L293" s="3" t="s">
        <v>22</v>
      </c>
      <c r="M293" s="4">
        <v>44162</v>
      </c>
      <c r="N293" s="3" t="s">
        <v>52</v>
      </c>
      <c r="O293" s="3" t="s">
        <v>47</v>
      </c>
      <c r="P293" s="3" t="str">
        <f>IF(Table1[[#This Row],[Billing Amount]]&lt;5000,"Low",IF(Table1[[#This Row],[Billing Amount]]&lt;=15000,"Medium","High"))</f>
        <v>Low</v>
      </c>
      <c r="Q293" s="3" t="str">
        <f>IF(Table1[[#This Row],[Discharge Date]]="Yes","Discharged","Under Treatment")</f>
        <v>Under Treatment</v>
      </c>
      <c r="R293" s="3" t="str">
        <f>IF(Table1[[#This Row],[Test Results]]&gt;120,"High Risk","Normal")</f>
        <v>High Risk</v>
      </c>
      <c r="S293" s="3" t="str">
        <f>IF(Table1[[#This Row],[Age]]&lt;=18,"0-18",IF(Table1[[#This Row],[Age]]&lt;=35,"19-35",IF(Table1[[#This Row],[Age]]&lt;=50,"36-50",IF(Table1[[#This Row],[Age]]&lt;=65,"51-65","65+"))))</f>
        <v>51-65</v>
      </c>
    </row>
    <row r="294" spans="1:19" x14ac:dyDescent="0.3">
      <c r="A294" s="3" t="s">
        <v>923</v>
      </c>
      <c r="B294" s="3">
        <v>81</v>
      </c>
      <c r="C294" s="3" t="s">
        <v>35</v>
      </c>
      <c r="D294" s="3" t="s">
        <v>49</v>
      </c>
      <c r="E294" s="3" t="s">
        <v>18</v>
      </c>
      <c r="F294" s="4">
        <v>44747</v>
      </c>
      <c r="G294" s="3" t="s">
        <v>924</v>
      </c>
      <c r="H294" s="3" t="s">
        <v>925</v>
      </c>
      <c r="I294" s="3" t="s">
        <v>65</v>
      </c>
      <c r="J294" s="5">
        <v>33870.120904948497</v>
      </c>
      <c r="K294" s="3">
        <v>194</v>
      </c>
      <c r="L294" s="3" t="s">
        <v>46</v>
      </c>
      <c r="M294" s="4">
        <v>44750</v>
      </c>
      <c r="N294" s="3" t="s">
        <v>32</v>
      </c>
      <c r="O294" s="3" t="s">
        <v>47</v>
      </c>
      <c r="P294" s="3" t="str">
        <f>IF(Table1[[#This Row],[Billing Amount]]&lt;5000,"Low",IF(Table1[[#This Row],[Billing Amount]]&lt;=15000,"Medium","High"))</f>
        <v>High</v>
      </c>
      <c r="Q294" s="3" t="str">
        <f>IF(Table1[[#This Row],[Discharge Date]]="Yes","Discharged","Under Treatment")</f>
        <v>Under Treatment</v>
      </c>
      <c r="R294" s="3" t="str">
        <f>IF(Table1[[#This Row],[Test Results]]&gt;120,"High Risk","Normal")</f>
        <v>High Risk</v>
      </c>
      <c r="S294" s="3" t="str">
        <f>IF(Table1[[#This Row],[Age]]&lt;=18,"0-18",IF(Table1[[#This Row],[Age]]&lt;=35,"19-35",IF(Table1[[#This Row],[Age]]&lt;=50,"36-50",IF(Table1[[#This Row],[Age]]&lt;=65,"51-65","65+"))))</f>
        <v>65+</v>
      </c>
    </row>
    <row r="295" spans="1:19" x14ac:dyDescent="0.3">
      <c r="A295" s="3" t="s">
        <v>926</v>
      </c>
      <c r="B295" s="3">
        <v>61</v>
      </c>
      <c r="C295" s="3" t="s">
        <v>35</v>
      </c>
      <c r="D295" s="3" t="s">
        <v>42</v>
      </c>
      <c r="E295" s="3" t="s">
        <v>43</v>
      </c>
      <c r="F295" s="4">
        <v>43706</v>
      </c>
      <c r="G295" s="3" t="s">
        <v>927</v>
      </c>
      <c r="H295" s="3" t="s">
        <v>928</v>
      </c>
      <c r="I295" s="3" t="s">
        <v>30</v>
      </c>
      <c r="J295" s="5">
        <v>2303.9984227566601</v>
      </c>
      <c r="K295" s="3">
        <v>408</v>
      </c>
      <c r="L295" s="3" t="s">
        <v>46</v>
      </c>
      <c r="M295" s="4">
        <v>43715</v>
      </c>
      <c r="N295" s="3" t="s">
        <v>23</v>
      </c>
      <c r="O295" s="3" t="s">
        <v>24</v>
      </c>
      <c r="P295" s="3" t="str">
        <f>IF(Table1[[#This Row],[Billing Amount]]&lt;5000,"Low",IF(Table1[[#This Row],[Billing Amount]]&lt;=15000,"Medium","High"))</f>
        <v>Low</v>
      </c>
      <c r="Q295" s="3" t="str">
        <f>IF(Table1[[#This Row],[Discharge Date]]="Yes","Discharged","Under Treatment")</f>
        <v>Under Treatment</v>
      </c>
      <c r="R295" s="3" t="str">
        <f>IF(Table1[[#This Row],[Test Results]]&gt;120,"High Risk","Normal")</f>
        <v>High Risk</v>
      </c>
      <c r="S295" s="3" t="str">
        <f>IF(Table1[[#This Row],[Age]]&lt;=18,"0-18",IF(Table1[[#This Row],[Age]]&lt;=35,"19-35",IF(Table1[[#This Row],[Age]]&lt;=50,"36-50",IF(Table1[[#This Row],[Age]]&lt;=65,"51-65","65+"))))</f>
        <v>51-65</v>
      </c>
    </row>
    <row r="296" spans="1:19" x14ac:dyDescent="0.3">
      <c r="A296" s="3" t="s">
        <v>929</v>
      </c>
      <c r="B296" s="3">
        <v>52</v>
      </c>
      <c r="C296" s="3" t="s">
        <v>16</v>
      </c>
      <c r="D296" s="3" t="s">
        <v>103</v>
      </c>
      <c r="E296" s="3" t="s">
        <v>76</v>
      </c>
      <c r="F296" s="4">
        <v>45414</v>
      </c>
      <c r="G296" s="3" t="s">
        <v>930</v>
      </c>
      <c r="H296" s="3" t="s">
        <v>931</v>
      </c>
      <c r="I296" s="3" t="s">
        <v>39</v>
      </c>
      <c r="J296" s="5">
        <v>1878.00730181789</v>
      </c>
      <c r="K296" s="3">
        <v>188</v>
      </c>
      <c r="L296" s="3" t="s">
        <v>46</v>
      </c>
      <c r="M296" s="4">
        <v>45433</v>
      </c>
      <c r="N296" s="3" t="s">
        <v>23</v>
      </c>
      <c r="O296" s="3" t="s">
        <v>47</v>
      </c>
      <c r="P296" s="3" t="str">
        <f>IF(Table1[[#This Row],[Billing Amount]]&lt;5000,"Low",IF(Table1[[#This Row],[Billing Amount]]&lt;=15000,"Medium","High"))</f>
        <v>Low</v>
      </c>
      <c r="Q296" s="3" t="str">
        <f>IF(Table1[[#This Row],[Discharge Date]]="Yes","Discharged","Under Treatment")</f>
        <v>Under Treatment</v>
      </c>
      <c r="R296" s="3" t="str">
        <f>IF(Table1[[#This Row],[Test Results]]&gt;120,"High Risk","Normal")</f>
        <v>High Risk</v>
      </c>
      <c r="S296" s="3" t="str">
        <f>IF(Table1[[#This Row],[Age]]&lt;=18,"0-18",IF(Table1[[#This Row],[Age]]&lt;=35,"19-35",IF(Table1[[#This Row],[Age]]&lt;=50,"36-50",IF(Table1[[#This Row],[Age]]&lt;=65,"51-65","65+"))))</f>
        <v>51-65</v>
      </c>
    </row>
    <row r="297" spans="1:19" x14ac:dyDescent="0.3">
      <c r="A297" s="3" t="s">
        <v>932</v>
      </c>
      <c r="B297" s="3">
        <v>25</v>
      </c>
      <c r="C297" s="3" t="s">
        <v>16</v>
      </c>
      <c r="D297" s="3" t="s">
        <v>103</v>
      </c>
      <c r="E297" s="3" t="s">
        <v>54</v>
      </c>
      <c r="F297" s="4">
        <v>43977</v>
      </c>
      <c r="G297" s="3" t="s">
        <v>933</v>
      </c>
      <c r="H297" s="3" t="s">
        <v>934</v>
      </c>
      <c r="I297" s="3" t="s">
        <v>21</v>
      </c>
      <c r="J297" s="5">
        <v>19160.993728263998</v>
      </c>
      <c r="K297" s="3">
        <v>361</v>
      </c>
      <c r="L297" s="3" t="s">
        <v>46</v>
      </c>
      <c r="M297" s="4">
        <v>43982</v>
      </c>
      <c r="N297" s="3" t="s">
        <v>52</v>
      </c>
      <c r="O297" s="3" t="s">
        <v>24</v>
      </c>
      <c r="P297" s="3" t="str">
        <f>IF(Table1[[#This Row],[Billing Amount]]&lt;5000,"Low",IF(Table1[[#This Row],[Billing Amount]]&lt;=15000,"Medium","High"))</f>
        <v>High</v>
      </c>
      <c r="Q297" s="3" t="str">
        <f>IF(Table1[[#This Row],[Discharge Date]]="Yes","Discharged","Under Treatment")</f>
        <v>Under Treatment</v>
      </c>
      <c r="R297" s="3" t="str">
        <f>IF(Table1[[#This Row],[Test Results]]&gt;120,"High Risk","Normal")</f>
        <v>High Risk</v>
      </c>
      <c r="S297" s="3" t="str">
        <f>IF(Table1[[#This Row],[Age]]&lt;=18,"0-18",IF(Table1[[#This Row],[Age]]&lt;=35,"19-35",IF(Table1[[#This Row],[Age]]&lt;=50,"36-50",IF(Table1[[#This Row],[Age]]&lt;=65,"51-65","65+"))))</f>
        <v>19-35</v>
      </c>
    </row>
    <row r="298" spans="1:19" x14ac:dyDescent="0.3">
      <c r="A298" s="3" t="s">
        <v>935</v>
      </c>
      <c r="B298" s="3">
        <v>56</v>
      </c>
      <c r="C298" s="3" t="s">
        <v>16</v>
      </c>
      <c r="D298" s="3" t="s">
        <v>103</v>
      </c>
      <c r="E298" s="3" t="s">
        <v>18</v>
      </c>
      <c r="F298" s="4">
        <v>45371</v>
      </c>
      <c r="G298" s="3" t="s">
        <v>936</v>
      </c>
      <c r="H298" s="3" t="s">
        <v>937</v>
      </c>
      <c r="I298" s="3" t="s">
        <v>21</v>
      </c>
      <c r="J298" s="5">
        <v>5811.6298510377301</v>
      </c>
      <c r="K298" s="3">
        <v>176</v>
      </c>
      <c r="L298" s="3" t="s">
        <v>22</v>
      </c>
      <c r="M298" s="4">
        <v>45388</v>
      </c>
      <c r="N298" s="3" t="s">
        <v>23</v>
      </c>
      <c r="O298" s="3" t="s">
        <v>24</v>
      </c>
      <c r="P298" s="3" t="str">
        <f>IF(Table1[[#This Row],[Billing Amount]]&lt;5000,"Low",IF(Table1[[#This Row],[Billing Amount]]&lt;=15000,"Medium","High"))</f>
        <v>Medium</v>
      </c>
      <c r="Q298" s="3" t="str">
        <f>IF(Table1[[#This Row],[Discharge Date]]="Yes","Discharged","Under Treatment")</f>
        <v>Under Treatment</v>
      </c>
      <c r="R298" s="3" t="str">
        <f>IF(Table1[[#This Row],[Test Results]]&gt;120,"High Risk","Normal")</f>
        <v>High Risk</v>
      </c>
      <c r="S298" s="3" t="str">
        <f>IF(Table1[[#This Row],[Age]]&lt;=18,"0-18",IF(Table1[[#This Row],[Age]]&lt;=35,"19-35",IF(Table1[[#This Row],[Age]]&lt;=50,"36-50",IF(Table1[[#This Row],[Age]]&lt;=65,"51-65","65+"))))</f>
        <v>51-65</v>
      </c>
    </row>
    <row r="299" spans="1:19" x14ac:dyDescent="0.3">
      <c r="A299" s="3" t="s">
        <v>938</v>
      </c>
      <c r="B299" s="3">
        <v>44</v>
      </c>
      <c r="C299" s="3" t="s">
        <v>16</v>
      </c>
      <c r="D299" s="3" t="s">
        <v>42</v>
      </c>
      <c r="E299" s="3" t="s">
        <v>43</v>
      </c>
      <c r="F299" s="4">
        <v>45378</v>
      </c>
      <c r="G299" s="3" t="s">
        <v>939</v>
      </c>
      <c r="H299" s="3" t="s">
        <v>940</v>
      </c>
      <c r="I299" s="3" t="s">
        <v>30</v>
      </c>
      <c r="J299" s="5">
        <v>22868.530342201499</v>
      </c>
      <c r="K299" s="3">
        <v>295</v>
      </c>
      <c r="L299" s="3" t="s">
        <v>46</v>
      </c>
      <c r="M299" s="4">
        <v>45390</v>
      </c>
      <c r="N299" s="3" t="s">
        <v>32</v>
      </c>
      <c r="O299" s="3" t="s">
        <v>47</v>
      </c>
      <c r="P299" s="3" t="str">
        <f>IF(Table1[[#This Row],[Billing Amount]]&lt;5000,"Low",IF(Table1[[#This Row],[Billing Amount]]&lt;=15000,"Medium","High"))</f>
        <v>High</v>
      </c>
      <c r="Q299" s="3" t="str">
        <f>IF(Table1[[#This Row],[Discharge Date]]="Yes","Discharged","Under Treatment")</f>
        <v>Under Treatment</v>
      </c>
      <c r="R299" s="3" t="str">
        <f>IF(Table1[[#This Row],[Test Results]]&gt;120,"High Risk","Normal")</f>
        <v>High Risk</v>
      </c>
      <c r="S299" s="3" t="str">
        <f>IF(Table1[[#This Row],[Age]]&lt;=18,"0-18",IF(Table1[[#This Row],[Age]]&lt;=35,"19-35",IF(Table1[[#This Row],[Age]]&lt;=50,"36-50",IF(Table1[[#This Row],[Age]]&lt;=65,"51-65","65+"))))</f>
        <v>36-50</v>
      </c>
    </row>
    <row r="300" spans="1:19" x14ac:dyDescent="0.3">
      <c r="A300" s="3" t="s">
        <v>941</v>
      </c>
      <c r="B300" s="3">
        <v>30</v>
      </c>
      <c r="C300" s="3" t="s">
        <v>35</v>
      </c>
      <c r="D300" s="3" t="s">
        <v>42</v>
      </c>
      <c r="E300" s="3" t="s">
        <v>93</v>
      </c>
      <c r="F300" s="4">
        <v>44277</v>
      </c>
      <c r="G300" s="3" t="s">
        <v>942</v>
      </c>
      <c r="H300" s="3" t="s">
        <v>943</v>
      </c>
      <c r="I300" s="3" t="s">
        <v>21</v>
      </c>
      <c r="J300" s="5">
        <v>48281.911940192003</v>
      </c>
      <c r="K300" s="3">
        <v>415</v>
      </c>
      <c r="L300" s="3" t="s">
        <v>22</v>
      </c>
      <c r="M300" s="4">
        <v>44280</v>
      </c>
      <c r="N300" s="3" t="s">
        <v>32</v>
      </c>
      <c r="O300" s="3" t="s">
        <v>47</v>
      </c>
      <c r="P300" s="3" t="str">
        <f>IF(Table1[[#This Row],[Billing Amount]]&lt;5000,"Low",IF(Table1[[#This Row],[Billing Amount]]&lt;=15000,"Medium","High"))</f>
        <v>High</v>
      </c>
      <c r="Q300" s="3" t="str">
        <f>IF(Table1[[#This Row],[Discharge Date]]="Yes","Discharged","Under Treatment")</f>
        <v>Under Treatment</v>
      </c>
      <c r="R300" s="3" t="str">
        <f>IF(Table1[[#This Row],[Test Results]]&gt;120,"High Risk","Normal")</f>
        <v>High Risk</v>
      </c>
      <c r="S300" s="3" t="str">
        <f>IF(Table1[[#This Row],[Age]]&lt;=18,"0-18",IF(Table1[[#This Row],[Age]]&lt;=35,"19-35",IF(Table1[[#This Row],[Age]]&lt;=50,"36-50",IF(Table1[[#This Row],[Age]]&lt;=65,"51-65","65+"))))</f>
        <v>19-35</v>
      </c>
    </row>
    <row r="301" spans="1:19" x14ac:dyDescent="0.3">
      <c r="A301" s="3" t="s">
        <v>944</v>
      </c>
      <c r="B301" s="3">
        <v>82</v>
      </c>
      <c r="C301" s="3" t="s">
        <v>16</v>
      </c>
      <c r="D301" s="3" t="s">
        <v>122</v>
      </c>
      <c r="E301" s="3" t="s">
        <v>18</v>
      </c>
      <c r="F301" s="4">
        <v>44107</v>
      </c>
      <c r="G301" s="3" t="s">
        <v>945</v>
      </c>
      <c r="H301" s="3" t="s">
        <v>946</v>
      </c>
      <c r="I301" s="3" t="s">
        <v>30</v>
      </c>
      <c r="J301" s="5">
        <v>30562.567625200401</v>
      </c>
      <c r="K301" s="3">
        <v>185</v>
      </c>
      <c r="L301" s="3" t="s">
        <v>31</v>
      </c>
      <c r="M301" s="4">
        <v>44132</v>
      </c>
      <c r="N301" s="3" t="s">
        <v>23</v>
      </c>
      <c r="O301" s="3" t="s">
        <v>47</v>
      </c>
      <c r="P301" s="3" t="str">
        <f>IF(Table1[[#This Row],[Billing Amount]]&lt;5000,"Low",IF(Table1[[#This Row],[Billing Amount]]&lt;=15000,"Medium","High"))</f>
        <v>High</v>
      </c>
      <c r="Q301" s="3" t="str">
        <f>IF(Table1[[#This Row],[Discharge Date]]="Yes","Discharged","Under Treatment")</f>
        <v>Under Treatment</v>
      </c>
      <c r="R301" s="3" t="str">
        <f>IF(Table1[[#This Row],[Test Results]]&gt;120,"High Risk","Normal")</f>
        <v>High Risk</v>
      </c>
      <c r="S301" s="3" t="str">
        <f>IF(Table1[[#This Row],[Age]]&lt;=18,"0-18",IF(Table1[[#This Row],[Age]]&lt;=35,"19-35",IF(Table1[[#This Row],[Age]]&lt;=50,"36-50",IF(Table1[[#This Row],[Age]]&lt;=65,"51-65","65+"))))</f>
        <v>65+</v>
      </c>
    </row>
    <row r="302" spans="1:19" x14ac:dyDescent="0.3">
      <c r="A302" s="3" t="s">
        <v>947</v>
      </c>
      <c r="B302" s="3">
        <v>41</v>
      </c>
      <c r="C302" s="3" t="s">
        <v>16</v>
      </c>
      <c r="D302" s="3" t="s">
        <v>26</v>
      </c>
      <c r="E302" s="3" t="s">
        <v>93</v>
      </c>
      <c r="F302" s="4">
        <v>44785</v>
      </c>
      <c r="G302" s="3" t="s">
        <v>948</v>
      </c>
      <c r="H302" s="3" t="s">
        <v>949</v>
      </c>
      <c r="I302" s="3" t="s">
        <v>39</v>
      </c>
      <c r="J302" s="5">
        <v>5878.7788533232597</v>
      </c>
      <c r="K302" s="3">
        <v>358</v>
      </c>
      <c r="L302" s="3" t="s">
        <v>31</v>
      </c>
      <c r="M302" s="4">
        <v>44804</v>
      </c>
      <c r="N302" s="3" t="s">
        <v>32</v>
      </c>
      <c r="O302" s="3" t="s">
        <v>47</v>
      </c>
      <c r="P302" s="3" t="str">
        <f>IF(Table1[[#This Row],[Billing Amount]]&lt;5000,"Low",IF(Table1[[#This Row],[Billing Amount]]&lt;=15000,"Medium","High"))</f>
        <v>Medium</v>
      </c>
      <c r="Q302" s="3" t="str">
        <f>IF(Table1[[#This Row],[Discharge Date]]="Yes","Discharged","Under Treatment")</f>
        <v>Under Treatment</v>
      </c>
      <c r="R302" s="3" t="str">
        <f>IF(Table1[[#This Row],[Test Results]]&gt;120,"High Risk","Normal")</f>
        <v>High Risk</v>
      </c>
      <c r="S302" s="3" t="str">
        <f>IF(Table1[[#This Row],[Age]]&lt;=18,"0-18",IF(Table1[[#This Row],[Age]]&lt;=35,"19-35",IF(Table1[[#This Row],[Age]]&lt;=50,"36-50",IF(Table1[[#This Row],[Age]]&lt;=65,"51-65","65+"))))</f>
        <v>36-50</v>
      </c>
    </row>
    <row r="303" spans="1:19" x14ac:dyDescent="0.3">
      <c r="A303" s="3" t="s">
        <v>950</v>
      </c>
      <c r="B303" s="3">
        <v>84</v>
      </c>
      <c r="C303" s="3" t="s">
        <v>16</v>
      </c>
      <c r="D303" s="3" t="s">
        <v>36</v>
      </c>
      <c r="E303" s="3" t="s">
        <v>93</v>
      </c>
      <c r="F303" s="4">
        <v>44002</v>
      </c>
      <c r="G303" s="3" t="s">
        <v>951</v>
      </c>
      <c r="H303" s="3" t="s">
        <v>952</v>
      </c>
      <c r="I303" s="3" t="s">
        <v>57</v>
      </c>
      <c r="J303" s="5">
        <v>28410.438767927299</v>
      </c>
      <c r="K303" s="3">
        <v>451</v>
      </c>
      <c r="L303" s="3" t="s">
        <v>22</v>
      </c>
      <c r="M303" s="4">
        <v>44004</v>
      </c>
      <c r="N303" s="3" t="s">
        <v>32</v>
      </c>
      <c r="O303" s="3" t="s">
        <v>47</v>
      </c>
      <c r="P303" s="3" t="str">
        <f>IF(Table1[[#This Row],[Billing Amount]]&lt;5000,"Low",IF(Table1[[#This Row],[Billing Amount]]&lt;=15000,"Medium","High"))</f>
        <v>High</v>
      </c>
      <c r="Q303" s="3" t="str">
        <f>IF(Table1[[#This Row],[Discharge Date]]="Yes","Discharged","Under Treatment")</f>
        <v>Under Treatment</v>
      </c>
      <c r="R303" s="3" t="str">
        <f>IF(Table1[[#This Row],[Test Results]]&gt;120,"High Risk","Normal")</f>
        <v>High Risk</v>
      </c>
      <c r="S303" s="3" t="str">
        <f>IF(Table1[[#This Row],[Age]]&lt;=18,"0-18",IF(Table1[[#This Row],[Age]]&lt;=35,"19-35",IF(Table1[[#This Row],[Age]]&lt;=50,"36-50",IF(Table1[[#This Row],[Age]]&lt;=65,"51-65","65+"))))</f>
        <v>65+</v>
      </c>
    </row>
    <row r="304" spans="1:19" x14ac:dyDescent="0.3">
      <c r="A304" s="3" t="s">
        <v>953</v>
      </c>
      <c r="B304" s="3">
        <v>85</v>
      </c>
      <c r="C304" s="3" t="s">
        <v>35</v>
      </c>
      <c r="D304" s="3" t="s">
        <v>49</v>
      </c>
      <c r="E304" s="3" t="s">
        <v>54</v>
      </c>
      <c r="F304" s="4">
        <v>45036</v>
      </c>
      <c r="G304" s="3" t="s">
        <v>954</v>
      </c>
      <c r="H304" s="3" t="s">
        <v>955</v>
      </c>
      <c r="I304" s="3" t="s">
        <v>30</v>
      </c>
      <c r="J304" s="5">
        <v>27414.018804721702</v>
      </c>
      <c r="K304" s="3">
        <v>390</v>
      </c>
      <c r="L304" s="3" t="s">
        <v>31</v>
      </c>
      <c r="M304" s="4">
        <v>45051</v>
      </c>
      <c r="N304" s="3" t="s">
        <v>32</v>
      </c>
      <c r="O304" s="3" t="s">
        <v>24</v>
      </c>
      <c r="P304" s="3" t="str">
        <f>IF(Table1[[#This Row],[Billing Amount]]&lt;5000,"Low",IF(Table1[[#This Row],[Billing Amount]]&lt;=15000,"Medium","High"))</f>
        <v>High</v>
      </c>
      <c r="Q304" s="3" t="str">
        <f>IF(Table1[[#This Row],[Discharge Date]]="Yes","Discharged","Under Treatment")</f>
        <v>Under Treatment</v>
      </c>
      <c r="R304" s="3" t="str">
        <f>IF(Table1[[#This Row],[Test Results]]&gt;120,"High Risk","Normal")</f>
        <v>High Risk</v>
      </c>
      <c r="S304" s="3" t="str">
        <f>IF(Table1[[#This Row],[Age]]&lt;=18,"0-18",IF(Table1[[#This Row],[Age]]&lt;=35,"19-35",IF(Table1[[#This Row],[Age]]&lt;=50,"36-50",IF(Table1[[#This Row],[Age]]&lt;=65,"51-65","65+"))))</f>
        <v>65+</v>
      </c>
    </row>
    <row r="305" spans="1:19" x14ac:dyDescent="0.3">
      <c r="A305" s="3" t="s">
        <v>956</v>
      </c>
      <c r="B305" s="3">
        <v>26</v>
      </c>
      <c r="C305" s="3" t="s">
        <v>35</v>
      </c>
      <c r="D305" s="3" t="s">
        <v>36</v>
      </c>
      <c r="E305" s="3" t="s">
        <v>76</v>
      </c>
      <c r="F305" s="4">
        <v>43766</v>
      </c>
      <c r="G305" s="3" t="s">
        <v>957</v>
      </c>
      <c r="H305" s="3" t="s">
        <v>958</v>
      </c>
      <c r="I305" s="3" t="s">
        <v>39</v>
      </c>
      <c r="J305" s="5">
        <v>5826.2440270541301</v>
      </c>
      <c r="K305" s="3">
        <v>226</v>
      </c>
      <c r="L305" s="3" t="s">
        <v>31</v>
      </c>
      <c r="M305" s="4">
        <v>43790</v>
      </c>
      <c r="N305" s="3" t="s">
        <v>52</v>
      </c>
      <c r="O305" s="3" t="s">
        <v>47</v>
      </c>
      <c r="P305" s="3" t="str">
        <f>IF(Table1[[#This Row],[Billing Amount]]&lt;5000,"Low",IF(Table1[[#This Row],[Billing Amount]]&lt;=15000,"Medium","High"))</f>
        <v>Medium</v>
      </c>
      <c r="Q305" s="3" t="str">
        <f>IF(Table1[[#This Row],[Discharge Date]]="Yes","Discharged","Under Treatment")</f>
        <v>Under Treatment</v>
      </c>
      <c r="R305" s="3" t="str">
        <f>IF(Table1[[#This Row],[Test Results]]&gt;120,"High Risk","Normal")</f>
        <v>High Risk</v>
      </c>
      <c r="S305" s="3" t="str">
        <f>IF(Table1[[#This Row],[Age]]&lt;=18,"0-18",IF(Table1[[#This Row],[Age]]&lt;=35,"19-35",IF(Table1[[#This Row],[Age]]&lt;=50,"36-50",IF(Table1[[#This Row],[Age]]&lt;=65,"51-65","65+"))))</f>
        <v>19-35</v>
      </c>
    </row>
    <row r="306" spans="1:19" x14ac:dyDescent="0.3">
      <c r="A306" s="3" t="s">
        <v>959</v>
      </c>
      <c r="B306" s="3">
        <v>49</v>
      </c>
      <c r="C306" s="3" t="s">
        <v>35</v>
      </c>
      <c r="D306" s="3" t="s">
        <v>42</v>
      </c>
      <c r="E306" s="3" t="s">
        <v>43</v>
      </c>
      <c r="F306" s="4">
        <v>44439</v>
      </c>
      <c r="G306" s="3" t="s">
        <v>960</v>
      </c>
      <c r="H306" s="3" t="s">
        <v>961</v>
      </c>
      <c r="I306" s="3" t="s">
        <v>65</v>
      </c>
      <c r="J306" s="5">
        <v>2133.7372022713898</v>
      </c>
      <c r="K306" s="3">
        <v>189</v>
      </c>
      <c r="L306" s="3" t="s">
        <v>22</v>
      </c>
      <c r="M306" s="4">
        <v>44444</v>
      </c>
      <c r="N306" s="3" t="s">
        <v>32</v>
      </c>
      <c r="O306" s="3" t="s">
        <v>24</v>
      </c>
      <c r="P306" s="3" t="str">
        <f>IF(Table1[[#This Row],[Billing Amount]]&lt;5000,"Low",IF(Table1[[#This Row],[Billing Amount]]&lt;=15000,"Medium","High"))</f>
        <v>Low</v>
      </c>
      <c r="Q306" s="3" t="str">
        <f>IF(Table1[[#This Row],[Discharge Date]]="Yes","Discharged","Under Treatment")</f>
        <v>Under Treatment</v>
      </c>
      <c r="R306" s="3" t="str">
        <f>IF(Table1[[#This Row],[Test Results]]&gt;120,"High Risk","Normal")</f>
        <v>High Risk</v>
      </c>
      <c r="S306" s="3" t="str">
        <f>IF(Table1[[#This Row],[Age]]&lt;=18,"0-18",IF(Table1[[#This Row],[Age]]&lt;=35,"19-35",IF(Table1[[#This Row],[Age]]&lt;=50,"36-50",IF(Table1[[#This Row],[Age]]&lt;=65,"51-65","65+"))))</f>
        <v>36-50</v>
      </c>
    </row>
    <row r="307" spans="1:19" x14ac:dyDescent="0.3">
      <c r="A307" s="3" t="s">
        <v>962</v>
      </c>
      <c r="B307" s="3">
        <v>69</v>
      </c>
      <c r="C307" s="3" t="s">
        <v>16</v>
      </c>
      <c r="D307" s="3" t="s">
        <v>36</v>
      </c>
      <c r="E307" s="3" t="s">
        <v>43</v>
      </c>
      <c r="F307" s="4">
        <v>44582</v>
      </c>
      <c r="G307" s="3" t="s">
        <v>963</v>
      </c>
      <c r="H307" s="3" t="s">
        <v>964</v>
      </c>
      <c r="I307" s="3" t="s">
        <v>39</v>
      </c>
      <c r="J307" s="5">
        <v>44897.049014850498</v>
      </c>
      <c r="K307" s="3">
        <v>283</v>
      </c>
      <c r="L307" s="3" t="s">
        <v>46</v>
      </c>
      <c r="M307" s="4">
        <v>44594</v>
      </c>
      <c r="N307" s="3" t="s">
        <v>23</v>
      </c>
      <c r="O307" s="3" t="s">
        <v>24</v>
      </c>
      <c r="P307" s="3" t="str">
        <f>IF(Table1[[#This Row],[Billing Amount]]&lt;5000,"Low",IF(Table1[[#This Row],[Billing Amount]]&lt;=15000,"Medium","High"))</f>
        <v>High</v>
      </c>
      <c r="Q307" s="3" t="str">
        <f>IF(Table1[[#This Row],[Discharge Date]]="Yes","Discharged","Under Treatment")</f>
        <v>Under Treatment</v>
      </c>
      <c r="R307" s="3" t="str">
        <f>IF(Table1[[#This Row],[Test Results]]&gt;120,"High Risk","Normal")</f>
        <v>High Risk</v>
      </c>
      <c r="S307" s="3" t="str">
        <f>IF(Table1[[#This Row],[Age]]&lt;=18,"0-18",IF(Table1[[#This Row],[Age]]&lt;=35,"19-35",IF(Table1[[#This Row],[Age]]&lt;=50,"36-50",IF(Table1[[#This Row],[Age]]&lt;=65,"51-65","65+"))))</f>
        <v>65+</v>
      </c>
    </row>
    <row r="308" spans="1:19" x14ac:dyDescent="0.3">
      <c r="A308" s="3" t="s">
        <v>965</v>
      </c>
      <c r="B308" s="3">
        <v>78</v>
      </c>
      <c r="C308" s="3" t="s">
        <v>35</v>
      </c>
      <c r="D308" s="3" t="s">
        <v>42</v>
      </c>
      <c r="E308" s="3" t="s">
        <v>54</v>
      </c>
      <c r="F308" s="4">
        <v>43724</v>
      </c>
      <c r="G308" s="3" t="s">
        <v>966</v>
      </c>
      <c r="H308" s="3" t="s">
        <v>967</v>
      </c>
      <c r="I308" s="3" t="s">
        <v>65</v>
      </c>
      <c r="J308" s="5">
        <v>22230.122763982901</v>
      </c>
      <c r="K308" s="3">
        <v>439</v>
      </c>
      <c r="L308" s="3" t="s">
        <v>22</v>
      </c>
      <c r="M308" s="4">
        <v>43754</v>
      </c>
      <c r="N308" s="3" t="s">
        <v>52</v>
      </c>
      <c r="O308" s="3" t="s">
        <v>24</v>
      </c>
      <c r="P308" s="3" t="str">
        <f>IF(Table1[[#This Row],[Billing Amount]]&lt;5000,"Low",IF(Table1[[#This Row],[Billing Amount]]&lt;=15000,"Medium","High"))</f>
        <v>High</v>
      </c>
      <c r="Q308" s="3" t="str">
        <f>IF(Table1[[#This Row],[Discharge Date]]="Yes","Discharged","Under Treatment")</f>
        <v>Under Treatment</v>
      </c>
      <c r="R308" s="3" t="str">
        <f>IF(Table1[[#This Row],[Test Results]]&gt;120,"High Risk","Normal")</f>
        <v>High Risk</v>
      </c>
      <c r="S308" s="3" t="str">
        <f>IF(Table1[[#This Row],[Age]]&lt;=18,"0-18",IF(Table1[[#This Row],[Age]]&lt;=35,"19-35",IF(Table1[[#This Row],[Age]]&lt;=50,"36-50",IF(Table1[[#This Row],[Age]]&lt;=65,"51-65","65+"))))</f>
        <v>65+</v>
      </c>
    </row>
    <row r="309" spans="1:19" x14ac:dyDescent="0.3">
      <c r="A309" s="3" t="s">
        <v>968</v>
      </c>
      <c r="B309" s="3">
        <v>29</v>
      </c>
      <c r="C309" s="3" t="s">
        <v>16</v>
      </c>
      <c r="D309" s="3" t="s">
        <v>49</v>
      </c>
      <c r="E309" s="3" t="s">
        <v>43</v>
      </c>
      <c r="F309" s="4">
        <v>44946</v>
      </c>
      <c r="G309" s="3" t="s">
        <v>969</v>
      </c>
      <c r="H309" s="3" t="s">
        <v>970</v>
      </c>
      <c r="I309" s="3" t="s">
        <v>65</v>
      </c>
      <c r="J309" s="5">
        <v>32895.101891303202</v>
      </c>
      <c r="K309" s="3">
        <v>123</v>
      </c>
      <c r="L309" s="3" t="s">
        <v>22</v>
      </c>
      <c r="M309" s="4">
        <v>44955</v>
      </c>
      <c r="N309" s="3" t="s">
        <v>40</v>
      </c>
      <c r="O309" s="3" t="s">
        <v>47</v>
      </c>
      <c r="P309" s="3" t="str">
        <f>IF(Table1[[#This Row],[Billing Amount]]&lt;5000,"Low",IF(Table1[[#This Row],[Billing Amount]]&lt;=15000,"Medium","High"))</f>
        <v>High</v>
      </c>
      <c r="Q309" s="3" t="str">
        <f>IF(Table1[[#This Row],[Discharge Date]]="Yes","Discharged","Under Treatment")</f>
        <v>Under Treatment</v>
      </c>
      <c r="R309" s="3" t="str">
        <f>IF(Table1[[#This Row],[Test Results]]&gt;120,"High Risk","Normal")</f>
        <v>High Risk</v>
      </c>
      <c r="S309" s="3" t="str">
        <f>IF(Table1[[#This Row],[Age]]&lt;=18,"0-18",IF(Table1[[#This Row],[Age]]&lt;=35,"19-35",IF(Table1[[#This Row],[Age]]&lt;=50,"36-50",IF(Table1[[#This Row],[Age]]&lt;=65,"51-65","65+"))))</f>
        <v>19-35</v>
      </c>
    </row>
    <row r="310" spans="1:19" x14ac:dyDescent="0.3">
      <c r="A310" s="3" t="s">
        <v>971</v>
      </c>
      <c r="B310" s="3">
        <v>73</v>
      </c>
      <c r="C310" s="3" t="s">
        <v>16</v>
      </c>
      <c r="D310" s="3" t="s">
        <v>26</v>
      </c>
      <c r="E310" s="3" t="s">
        <v>18</v>
      </c>
      <c r="F310" s="4">
        <v>43834</v>
      </c>
      <c r="G310" s="3" t="s">
        <v>972</v>
      </c>
      <c r="H310" s="3" t="s">
        <v>973</v>
      </c>
      <c r="I310" s="3" t="s">
        <v>30</v>
      </c>
      <c r="J310" s="5">
        <v>5349.0561163119701</v>
      </c>
      <c r="K310" s="3">
        <v>469</v>
      </c>
      <c r="L310" s="3" t="s">
        <v>31</v>
      </c>
      <c r="M310" s="4">
        <v>43846</v>
      </c>
      <c r="N310" s="3" t="s">
        <v>23</v>
      </c>
      <c r="O310" s="3" t="s">
        <v>24</v>
      </c>
      <c r="P310" s="3" t="str">
        <f>IF(Table1[[#This Row],[Billing Amount]]&lt;5000,"Low",IF(Table1[[#This Row],[Billing Amount]]&lt;=15000,"Medium","High"))</f>
        <v>Medium</v>
      </c>
      <c r="Q310" s="3" t="str">
        <f>IF(Table1[[#This Row],[Discharge Date]]="Yes","Discharged","Under Treatment")</f>
        <v>Under Treatment</v>
      </c>
      <c r="R310" s="3" t="str">
        <f>IF(Table1[[#This Row],[Test Results]]&gt;120,"High Risk","Normal")</f>
        <v>High Risk</v>
      </c>
      <c r="S310" s="3" t="str">
        <f>IF(Table1[[#This Row],[Age]]&lt;=18,"0-18",IF(Table1[[#This Row],[Age]]&lt;=35,"19-35",IF(Table1[[#This Row],[Age]]&lt;=50,"36-50",IF(Table1[[#This Row],[Age]]&lt;=65,"51-65","65+"))))</f>
        <v>65+</v>
      </c>
    </row>
    <row r="311" spans="1:19" x14ac:dyDescent="0.3">
      <c r="A311" s="3" t="s">
        <v>974</v>
      </c>
      <c r="B311" s="3">
        <v>34</v>
      </c>
      <c r="C311" s="3" t="s">
        <v>16</v>
      </c>
      <c r="D311" s="3" t="s">
        <v>49</v>
      </c>
      <c r="E311" s="3" t="s">
        <v>43</v>
      </c>
      <c r="F311" s="4">
        <v>43652</v>
      </c>
      <c r="G311" s="3" t="s">
        <v>975</v>
      </c>
      <c r="H311" s="3" t="s">
        <v>976</v>
      </c>
      <c r="I311" s="3" t="s">
        <v>39</v>
      </c>
      <c r="J311" s="5">
        <v>25683.279862215601</v>
      </c>
      <c r="K311" s="3">
        <v>295</v>
      </c>
      <c r="L311" s="3" t="s">
        <v>46</v>
      </c>
      <c r="M311" s="4">
        <v>43678</v>
      </c>
      <c r="N311" s="3" t="s">
        <v>23</v>
      </c>
      <c r="O311" s="3" t="s">
        <v>33</v>
      </c>
      <c r="P311" s="3" t="str">
        <f>IF(Table1[[#This Row],[Billing Amount]]&lt;5000,"Low",IF(Table1[[#This Row],[Billing Amount]]&lt;=15000,"Medium","High"))</f>
        <v>High</v>
      </c>
      <c r="Q311" s="3" t="str">
        <f>IF(Table1[[#This Row],[Discharge Date]]="Yes","Discharged","Under Treatment")</f>
        <v>Under Treatment</v>
      </c>
      <c r="R311" s="3" t="str">
        <f>IF(Table1[[#This Row],[Test Results]]&gt;120,"High Risk","Normal")</f>
        <v>High Risk</v>
      </c>
      <c r="S311" s="3" t="str">
        <f>IF(Table1[[#This Row],[Age]]&lt;=18,"0-18",IF(Table1[[#This Row],[Age]]&lt;=35,"19-35",IF(Table1[[#This Row],[Age]]&lt;=50,"36-50",IF(Table1[[#This Row],[Age]]&lt;=65,"51-65","65+"))))</f>
        <v>19-35</v>
      </c>
    </row>
    <row r="312" spans="1:19" x14ac:dyDescent="0.3">
      <c r="A312" s="3" t="s">
        <v>977</v>
      </c>
      <c r="B312" s="3">
        <v>38</v>
      </c>
      <c r="C312" s="3" t="s">
        <v>35</v>
      </c>
      <c r="D312" s="3" t="s">
        <v>59</v>
      </c>
      <c r="E312" s="3" t="s">
        <v>27</v>
      </c>
      <c r="F312" s="4">
        <v>44896</v>
      </c>
      <c r="G312" s="3" t="s">
        <v>978</v>
      </c>
      <c r="H312" s="3" t="s">
        <v>979</v>
      </c>
      <c r="I312" s="3" t="s">
        <v>65</v>
      </c>
      <c r="J312" s="5">
        <v>45560.281838725801</v>
      </c>
      <c r="K312" s="3">
        <v>309</v>
      </c>
      <c r="L312" s="3" t="s">
        <v>46</v>
      </c>
      <c r="M312" s="4">
        <v>44898</v>
      </c>
      <c r="N312" s="3" t="s">
        <v>32</v>
      </c>
      <c r="O312" s="3" t="s">
        <v>24</v>
      </c>
      <c r="P312" s="3" t="str">
        <f>IF(Table1[[#This Row],[Billing Amount]]&lt;5000,"Low",IF(Table1[[#This Row],[Billing Amount]]&lt;=15000,"Medium","High"))</f>
        <v>High</v>
      </c>
      <c r="Q312" s="3" t="str">
        <f>IF(Table1[[#This Row],[Discharge Date]]="Yes","Discharged","Under Treatment")</f>
        <v>Under Treatment</v>
      </c>
      <c r="R312" s="3" t="str">
        <f>IF(Table1[[#This Row],[Test Results]]&gt;120,"High Risk","Normal")</f>
        <v>High Risk</v>
      </c>
      <c r="S312" s="3" t="str">
        <f>IF(Table1[[#This Row],[Age]]&lt;=18,"0-18",IF(Table1[[#This Row],[Age]]&lt;=35,"19-35",IF(Table1[[#This Row],[Age]]&lt;=50,"36-50",IF(Table1[[#This Row],[Age]]&lt;=65,"51-65","65+"))))</f>
        <v>36-50</v>
      </c>
    </row>
    <row r="313" spans="1:19" x14ac:dyDescent="0.3">
      <c r="A313" s="3" t="s">
        <v>980</v>
      </c>
      <c r="B313" s="3">
        <v>70</v>
      </c>
      <c r="C313" s="3" t="s">
        <v>35</v>
      </c>
      <c r="D313" s="3" t="s">
        <v>17</v>
      </c>
      <c r="E313" s="3" t="s">
        <v>93</v>
      </c>
      <c r="F313" s="4">
        <v>43961</v>
      </c>
      <c r="G313" s="3" t="s">
        <v>981</v>
      </c>
      <c r="H313" s="3" t="s">
        <v>982</v>
      </c>
      <c r="I313" s="3" t="s">
        <v>57</v>
      </c>
      <c r="J313" s="5">
        <v>16850.886312192699</v>
      </c>
      <c r="K313" s="3">
        <v>230</v>
      </c>
      <c r="L313" s="3" t="s">
        <v>22</v>
      </c>
      <c r="M313" s="4">
        <v>43981</v>
      </c>
      <c r="N313" s="3" t="s">
        <v>52</v>
      </c>
      <c r="O313" s="3" t="s">
        <v>47</v>
      </c>
      <c r="P313" s="3" t="str">
        <f>IF(Table1[[#This Row],[Billing Amount]]&lt;5000,"Low",IF(Table1[[#This Row],[Billing Amount]]&lt;=15000,"Medium","High"))</f>
        <v>High</v>
      </c>
      <c r="Q313" s="3" t="str">
        <f>IF(Table1[[#This Row],[Discharge Date]]="Yes","Discharged","Under Treatment")</f>
        <v>Under Treatment</v>
      </c>
      <c r="R313" s="3" t="str">
        <f>IF(Table1[[#This Row],[Test Results]]&gt;120,"High Risk","Normal")</f>
        <v>High Risk</v>
      </c>
      <c r="S313" s="3" t="str">
        <f>IF(Table1[[#This Row],[Age]]&lt;=18,"0-18",IF(Table1[[#This Row],[Age]]&lt;=35,"19-35",IF(Table1[[#This Row],[Age]]&lt;=50,"36-50",IF(Table1[[#This Row],[Age]]&lt;=65,"51-65","65+"))))</f>
        <v>65+</v>
      </c>
    </row>
    <row r="314" spans="1:19" x14ac:dyDescent="0.3">
      <c r="A314" s="3" t="s">
        <v>983</v>
      </c>
      <c r="B314" s="3">
        <v>59</v>
      </c>
      <c r="C314" s="3" t="s">
        <v>35</v>
      </c>
      <c r="D314" s="3" t="s">
        <v>49</v>
      </c>
      <c r="E314" s="3" t="s">
        <v>76</v>
      </c>
      <c r="F314" s="4">
        <v>45361</v>
      </c>
      <c r="G314" s="3" t="s">
        <v>984</v>
      </c>
      <c r="H314" s="3" t="s">
        <v>985</v>
      </c>
      <c r="I314" s="3" t="s">
        <v>39</v>
      </c>
      <c r="J314" s="5">
        <v>34365.9971239597</v>
      </c>
      <c r="K314" s="3">
        <v>157</v>
      </c>
      <c r="L314" s="3" t="s">
        <v>46</v>
      </c>
      <c r="M314" s="4">
        <v>45367</v>
      </c>
      <c r="N314" s="3" t="s">
        <v>32</v>
      </c>
      <c r="O314" s="3" t="s">
        <v>33</v>
      </c>
      <c r="P314" s="3" t="str">
        <f>IF(Table1[[#This Row],[Billing Amount]]&lt;5000,"Low",IF(Table1[[#This Row],[Billing Amount]]&lt;=15000,"Medium","High"))</f>
        <v>High</v>
      </c>
      <c r="Q314" s="3" t="str">
        <f>IF(Table1[[#This Row],[Discharge Date]]="Yes","Discharged","Under Treatment")</f>
        <v>Under Treatment</v>
      </c>
      <c r="R314" s="3" t="str">
        <f>IF(Table1[[#This Row],[Test Results]]&gt;120,"High Risk","Normal")</f>
        <v>High Risk</v>
      </c>
      <c r="S314" s="3" t="str">
        <f>IF(Table1[[#This Row],[Age]]&lt;=18,"0-18",IF(Table1[[#This Row],[Age]]&lt;=35,"19-35",IF(Table1[[#This Row],[Age]]&lt;=50,"36-50",IF(Table1[[#This Row],[Age]]&lt;=65,"51-65","65+"))))</f>
        <v>51-65</v>
      </c>
    </row>
    <row r="315" spans="1:19" x14ac:dyDescent="0.3">
      <c r="A315" s="3" t="s">
        <v>986</v>
      </c>
      <c r="B315" s="3">
        <v>43</v>
      </c>
      <c r="C315" s="3" t="s">
        <v>16</v>
      </c>
      <c r="D315" s="3" t="s">
        <v>49</v>
      </c>
      <c r="E315" s="3" t="s">
        <v>93</v>
      </c>
      <c r="F315" s="4">
        <v>43844</v>
      </c>
      <c r="G315" s="3" t="s">
        <v>987</v>
      </c>
      <c r="H315" s="3" t="s">
        <v>988</v>
      </c>
      <c r="I315" s="3" t="s">
        <v>57</v>
      </c>
      <c r="J315" s="5">
        <v>11968.023816835101</v>
      </c>
      <c r="K315" s="3">
        <v>171</v>
      </c>
      <c r="L315" s="3" t="s">
        <v>22</v>
      </c>
      <c r="M315" s="4">
        <v>43849</v>
      </c>
      <c r="N315" s="3" t="s">
        <v>23</v>
      </c>
      <c r="O315" s="3" t="s">
        <v>33</v>
      </c>
      <c r="P315" s="3" t="str">
        <f>IF(Table1[[#This Row],[Billing Amount]]&lt;5000,"Low",IF(Table1[[#This Row],[Billing Amount]]&lt;=15000,"Medium","High"))</f>
        <v>Medium</v>
      </c>
      <c r="Q315" s="3" t="str">
        <f>IF(Table1[[#This Row],[Discharge Date]]="Yes","Discharged","Under Treatment")</f>
        <v>Under Treatment</v>
      </c>
      <c r="R315" s="3" t="str">
        <f>IF(Table1[[#This Row],[Test Results]]&gt;120,"High Risk","Normal")</f>
        <v>High Risk</v>
      </c>
      <c r="S315" s="3" t="str">
        <f>IF(Table1[[#This Row],[Age]]&lt;=18,"0-18",IF(Table1[[#This Row],[Age]]&lt;=35,"19-35",IF(Table1[[#This Row],[Age]]&lt;=50,"36-50",IF(Table1[[#This Row],[Age]]&lt;=65,"51-65","65+"))))</f>
        <v>36-50</v>
      </c>
    </row>
    <row r="316" spans="1:19" x14ac:dyDescent="0.3">
      <c r="A316" s="3" t="s">
        <v>989</v>
      </c>
      <c r="B316" s="3">
        <v>49</v>
      </c>
      <c r="C316" s="3" t="s">
        <v>16</v>
      </c>
      <c r="D316" s="3" t="s">
        <v>17</v>
      </c>
      <c r="E316" s="3" t="s">
        <v>43</v>
      </c>
      <c r="F316" s="4">
        <v>43989</v>
      </c>
      <c r="G316" s="3" t="s">
        <v>990</v>
      </c>
      <c r="H316" s="3" t="s">
        <v>991</v>
      </c>
      <c r="I316" s="3" t="s">
        <v>65</v>
      </c>
      <c r="J316" s="5">
        <v>10076.8925329912</v>
      </c>
      <c r="K316" s="3">
        <v>380</v>
      </c>
      <c r="L316" s="3" t="s">
        <v>46</v>
      </c>
      <c r="M316" s="4">
        <v>44008</v>
      </c>
      <c r="N316" s="3" t="s">
        <v>52</v>
      </c>
      <c r="O316" s="3" t="s">
        <v>33</v>
      </c>
      <c r="P316" s="3" t="str">
        <f>IF(Table1[[#This Row],[Billing Amount]]&lt;5000,"Low",IF(Table1[[#This Row],[Billing Amount]]&lt;=15000,"Medium","High"))</f>
        <v>Medium</v>
      </c>
      <c r="Q316" s="3" t="str">
        <f>IF(Table1[[#This Row],[Discharge Date]]="Yes","Discharged","Under Treatment")</f>
        <v>Under Treatment</v>
      </c>
      <c r="R316" s="3" t="str">
        <f>IF(Table1[[#This Row],[Test Results]]&gt;120,"High Risk","Normal")</f>
        <v>High Risk</v>
      </c>
      <c r="S316" s="3" t="str">
        <f>IF(Table1[[#This Row],[Age]]&lt;=18,"0-18",IF(Table1[[#This Row],[Age]]&lt;=35,"19-35",IF(Table1[[#This Row],[Age]]&lt;=50,"36-50",IF(Table1[[#This Row],[Age]]&lt;=65,"51-65","65+"))))</f>
        <v>36-50</v>
      </c>
    </row>
    <row r="317" spans="1:19" x14ac:dyDescent="0.3">
      <c r="A317" s="3" t="s">
        <v>992</v>
      </c>
      <c r="B317" s="3">
        <v>63</v>
      </c>
      <c r="C317" s="3" t="s">
        <v>16</v>
      </c>
      <c r="D317" s="3" t="s">
        <v>59</v>
      </c>
      <c r="E317" s="3" t="s">
        <v>54</v>
      </c>
      <c r="F317" s="4">
        <v>44146</v>
      </c>
      <c r="G317" s="3" t="s">
        <v>993</v>
      </c>
      <c r="H317" s="3" t="s">
        <v>994</v>
      </c>
      <c r="I317" s="3" t="s">
        <v>21</v>
      </c>
      <c r="J317" s="5">
        <v>44582.817359259199</v>
      </c>
      <c r="K317" s="3">
        <v>189</v>
      </c>
      <c r="L317" s="3" t="s">
        <v>46</v>
      </c>
      <c r="M317" s="4">
        <v>44165</v>
      </c>
      <c r="N317" s="3" t="s">
        <v>52</v>
      </c>
      <c r="O317" s="3" t="s">
        <v>47</v>
      </c>
      <c r="P317" s="3" t="str">
        <f>IF(Table1[[#This Row],[Billing Amount]]&lt;5000,"Low",IF(Table1[[#This Row],[Billing Amount]]&lt;=15000,"Medium","High"))</f>
        <v>High</v>
      </c>
      <c r="Q317" s="3" t="str">
        <f>IF(Table1[[#This Row],[Discharge Date]]="Yes","Discharged","Under Treatment")</f>
        <v>Under Treatment</v>
      </c>
      <c r="R317" s="3" t="str">
        <f>IF(Table1[[#This Row],[Test Results]]&gt;120,"High Risk","Normal")</f>
        <v>High Risk</v>
      </c>
      <c r="S317" s="3" t="str">
        <f>IF(Table1[[#This Row],[Age]]&lt;=18,"0-18",IF(Table1[[#This Row],[Age]]&lt;=35,"19-35",IF(Table1[[#This Row],[Age]]&lt;=50,"36-50",IF(Table1[[#This Row],[Age]]&lt;=65,"51-65","65+"))))</f>
        <v>51-65</v>
      </c>
    </row>
    <row r="318" spans="1:19" x14ac:dyDescent="0.3">
      <c r="A318" s="3" t="s">
        <v>995</v>
      </c>
      <c r="B318" s="3">
        <v>40</v>
      </c>
      <c r="C318" s="3" t="s">
        <v>35</v>
      </c>
      <c r="D318" s="3" t="s">
        <v>42</v>
      </c>
      <c r="E318" s="3" t="s">
        <v>54</v>
      </c>
      <c r="F318" s="4">
        <v>44323</v>
      </c>
      <c r="G318" s="3" t="s">
        <v>612</v>
      </c>
      <c r="H318" s="3" t="s">
        <v>996</v>
      </c>
      <c r="I318" s="3" t="s">
        <v>30</v>
      </c>
      <c r="J318" s="5">
        <v>30334.989066050501</v>
      </c>
      <c r="K318" s="3">
        <v>102</v>
      </c>
      <c r="L318" s="3" t="s">
        <v>22</v>
      </c>
      <c r="M318" s="4">
        <v>44347</v>
      </c>
      <c r="N318" s="3" t="s">
        <v>40</v>
      </c>
      <c r="O318" s="3" t="s">
        <v>47</v>
      </c>
      <c r="P318" s="3" t="str">
        <f>IF(Table1[[#This Row],[Billing Amount]]&lt;5000,"Low",IF(Table1[[#This Row],[Billing Amount]]&lt;=15000,"Medium","High"))</f>
        <v>High</v>
      </c>
      <c r="Q318" s="3" t="str">
        <f>IF(Table1[[#This Row],[Discharge Date]]="Yes","Discharged","Under Treatment")</f>
        <v>Under Treatment</v>
      </c>
      <c r="R318" s="3" t="str">
        <f>IF(Table1[[#This Row],[Test Results]]&gt;120,"High Risk","Normal")</f>
        <v>High Risk</v>
      </c>
      <c r="S318" s="3" t="str">
        <f>IF(Table1[[#This Row],[Age]]&lt;=18,"0-18",IF(Table1[[#This Row],[Age]]&lt;=35,"19-35",IF(Table1[[#This Row],[Age]]&lt;=50,"36-50",IF(Table1[[#This Row],[Age]]&lt;=65,"51-65","65+"))))</f>
        <v>36-50</v>
      </c>
    </row>
    <row r="319" spans="1:19" x14ac:dyDescent="0.3">
      <c r="A319" s="3" t="s">
        <v>997</v>
      </c>
      <c r="B319" s="3">
        <v>80</v>
      </c>
      <c r="C319" s="3" t="s">
        <v>16</v>
      </c>
      <c r="D319" s="3" t="s">
        <v>17</v>
      </c>
      <c r="E319" s="3" t="s">
        <v>93</v>
      </c>
      <c r="F319" s="4">
        <v>44390</v>
      </c>
      <c r="G319" s="3" t="s">
        <v>998</v>
      </c>
      <c r="H319" s="3" t="s">
        <v>999</v>
      </c>
      <c r="I319" s="3" t="s">
        <v>65</v>
      </c>
      <c r="J319" s="5">
        <v>6196.6351360699</v>
      </c>
      <c r="K319" s="3">
        <v>484</v>
      </c>
      <c r="L319" s="3" t="s">
        <v>22</v>
      </c>
      <c r="M319" s="4">
        <v>44413</v>
      </c>
      <c r="N319" s="3" t="s">
        <v>52</v>
      </c>
      <c r="O319" s="3" t="s">
        <v>24</v>
      </c>
      <c r="P319" s="3" t="str">
        <f>IF(Table1[[#This Row],[Billing Amount]]&lt;5000,"Low",IF(Table1[[#This Row],[Billing Amount]]&lt;=15000,"Medium","High"))</f>
        <v>Medium</v>
      </c>
      <c r="Q319" s="3" t="str">
        <f>IF(Table1[[#This Row],[Discharge Date]]="Yes","Discharged","Under Treatment")</f>
        <v>Under Treatment</v>
      </c>
      <c r="R319" s="3" t="str">
        <f>IF(Table1[[#This Row],[Test Results]]&gt;120,"High Risk","Normal")</f>
        <v>High Risk</v>
      </c>
      <c r="S319" s="3" t="str">
        <f>IF(Table1[[#This Row],[Age]]&lt;=18,"0-18",IF(Table1[[#This Row],[Age]]&lt;=35,"19-35",IF(Table1[[#This Row],[Age]]&lt;=50,"36-50",IF(Table1[[#This Row],[Age]]&lt;=65,"51-65","65+"))))</f>
        <v>65+</v>
      </c>
    </row>
    <row r="320" spans="1:19" x14ac:dyDescent="0.3">
      <c r="A320" s="3" t="s">
        <v>1000</v>
      </c>
      <c r="B320" s="3">
        <v>74</v>
      </c>
      <c r="C320" s="3" t="s">
        <v>35</v>
      </c>
      <c r="D320" s="3" t="s">
        <v>103</v>
      </c>
      <c r="E320" s="3" t="s">
        <v>18</v>
      </c>
      <c r="F320" s="4">
        <v>45376</v>
      </c>
      <c r="G320" s="3" t="s">
        <v>1001</v>
      </c>
      <c r="H320" s="3" t="s">
        <v>1002</v>
      </c>
      <c r="I320" s="3" t="s">
        <v>65</v>
      </c>
      <c r="J320" s="5">
        <v>45438.906946369301</v>
      </c>
      <c r="K320" s="3">
        <v>256</v>
      </c>
      <c r="L320" s="3" t="s">
        <v>31</v>
      </c>
      <c r="M320" s="4">
        <v>45385</v>
      </c>
      <c r="N320" s="3" t="s">
        <v>79</v>
      </c>
      <c r="O320" s="3" t="s">
        <v>24</v>
      </c>
      <c r="P320" s="3" t="str">
        <f>IF(Table1[[#This Row],[Billing Amount]]&lt;5000,"Low",IF(Table1[[#This Row],[Billing Amount]]&lt;=15000,"Medium","High"))</f>
        <v>High</v>
      </c>
      <c r="Q320" s="3" t="str">
        <f>IF(Table1[[#This Row],[Discharge Date]]="Yes","Discharged","Under Treatment")</f>
        <v>Under Treatment</v>
      </c>
      <c r="R320" s="3" t="str">
        <f>IF(Table1[[#This Row],[Test Results]]&gt;120,"High Risk","Normal")</f>
        <v>High Risk</v>
      </c>
      <c r="S320" s="3" t="str">
        <f>IF(Table1[[#This Row],[Age]]&lt;=18,"0-18",IF(Table1[[#This Row],[Age]]&lt;=35,"19-35",IF(Table1[[#This Row],[Age]]&lt;=50,"36-50",IF(Table1[[#This Row],[Age]]&lt;=65,"51-65","65+"))))</f>
        <v>65+</v>
      </c>
    </row>
    <row r="321" spans="1:19" x14ac:dyDescent="0.3">
      <c r="A321" s="3" t="s">
        <v>1003</v>
      </c>
      <c r="B321" s="3">
        <v>70</v>
      </c>
      <c r="C321" s="3" t="s">
        <v>16</v>
      </c>
      <c r="D321" s="3" t="s">
        <v>42</v>
      </c>
      <c r="E321" s="3" t="s">
        <v>43</v>
      </c>
      <c r="F321" s="4">
        <v>43915</v>
      </c>
      <c r="G321" s="3" t="s">
        <v>1004</v>
      </c>
      <c r="H321" s="3" t="s">
        <v>1005</v>
      </c>
      <c r="I321" s="3" t="s">
        <v>39</v>
      </c>
      <c r="J321" s="5">
        <v>43707.179242198101</v>
      </c>
      <c r="K321" s="3">
        <v>365</v>
      </c>
      <c r="L321" s="3" t="s">
        <v>22</v>
      </c>
      <c r="M321" s="4">
        <v>43923</v>
      </c>
      <c r="N321" s="3" t="s">
        <v>79</v>
      </c>
      <c r="O321" s="3" t="s">
        <v>24</v>
      </c>
      <c r="P321" s="3" t="str">
        <f>IF(Table1[[#This Row],[Billing Amount]]&lt;5000,"Low",IF(Table1[[#This Row],[Billing Amount]]&lt;=15000,"Medium","High"))</f>
        <v>High</v>
      </c>
      <c r="Q321" s="3" t="str">
        <f>IF(Table1[[#This Row],[Discharge Date]]="Yes","Discharged","Under Treatment")</f>
        <v>Under Treatment</v>
      </c>
      <c r="R321" s="3" t="str">
        <f>IF(Table1[[#This Row],[Test Results]]&gt;120,"High Risk","Normal")</f>
        <v>High Risk</v>
      </c>
      <c r="S321" s="3" t="str">
        <f>IF(Table1[[#This Row],[Age]]&lt;=18,"0-18",IF(Table1[[#This Row],[Age]]&lt;=35,"19-35",IF(Table1[[#This Row],[Age]]&lt;=50,"36-50",IF(Table1[[#This Row],[Age]]&lt;=65,"51-65","65+"))))</f>
        <v>65+</v>
      </c>
    </row>
    <row r="322" spans="1:19" x14ac:dyDescent="0.3">
      <c r="A322" s="3" t="s">
        <v>1006</v>
      </c>
      <c r="B322" s="3">
        <v>39</v>
      </c>
      <c r="C322" s="3" t="s">
        <v>35</v>
      </c>
      <c r="D322" s="3" t="s">
        <v>59</v>
      </c>
      <c r="E322" s="3" t="s">
        <v>43</v>
      </c>
      <c r="F322" s="4">
        <v>45060</v>
      </c>
      <c r="G322" s="3" t="s">
        <v>1007</v>
      </c>
      <c r="H322" s="3" t="s">
        <v>1008</v>
      </c>
      <c r="I322" s="3" t="s">
        <v>21</v>
      </c>
      <c r="J322" s="5">
        <v>20105.0299292768</v>
      </c>
      <c r="K322" s="3">
        <v>286</v>
      </c>
      <c r="L322" s="3" t="s">
        <v>22</v>
      </c>
      <c r="M322" s="4">
        <v>45066</v>
      </c>
      <c r="N322" s="3" t="s">
        <v>52</v>
      </c>
      <c r="O322" s="3" t="s">
        <v>24</v>
      </c>
      <c r="P322" s="3" t="str">
        <f>IF(Table1[[#This Row],[Billing Amount]]&lt;5000,"Low",IF(Table1[[#This Row],[Billing Amount]]&lt;=15000,"Medium","High"))</f>
        <v>High</v>
      </c>
      <c r="Q322" s="3" t="str">
        <f>IF(Table1[[#This Row],[Discharge Date]]="Yes","Discharged","Under Treatment")</f>
        <v>Under Treatment</v>
      </c>
      <c r="R322" s="3" t="str">
        <f>IF(Table1[[#This Row],[Test Results]]&gt;120,"High Risk","Normal")</f>
        <v>High Risk</v>
      </c>
      <c r="S322" s="3" t="str">
        <f>IF(Table1[[#This Row],[Age]]&lt;=18,"0-18",IF(Table1[[#This Row],[Age]]&lt;=35,"19-35",IF(Table1[[#This Row],[Age]]&lt;=50,"36-50",IF(Table1[[#This Row],[Age]]&lt;=65,"51-65","65+"))))</f>
        <v>36-50</v>
      </c>
    </row>
    <row r="323" spans="1:19" x14ac:dyDescent="0.3">
      <c r="A323" s="3" t="s">
        <v>1009</v>
      </c>
      <c r="B323" s="3">
        <v>47</v>
      </c>
      <c r="C323" s="3" t="s">
        <v>35</v>
      </c>
      <c r="D323" s="3" t="s">
        <v>49</v>
      </c>
      <c r="E323" s="3" t="s">
        <v>43</v>
      </c>
      <c r="F323" s="4">
        <v>44884</v>
      </c>
      <c r="G323" s="3" t="s">
        <v>1010</v>
      </c>
      <c r="H323" s="3" t="s">
        <v>1011</v>
      </c>
      <c r="I323" s="3" t="s">
        <v>57</v>
      </c>
      <c r="J323" s="5">
        <v>11938.0676946801</v>
      </c>
      <c r="K323" s="3">
        <v>452</v>
      </c>
      <c r="L323" s="3" t="s">
        <v>22</v>
      </c>
      <c r="M323" s="4">
        <v>44888</v>
      </c>
      <c r="N323" s="3" t="s">
        <v>52</v>
      </c>
      <c r="O323" s="3" t="s">
        <v>24</v>
      </c>
      <c r="P323" s="3" t="str">
        <f>IF(Table1[[#This Row],[Billing Amount]]&lt;5000,"Low",IF(Table1[[#This Row],[Billing Amount]]&lt;=15000,"Medium","High"))</f>
        <v>Medium</v>
      </c>
      <c r="Q323" s="3" t="str">
        <f>IF(Table1[[#This Row],[Discharge Date]]="Yes","Discharged","Under Treatment")</f>
        <v>Under Treatment</v>
      </c>
      <c r="R323" s="3" t="str">
        <f>IF(Table1[[#This Row],[Test Results]]&gt;120,"High Risk","Normal")</f>
        <v>High Risk</v>
      </c>
      <c r="S323" s="3" t="str">
        <f>IF(Table1[[#This Row],[Age]]&lt;=18,"0-18",IF(Table1[[#This Row],[Age]]&lt;=35,"19-35",IF(Table1[[#This Row],[Age]]&lt;=50,"36-50",IF(Table1[[#This Row],[Age]]&lt;=65,"51-65","65+"))))</f>
        <v>36-50</v>
      </c>
    </row>
    <row r="324" spans="1:19" x14ac:dyDescent="0.3">
      <c r="A324" s="3" t="s">
        <v>1012</v>
      </c>
      <c r="B324" s="3">
        <v>49</v>
      </c>
      <c r="C324" s="3" t="s">
        <v>16</v>
      </c>
      <c r="D324" s="3" t="s">
        <v>49</v>
      </c>
      <c r="E324" s="3" t="s">
        <v>43</v>
      </c>
      <c r="F324" s="4">
        <v>44265</v>
      </c>
      <c r="G324" s="3" t="s">
        <v>1013</v>
      </c>
      <c r="H324" s="3" t="s">
        <v>1014</v>
      </c>
      <c r="I324" s="3" t="s">
        <v>65</v>
      </c>
      <c r="J324" s="5">
        <v>10836.2112173349</v>
      </c>
      <c r="K324" s="3">
        <v>481</v>
      </c>
      <c r="L324" s="3" t="s">
        <v>31</v>
      </c>
      <c r="M324" s="4">
        <v>44285</v>
      </c>
      <c r="N324" s="3" t="s">
        <v>79</v>
      </c>
      <c r="O324" s="3" t="s">
        <v>47</v>
      </c>
      <c r="P324" s="3" t="str">
        <f>IF(Table1[[#This Row],[Billing Amount]]&lt;5000,"Low",IF(Table1[[#This Row],[Billing Amount]]&lt;=15000,"Medium","High"))</f>
        <v>Medium</v>
      </c>
      <c r="Q324" s="3" t="str">
        <f>IF(Table1[[#This Row],[Discharge Date]]="Yes","Discharged","Under Treatment")</f>
        <v>Under Treatment</v>
      </c>
      <c r="R324" s="3" t="str">
        <f>IF(Table1[[#This Row],[Test Results]]&gt;120,"High Risk","Normal")</f>
        <v>High Risk</v>
      </c>
      <c r="S324" s="3" t="str">
        <f>IF(Table1[[#This Row],[Age]]&lt;=18,"0-18",IF(Table1[[#This Row],[Age]]&lt;=35,"19-35",IF(Table1[[#This Row],[Age]]&lt;=50,"36-50",IF(Table1[[#This Row],[Age]]&lt;=65,"51-65","65+"))))</f>
        <v>36-50</v>
      </c>
    </row>
    <row r="325" spans="1:19" x14ac:dyDescent="0.3">
      <c r="A325" s="3" t="s">
        <v>1015</v>
      </c>
      <c r="B325" s="3">
        <v>64</v>
      </c>
      <c r="C325" s="3" t="s">
        <v>16</v>
      </c>
      <c r="D325" s="3" t="s">
        <v>36</v>
      </c>
      <c r="E325" s="3" t="s">
        <v>27</v>
      </c>
      <c r="F325" s="4">
        <v>44150</v>
      </c>
      <c r="G325" s="3" t="s">
        <v>1016</v>
      </c>
      <c r="H325" s="3" t="s">
        <v>1017</v>
      </c>
      <c r="I325" s="3" t="s">
        <v>65</v>
      </c>
      <c r="J325" s="5">
        <v>40037.479986778701</v>
      </c>
      <c r="K325" s="3">
        <v>278</v>
      </c>
      <c r="L325" s="3" t="s">
        <v>22</v>
      </c>
      <c r="M325" s="4">
        <v>44155</v>
      </c>
      <c r="N325" s="3" t="s">
        <v>32</v>
      </c>
      <c r="O325" s="3" t="s">
        <v>33</v>
      </c>
      <c r="P325" s="3" t="str">
        <f>IF(Table1[[#This Row],[Billing Amount]]&lt;5000,"Low",IF(Table1[[#This Row],[Billing Amount]]&lt;=15000,"Medium","High"))</f>
        <v>High</v>
      </c>
      <c r="Q325" s="3" t="str">
        <f>IF(Table1[[#This Row],[Discharge Date]]="Yes","Discharged","Under Treatment")</f>
        <v>Under Treatment</v>
      </c>
      <c r="R325" s="3" t="str">
        <f>IF(Table1[[#This Row],[Test Results]]&gt;120,"High Risk","Normal")</f>
        <v>High Risk</v>
      </c>
      <c r="S325" s="3" t="str">
        <f>IF(Table1[[#This Row],[Age]]&lt;=18,"0-18",IF(Table1[[#This Row],[Age]]&lt;=35,"19-35",IF(Table1[[#This Row],[Age]]&lt;=50,"36-50",IF(Table1[[#This Row],[Age]]&lt;=65,"51-65","65+"))))</f>
        <v>51-65</v>
      </c>
    </row>
    <row r="326" spans="1:19" x14ac:dyDescent="0.3">
      <c r="A326" s="3" t="s">
        <v>1018</v>
      </c>
      <c r="B326" s="3">
        <v>40</v>
      </c>
      <c r="C326" s="3" t="s">
        <v>16</v>
      </c>
      <c r="D326" s="3" t="s">
        <v>26</v>
      </c>
      <c r="E326" s="3" t="s">
        <v>54</v>
      </c>
      <c r="F326" s="4">
        <v>45319</v>
      </c>
      <c r="G326" s="3" t="s">
        <v>1019</v>
      </c>
      <c r="H326" s="3" t="s">
        <v>1020</v>
      </c>
      <c r="I326" s="3" t="s">
        <v>30</v>
      </c>
      <c r="J326" s="5">
        <v>42959.299814318198</v>
      </c>
      <c r="K326" s="3">
        <v>410</v>
      </c>
      <c r="L326" s="3" t="s">
        <v>46</v>
      </c>
      <c r="M326" s="4">
        <v>45343</v>
      </c>
      <c r="N326" s="3" t="s">
        <v>23</v>
      </c>
      <c r="O326" s="3" t="s">
        <v>47</v>
      </c>
      <c r="P326" s="3" t="str">
        <f>IF(Table1[[#This Row],[Billing Amount]]&lt;5000,"Low",IF(Table1[[#This Row],[Billing Amount]]&lt;=15000,"Medium","High"))</f>
        <v>High</v>
      </c>
      <c r="Q326" s="3" t="str">
        <f>IF(Table1[[#This Row],[Discharge Date]]="Yes","Discharged","Under Treatment")</f>
        <v>Under Treatment</v>
      </c>
      <c r="R326" s="3" t="str">
        <f>IF(Table1[[#This Row],[Test Results]]&gt;120,"High Risk","Normal")</f>
        <v>High Risk</v>
      </c>
      <c r="S326" s="3" t="str">
        <f>IF(Table1[[#This Row],[Age]]&lt;=18,"0-18",IF(Table1[[#This Row],[Age]]&lt;=35,"19-35",IF(Table1[[#This Row],[Age]]&lt;=50,"36-50",IF(Table1[[#This Row],[Age]]&lt;=65,"51-65","65+"))))</f>
        <v>36-50</v>
      </c>
    </row>
    <row r="327" spans="1:19" x14ac:dyDescent="0.3">
      <c r="A327" s="3" t="s">
        <v>1021</v>
      </c>
      <c r="B327" s="3">
        <v>77</v>
      </c>
      <c r="C327" s="3" t="s">
        <v>16</v>
      </c>
      <c r="D327" s="3" t="s">
        <v>36</v>
      </c>
      <c r="E327" s="3" t="s">
        <v>93</v>
      </c>
      <c r="F327" s="4">
        <v>44019</v>
      </c>
      <c r="G327" s="3" t="s">
        <v>1022</v>
      </c>
      <c r="H327" s="3" t="s">
        <v>1023</v>
      </c>
      <c r="I327" s="3" t="s">
        <v>30</v>
      </c>
      <c r="J327" s="5">
        <v>40196.825277804797</v>
      </c>
      <c r="K327" s="3">
        <v>152</v>
      </c>
      <c r="L327" s="3" t="s">
        <v>22</v>
      </c>
      <c r="M327" s="4">
        <v>44048</v>
      </c>
      <c r="N327" s="3" t="s">
        <v>23</v>
      </c>
      <c r="O327" s="3" t="s">
        <v>47</v>
      </c>
      <c r="P327" s="3" t="str">
        <f>IF(Table1[[#This Row],[Billing Amount]]&lt;5000,"Low",IF(Table1[[#This Row],[Billing Amount]]&lt;=15000,"Medium","High"))</f>
        <v>High</v>
      </c>
      <c r="Q327" s="3" t="str">
        <f>IF(Table1[[#This Row],[Discharge Date]]="Yes","Discharged","Under Treatment")</f>
        <v>Under Treatment</v>
      </c>
      <c r="R327" s="3" t="str">
        <f>IF(Table1[[#This Row],[Test Results]]&gt;120,"High Risk","Normal")</f>
        <v>High Risk</v>
      </c>
      <c r="S327" s="3" t="str">
        <f>IF(Table1[[#This Row],[Age]]&lt;=18,"0-18",IF(Table1[[#This Row],[Age]]&lt;=35,"19-35",IF(Table1[[#This Row],[Age]]&lt;=50,"36-50",IF(Table1[[#This Row],[Age]]&lt;=65,"51-65","65+"))))</f>
        <v>65+</v>
      </c>
    </row>
    <row r="328" spans="1:19" x14ac:dyDescent="0.3">
      <c r="A328" s="3" t="s">
        <v>1024</v>
      </c>
      <c r="B328" s="3">
        <v>61</v>
      </c>
      <c r="C328" s="3" t="s">
        <v>16</v>
      </c>
      <c r="D328" s="3" t="s">
        <v>59</v>
      </c>
      <c r="E328" s="3" t="s">
        <v>76</v>
      </c>
      <c r="F328" s="4">
        <v>44948</v>
      </c>
      <c r="G328" s="3" t="s">
        <v>1025</v>
      </c>
      <c r="H328" s="3" t="s">
        <v>1026</v>
      </c>
      <c r="I328" s="3" t="s">
        <v>39</v>
      </c>
      <c r="J328" s="5">
        <v>39827.663417236101</v>
      </c>
      <c r="K328" s="3">
        <v>172</v>
      </c>
      <c r="L328" s="3" t="s">
        <v>46</v>
      </c>
      <c r="M328" s="4">
        <v>44953</v>
      </c>
      <c r="N328" s="3" t="s">
        <v>32</v>
      </c>
      <c r="O328" s="3" t="s">
        <v>33</v>
      </c>
      <c r="P328" s="3" t="str">
        <f>IF(Table1[[#This Row],[Billing Amount]]&lt;5000,"Low",IF(Table1[[#This Row],[Billing Amount]]&lt;=15000,"Medium","High"))</f>
        <v>High</v>
      </c>
      <c r="Q328" s="3" t="str">
        <f>IF(Table1[[#This Row],[Discharge Date]]="Yes","Discharged","Under Treatment")</f>
        <v>Under Treatment</v>
      </c>
      <c r="R328" s="3" t="str">
        <f>IF(Table1[[#This Row],[Test Results]]&gt;120,"High Risk","Normal")</f>
        <v>High Risk</v>
      </c>
      <c r="S328" s="3" t="str">
        <f>IF(Table1[[#This Row],[Age]]&lt;=18,"0-18",IF(Table1[[#This Row],[Age]]&lt;=35,"19-35",IF(Table1[[#This Row],[Age]]&lt;=50,"36-50",IF(Table1[[#This Row],[Age]]&lt;=65,"51-65","65+"))))</f>
        <v>51-65</v>
      </c>
    </row>
    <row r="329" spans="1:19" x14ac:dyDescent="0.3">
      <c r="A329" s="3" t="s">
        <v>1027</v>
      </c>
      <c r="B329" s="3">
        <v>19</v>
      </c>
      <c r="C329" s="3" t="s">
        <v>35</v>
      </c>
      <c r="D329" s="3" t="s">
        <v>42</v>
      </c>
      <c r="E329" s="3" t="s">
        <v>43</v>
      </c>
      <c r="F329" s="4">
        <v>44386</v>
      </c>
      <c r="G329" s="3" t="s">
        <v>1028</v>
      </c>
      <c r="H329" s="3" t="s">
        <v>1029</v>
      </c>
      <c r="I329" s="3" t="s">
        <v>65</v>
      </c>
      <c r="J329" s="5">
        <v>25414.7959336239</v>
      </c>
      <c r="K329" s="3">
        <v>283</v>
      </c>
      <c r="L329" s="3" t="s">
        <v>46</v>
      </c>
      <c r="M329" s="4">
        <v>44412</v>
      </c>
      <c r="N329" s="3" t="s">
        <v>40</v>
      </c>
      <c r="O329" s="3" t="s">
        <v>47</v>
      </c>
      <c r="P329" s="3" t="str">
        <f>IF(Table1[[#This Row],[Billing Amount]]&lt;5000,"Low",IF(Table1[[#This Row],[Billing Amount]]&lt;=15000,"Medium","High"))</f>
        <v>High</v>
      </c>
      <c r="Q329" s="3" t="str">
        <f>IF(Table1[[#This Row],[Discharge Date]]="Yes","Discharged","Under Treatment")</f>
        <v>Under Treatment</v>
      </c>
      <c r="R329" s="3" t="str">
        <f>IF(Table1[[#This Row],[Test Results]]&gt;120,"High Risk","Normal")</f>
        <v>High Risk</v>
      </c>
      <c r="S329" s="3" t="str">
        <f>IF(Table1[[#This Row],[Age]]&lt;=18,"0-18",IF(Table1[[#This Row],[Age]]&lt;=35,"19-35",IF(Table1[[#This Row],[Age]]&lt;=50,"36-50",IF(Table1[[#This Row],[Age]]&lt;=65,"51-65","65+"))))</f>
        <v>19-35</v>
      </c>
    </row>
    <row r="330" spans="1:19" x14ac:dyDescent="0.3">
      <c r="A330" s="3" t="s">
        <v>1030</v>
      </c>
      <c r="B330" s="3">
        <v>21</v>
      </c>
      <c r="C330" s="3" t="s">
        <v>16</v>
      </c>
      <c r="D330" s="3" t="s">
        <v>122</v>
      </c>
      <c r="E330" s="3" t="s">
        <v>18</v>
      </c>
      <c r="F330" s="4">
        <v>43993</v>
      </c>
      <c r="G330" s="3" t="s">
        <v>1031</v>
      </c>
      <c r="H330" s="3" t="s">
        <v>1032</v>
      </c>
      <c r="I330" s="3" t="s">
        <v>65</v>
      </c>
      <c r="J330" s="5">
        <v>36230.3877609556</v>
      </c>
      <c r="K330" s="3">
        <v>404</v>
      </c>
      <c r="L330" s="3" t="s">
        <v>46</v>
      </c>
      <c r="M330" s="4">
        <v>44003</v>
      </c>
      <c r="N330" s="3" t="s">
        <v>23</v>
      </c>
      <c r="O330" s="3" t="s">
        <v>33</v>
      </c>
      <c r="P330" s="3" t="str">
        <f>IF(Table1[[#This Row],[Billing Amount]]&lt;5000,"Low",IF(Table1[[#This Row],[Billing Amount]]&lt;=15000,"Medium","High"))</f>
        <v>High</v>
      </c>
      <c r="Q330" s="3" t="str">
        <f>IF(Table1[[#This Row],[Discharge Date]]="Yes","Discharged","Under Treatment")</f>
        <v>Under Treatment</v>
      </c>
      <c r="R330" s="3" t="str">
        <f>IF(Table1[[#This Row],[Test Results]]&gt;120,"High Risk","Normal")</f>
        <v>High Risk</v>
      </c>
      <c r="S330" s="3" t="str">
        <f>IF(Table1[[#This Row],[Age]]&lt;=18,"0-18",IF(Table1[[#This Row],[Age]]&lt;=35,"19-35",IF(Table1[[#This Row],[Age]]&lt;=50,"36-50",IF(Table1[[#This Row],[Age]]&lt;=65,"51-65","65+"))))</f>
        <v>19-35</v>
      </c>
    </row>
    <row r="331" spans="1:19" x14ac:dyDescent="0.3">
      <c r="A331" s="3" t="s">
        <v>1033</v>
      </c>
      <c r="B331" s="3">
        <v>49</v>
      </c>
      <c r="C331" s="3" t="s">
        <v>16</v>
      </c>
      <c r="D331" s="3" t="s">
        <v>59</v>
      </c>
      <c r="E331" s="3" t="s">
        <v>54</v>
      </c>
      <c r="F331" s="4">
        <v>43942</v>
      </c>
      <c r="G331" s="3" t="s">
        <v>1034</v>
      </c>
      <c r="H331" s="3" t="s">
        <v>1035</v>
      </c>
      <c r="I331" s="3" t="s">
        <v>57</v>
      </c>
      <c r="J331" s="5">
        <v>22427.174137366801</v>
      </c>
      <c r="K331" s="3">
        <v>197</v>
      </c>
      <c r="L331" s="3" t="s">
        <v>31</v>
      </c>
      <c r="M331" s="4">
        <v>43960</v>
      </c>
      <c r="N331" s="3" t="s">
        <v>79</v>
      </c>
      <c r="O331" s="3" t="s">
        <v>33</v>
      </c>
      <c r="P331" s="3" t="str">
        <f>IF(Table1[[#This Row],[Billing Amount]]&lt;5000,"Low",IF(Table1[[#This Row],[Billing Amount]]&lt;=15000,"Medium","High"))</f>
        <v>High</v>
      </c>
      <c r="Q331" s="3" t="str">
        <f>IF(Table1[[#This Row],[Discharge Date]]="Yes","Discharged","Under Treatment")</f>
        <v>Under Treatment</v>
      </c>
      <c r="R331" s="3" t="str">
        <f>IF(Table1[[#This Row],[Test Results]]&gt;120,"High Risk","Normal")</f>
        <v>High Risk</v>
      </c>
      <c r="S331" s="3" t="str">
        <f>IF(Table1[[#This Row],[Age]]&lt;=18,"0-18",IF(Table1[[#This Row],[Age]]&lt;=35,"19-35",IF(Table1[[#This Row],[Age]]&lt;=50,"36-50",IF(Table1[[#This Row],[Age]]&lt;=65,"51-65","65+"))))</f>
        <v>36-50</v>
      </c>
    </row>
    <row r="332" spans="1:19" x14ac:dyDescent="0.3">
      <c r="A332" s="3" t="s">
        <v>1036</v>
      </c>
      <c r="B332" s="3">
        <v>62</v>
      </c>
      <c r="C332" s="3" t="s">
        <v>35</v>
      </c>
      <c r="D332" s="3" t="s">
        <v>26</v>
      </c>
      <c r="E332" s="3" t="s">
        <v>27</v>
      </c>
      <c r="F332" s="4">
        <v>43744</v>
      </c>
      <c r="G332" s="3" t="s">
        <v>1037</v>
      </c>
      <c r="H332" s="3" t="s">
        <v>1038</v>
      </c>
      <c r="I332" s="3" t="s">
        <v>65</v>
      </c>
      <c r="J332" s="5">
        <v>39250.447438707699</v>
      </c>
      <c r="K332" s="3">
        <v>110</v>
      </c>
      <c r="L332" s="3" t="s">
        <v>22</v>
      </c>
      <c r="M332" s="4">
        <v>43773</v>
      </c>
      <c r="N332" s="3" t="s">
        <v>40</v>
      </c>
      <c r="O332" s="3" t="s">
        <v>24</v>
      </c>
      <c r="P332" s="3" t="str">
        <f>IF(Table1[[#This Row],[Billing Amount]]&lt;5000,"Low",IF(Table1[[#This Row],[Billing Amount]]&lt;=15000,"Medium","High"))</f>
        <v>High</v>
      </c>
      <c r="Q332" s="3" t="str">
        <f>IF(Table1[[#This Row],[Discharge Date]]="Yes","Discharged","Under Treatment")</f>
        <v>Under Treatment</v>
      </c>
      <c r="R332" s="3" t="str">
        <f>IF(Table1[[#This Row],[Test Results]]&gt;120,"High Risk","Normal")</f>
        <v>High Risk</v>
      </c>
      <c r="S332" s="3" t="str">
        <f>IF(Table1[[#This Row],[Age]]&lt;=18,"0-18",IF(Table1[[#This Row],[Age]]&lt;=35,"19-35",IF(Table1[[#This Row],[Age]]&lt;=50,"36-50",IF(Table1[[#This Row],[Age]]&lt;=65,"51-65","65+"))))</f>
        <v>51-65</v>
      </c>
    </row>
    <row r="333" spans="1:19" x14ac:dyDescent="0.3">
      <c r="A333" s="3" t="s">
        <v>1039</v>
      </c>
      <c r="B333" s="3">
        <v>54</v>
      </c>
      <c r="C333" s="3" t="s">
        <v>35</v>
      </c>
      <c r="D333" s="3" t="s">
        <v>122</v>
      </c>
      <c r="E333" s="3" t="s">
        <v>76</v>
      </c>
      <c r="F333" s="4">
        <v>44023</v>
      </c>
      <c r="G333" s="3" t="s">
        <v>1040</v>
      </c>
      <c r="H333" s="3" t="s">
        <v>1041</v>
      </c>
      <c r="I333" s="3" t="s">
        <v>57</v>
      </c>
      <c r="J333" s="5">
        <v>5226.0012971346296</v>
      </c>
      <c r="K333" s="3">
        <v>437</v>
      </c>
      <c r="L333" s="3" t="s">
        <v>22</v>
      </c>
      <c r="M333" s="4">
        <v>44043</v>
      </c>
      <c r="N333" s="3" t="s">
        <v>52</v>
      </c>
      <c r="O333" s="3" t="s">
        <v>24</v>
      </c>
      <c r="P333" s="3" t="str">
        <f>IF(Table1[[#This Row],[Billing Amount]]&lt;5000,"Low",IF(Table1[[#This Row],[Billing Amount]]&lt;=15000,"Medium","High"))</f>
        <v>Medium</v>
      </c>
      <c r="Q333" s="3" t="str">
        <f>IF(Table1[[#This Row],[Discharge Date]]="Yes","Discharged","Under Treatment")</f>
        <v>Under Treatment</v>
      </c>
      <c r="R333" s="3" t="str">
        <f>IF(Table1[[#This Row],[Test Results]]&gt;120,"High Risk","Normal")</f>
        <v>High Risk</v>
      </c>
      <c r="S333" s="3" t="str">
        <f>IF(Table1[[#This Row],[Age]]&lt;=18,"0-18",IF(Table1[[#This Row],[Age]]&lt;=35,"19-35",IF(Table1[[#This Row],[Age]]&lt;=50,"36-50",IF(Table1[[#This Row],[Age]]&lt;=65,"51-65","65+"))))</f>
        <v>51-65</v>
      </c>
    </row>
    <row r="334" spans="1:19" x14ac:dyDescent="0.3">
      <c r="A334" s="3" t="s">
        <v>1042</v>
      </c>
      <c r="B334" s="3">
        <v>22</v>
      </c>
      <c r="C334" s="3" t="s">
        <v>16</v>
      </c>
      <c r="D334" s="3" t="s">
        <v>59</v>
      </c>
      <c r="E334" s="3" t="s">
        <v>27</v>
      </c>
      <c r="F334" s="4">
        <v>44654</v>
      </c>
      <c r="G334" s="3" t="s">
        <v>1043</v>
      </c>
      <c r="H334" s="3" t="s">
        <v>1044</v>
      </c>
      <c r="I334" s="3" t="s">
        <v>65</v>
      </c>
      <c r="J334" s="5">
        <v>7732.6722647349497</v>
      </c>
      <c r="K334" s="3">
        <v>397</v>
      </c>
      <c r="L334" s="3" t="s">
        <v>46</v>
      </c>
      <c r="M334" s="4">
        <v>44668</v>
      </c>
      <c r="N334" s="3" t="s">
        <v>23</v>
      </c>
      <c r="O334" s="3" t="s">
        <v>47</v>
      </c>
      <c r="P334" s="3" t="str">
        <f>IF(Table1[[#This Row],[Billing Amount]]&lt;5000,"Low",IF(Table1[[#This Row],[Billing Amount]]&lt;=15000,"Medium","High"))</f>
        <v>Medium</v>
      </c>
      <c r="Q334" s="3" t="str">
        <f>IF(Table1[[#This Row],[Discharge Date]]="Yes","Discharged","Under Treatment")</f>
        <v>Under Treatment</v>
      </c>
      <c r="R334" s="3" t="str">
        <f>IF(Table1[[#This Row],[Test Results]]&gt;120,"High Risk","Normal")</f>
        <v>High Risk</v>
      </c>
      <c r="S334" s="3" t="str">
        <f>IF(Table1[[#This Row],[Age]]&lt;=18,"0-18",IF(Table1[[#This Row],[Age]]&lt;=35,"19-35",IF(Table1[[#This Row],[Age]]&lt;=50,"36-50",IF(Table1[[#This Row],[Age]]&lt;=65,"51-65","65+"))))</f>
        <v>19-35</v>
      </c>
    </row>
    <row r="335" spans="1:19" x14ac:dyDescent="0.3">
      <c r="A335" s="3" t="s">
        <v>1045</v>
      </c>
      <c r="B335" s="3">
        <v>35</v>
      </c>
      <c r="C335" s="3" t="s">
        <v>35</v>
      </c>
      <c r="D335" s="3" t="s">
        <v>26</v>
      </c>
      <c r="E335" s="3" t="s">
        <v>54</v>
      </c>
      <c r="F335" s="4">
        <v>44911</v>
      </c>
      <c r="G335" s="3" t="s">
        <v>1046</v>
      </c>
      <c r="H335" s="3" t="s">
        <v>1047</v>
      </c>
      <c r="I335" s="3" t="s">
        <v>57</v>
      </c>
      <c r="J335" s="5">
        <v>38403.576578283399</v>
      </c>
      <c r="K335" s="3">
        <v>476</v>
      </c>
      <c r="L335" s="3" t="s">
        <v>46</v>
      </c>
      <c r="M335" s="4">
        <v>44934</v>
      </c>
      <c r="N335" s="3" t="s">
        <v>79</v>
      </c>
      <c r="O335" s="3" t="s">
        <v>47</v>
      </c>
      <c r="P335" s="3" t="str">
        <f>IF(Table1[[#This Row],[Billing Amount]]&lt;5000,"Low",IF(Table1[[#This Row],[Billing Amount]]&lt;=15000,"Medium","High"))</f>
        <v>High</v>
      </c>
      <c r="Q335" s="3" t="str">
        <f>IF(Table1[[#This Row],[Discharge Date]]="Yes","Discharged","Under Treatment")</f>
        <v>Under Treatment</v>
      </c>
      <c r="R335" s="3" t="str">
        <f>IF(Table1[[#This Row],[Test Results]]&gt;120,"High Risk","Normal")</f>
        <v>High Risk</v>
      </c>
      <c r="S335" s="3" t="str">
        <f>IF(Table1[[#This Row],[Age]]&lt;=18,"0-18",IF(Table1[[#This Row],[Age]]&lt;=35,"19-35",IF(Table1[[#This Row],[Age]]&lt;=50,"36-50",IF(Table1[[#This Row],[Age]]&lt;=65,"51-65","65+"))))</f>
        <v>19-35</v>
      </c>
    </row>
    <row r="336" spans="1:19" x14ac:dyDescent="0.3">
      <c r="A336" s="3" t="s">
        <v>1048</v>
      </c>
      <c r="B336" s="3">
        <v>20</v>
      </c>
      <c r="C336" s="3" t="s">
        <v>16</v>
      </c>
      <c r="D336" s="3" t="s">
        <v>17</v>
      </c>
      <c r="E336" s="3" t="s">
        <v>54</v>
      </c>
      <c r="F336" s="4">
        <v>44762</v>
      </c>
      <c r="G336" s="3" t="s">
        <v>1049</v>
      </c>
      <c r="H336" s="3" t="s">
        <v>1050</v>
      </c>
      <c r="I336" s="3" t="s">
        <v>57</v>
      </c>
      <c r="J336" s="5">
        <v>14039.886137560001</v>
      </c>
      <c r="K336" s="3">
        <v>416</v>
      </c>
      <c r="L336" s="3" t="s">
        <v>31</v>
      </c>
      <c r="M336" s="4">
        <v>44771</v>
      </c>
      <c r="N336" s="3" t="s">
        <v>32</v>
      </c>
      <c r="O336" s="3" t="s">
        <v>33</v>
      </c>
      <c r="P336" s="3" t="str">
        <f>IF(Table1[[#This Row],[Billing Amount]]&lt;5000,"Low",IF(Table1[[#This Row],[Billing Amount]]&lt;=15000,"Medium","High"))</f>
        <v>Medium</v>
      </c>
      <c r="Q336" s="3" t="str">
        <f>IF(Table1[[#This Row],[Discharge Date]]="Yes","Discharged","Under Treatment")</f>
        <v>Under Treatment</v>
      </c>
      <c r="R336" s="3" t="str">
        <f>IF(Table1[[#This Row],[Test Results]]&gt;120,"High Risk","Normal")</f>
        <v>High Risk</v>
      </c>
      <c r="S336" s="3" t="str">
        <f>IF(Table1[[#This Row],[Age]]&lt;=18,"0-18",IF(Table1[[#This Row],[Age]]&lt;=35,"19-35",IF(Table1[[#This Row],[Age]]&lt;=50,"36-50",IF(Table1[[#This Row],[Age]]&lt;=65,"51-65","65+"))))</f>
        <v>19-35</v>
      </c>
    </row>
    <row r="337" spans="1:19" x14ac:dyDescent="0.3">
      <c r="A337" s="3" t="s">
        <v>1051</v>
      </c>
      <c r="B337" s="3">
        <v>18</v>
      </c>
      <c r="C337" s="3" t="s">
        <v>35</v>
      </c>
      <c r="D337" s="3" t="s">
        <v>17</v>
      </c>
      <c r="E337" s="3" t="s">
        <v>18</v>
      </c>
      <c r="F337" s="4">
        <v>44402</v>
      </c>
      <c r="G337" s="3" t="s">
        <v>1052</v>
      </c>
      <c r="H337" s="3" t="s">
        <v>1053</v>
      </c>
      <c r="I337" s="3" t="s">
        <v>57</v>
      </c>
      <c r="J337" s="5">
        <v>6958.6976712132</v>
      </c>
      <c r="K337" s="3">
        <v>493</v>
      </c>
      <c r="L337" s="3" t="s">
        <v>46</v>
      </c>
      <c r="M337" s="4">
        <v>44405</v>
      </c>
      <c r="N337" s="3" t="s">
        <v>23</v>
      </c>
      <c r="O337" s="3" t="s">
        <v>47</v>
      </c>
      <c r="P337" s="3" t="str">
        <f>IF(Table1[[#This Row],[Billing Amount]]&lt;5000,"Low",IF(Table1[[#This Row],[Billing Amount]]&lt;=15000,"Medium","High"))</f>
        <v>Medium</v>
      </c>
      <c r="Q337" s="3" t="str">
        <f>IF(Table1[[#This Row],[Discharge Date]]="Yes","Discharged","Under Treatment")</f>
        <v>Under Treatment</v>
      </c>
      <c r="R337" s="3" t="str">
        <f>IF(Table1[[#This Row],[Test Results]]&gt;120,"High Risk","Normal")</f>
        <v>High Risk</v>
      </c>
      <c r="S337" s="3" t="str">
        <f>IF(Table1[[#This Row],[Age]]&lt;=18,"0-18",IF(Table1[[#This Row],[Age]]&lt;=35,"19-35",IF(Table1[[#This Row],[Age]]&lt;=50,"36-50",IF(Table1[[#This Row],[Age]]&lt;=65,"51-65","65+"))))</f>
        <v>0-18</v>
      </c>
    </row>
    <row r="338" spans="1:19" x14ac:dyDescent="0.3">
      <c r="A338" s="3" t="s">
        <v>1054</v>
      </c>
      <c r="B338" s="3">
        <v>55</v>
      </c>
      <c r="C338" s="3" t="s">
        <v>35</v>
      </c>
      <c r="D338" s="3" t="s">
        <v>42</v>
      </c>
      <c r="E338" s="3" t="s">
        <v>18</v>
      </c>
      <c r="F338" s="4">
        <v>45126</v>
      </c>
      <c r="G338" s="3" t="s">
        <v>1055</v>
      </c>
      <c r="H338" s="3" t="s">
        <v>1056</v>
      </c>
      <c r="I338" s="3" t="s">
        <v>30</v>
      </c>
      <c r="J338" s="5">
        <v>3254.0322196806201</v>
      </c>
      <c r="K338" s="3">
        <v>404</v>
      </c>
      <c r="L338" s="3" t="s">
        <v>22</v>
      </c>
      <c r="M338" s="4">
        <v>45140</v>
      </c>
      <c r="N338" s="3" t="s">
        <v>79</v>
      </c>
      <c r="O338" s="3" t="s">
        <v>24</v>
      </c>
      <c r="P338" s="3" t="str">
        <f>IF(Table1[[#This Row],[Billing Amount]]&lt;5000,"Low",IF(Table1[[#This Row],[Billing Amount]]&lt;=15000,"Medium","High"))</f>
        <v>Low</v>
      </c>
      <c r="Q338" s="3" t="str">
        <f>IF(Table1[[#This Row],[Discharge Date]]="Yes","Discharged","Under Treatment")</f>
        <v>Under Treatment</v>
      </c>
      <c r="R338" s="3" t="str">
        <f>IF(Table1[[#This Row],[Test Results]]&gt;120,"High Risk","Normal")</f>
        <v>High Risk</v>
      </c>
      <c r="S338" s="3" t="str">
        <f>IF(Table1[[#This Row],[Age]]&lt;=18,"0-18",IF(Table1[[#This Row],[Age]]&lt;=35,"19-35",IF(Table1[[#This Row],[Age]]&lt;=50,"36-50",IF(Table1[[#This Row],[Age]]&lt;=65,"51-65","65+"))))</f>
        <v>51-65</v>
      </c>
    </row>
    <row r="339" spans="1:19" x14ac:dyDescent="0.3">
      <c r="A339" s="3" t="s">
        <v>1057</v>
      </c>
      <c r="B339" s="3">
        <v>66</v>
      </c>
      <c r="C339" s="3" t="s">
        <v>16</v>
      </c>
      <c r="D339" s="3" t="s">
        <v>17</v>
      </c>
      <c r="E339" s="3" t="s">
        <v>43</v>
      </c>
      <c r="F339" s="4">
        <v>45068</v>
      </c>
      <c r="G339" s="3" t="s">
        <v>1058</v>
      </c>
      <c r="H339" s="3" t="s">
        <v>1059</v>
      </c>
      <c r="I339" s="3" t="s">
        <v>39</v>
      </c>
      <c r="J339" s="5">
        <v>11855.9520190659</v>
      </c>
      <c r="K339" s="3">
        <v>123</v>
      </c>
      <c r="L339" s="3" t="s">
        <v>22</v>
      </c>
      <c r="M339" s="4">
        <v>45085</v>
      </c>
      <c r="N339" s="3" t="s">
        <v>32</v>
      </c>
      <c r="O339" s="3" t="s">
        <v>33</v>
      </c>
      <c r="P339" s="3" t="str">
        <f>IF(Table1[[#This Row],[Billing Amount]]&lt;5000,"Low",IF(Table1[[#This Row],[Billing Amount]]&lt;=15000,"Medium","High"))</f>
        <v>Medium</v>
      </c>
      <c r="Q339" s="3" t="str">
        <f>IF(Table1[[#This Row],[Discharge Date]]="Yes","Discharged","Under Treatment")</f>
        <v>Under Treatment</v>
      </c>
      <c r="R339" s="3" t="str">
        <f>IF(Table1[[#This Row],[Test Results]]&gt;120,"High Risk","Normal")</f>
        <v>High Risk</v>
      </c>
      <c r="S339" s="3" t="str">
        <f>IF(Table1[[#This Row],[Age]]&lt;=18,"0-18",IF(Table1[[#This Row],[Age]]&lt;=35,"19-35",IF(Table1[[#This Row],[Age]]&lt;=50,"36-50",IF(Table1[[#This Row],[Age]]&lt;=65,"51-65","65+"))))</f>
        <v>65+</v>
      </c>
    </row>
    <row r="340" spans="1:19" x14ac:dyDescent="0.3">
      <c r="A340" s="3" t="s">
        <v>1060</v>
      </c>
      <c r="B340" s="3">
        <v>62</v>
      </c>
      <c r="C340" s="3" t="s">
        <v>35</v>
      </c>
      <c r="D340" s="3" t="s">
        <v>122</v>
      </c>
      <c r="E340" s="3" t="s">
        <v>76</v>
      </c>
      <c r="F340" s="4">
        <v>44020</v>
      </c>
      <c r="G340" s="3" t="s">
        <v>1061</v>
      </c>
      <c r="H340" s="3" t="s">
        <v>1062</v>
      </c>
      <c r="I340" s="3" t="s">
        <v>21</v>
      </c>
      <c r="J340" s="5">
        <v>22368.3759384447</v>
      </c>
      <c r="K340" s="3">
        <v>461</v>
      </c>
      <c r="L340" s="3" t="s">
        <v>31</v>
      </c>
      <c r="M340" s="4">
        <v>44037</v>
      </c>
      <c r="N340" s="3" t="s">
        <v>32</v>
      </c>
      <c r="O340" s="3" t="s">
        <v>33</v>
      </c>
      <c r="P340" s="3" t="str">
        <f>IF(Table1[[#This Row],[Billing Amount]]&lt;5000,"Low",IF(Table1[[#This Row],[Billing Amount]]&lt;=15000,"Medium","High"))</f>
        <v>High</v>
      </c>
      <c r="Q340" s="3" t="str">
        <f>IF(Table1[[#This Row],[Discharge Date]]="Yes","Discharged","Under Treatment")</f>
        <v>Under Treatment</v>
      </c>
      <c r="R340" s="3" t="str">
        <f>IF(Table1[[#This Row],[Test Results]]&gt;120,"High Risk","Normal")</f>
        <v>High Risk</v>
      </c>
      <c r="S340" s="3" t="str">
        <f>IF(Table1[[#This Row],[Age]]&lt;=18,"0-18",IF(Table1[[#This Row],[Age]]&lt;=35,"19-35",IF(Table1[[#This Row],[Age]]&lt;=50,"36-50",IF(Table1[[#This Row],[Age]]&lt;=65,"51-65","65+"))))</f>
        <v>51-65</v>
      </c>
    </row>
    <row r="341" spans="1:19" x14ac:dyDescent="0.3">
      <c r="A341" s="3" t="s">
        <v>1063</v>
      </c>
      <c r="B341" s="3">
        <v>24</v>
      </c>
      <c r="C341" s="3" t="s">
        <v>35</v>
      </c>
      <c r="D341" s="3" t="s">
        <v>17</v>
      </c>
      <c r="E341" s="3" t="s">
        <v>43</v>
      </c>
      <c r="F341" s="4">
        <v>43637</v>
      </c>
      <c r="G341" s="3" t="s">
        <v>1064</v>
      </c>
      <c r="H341" s="3" t="s">
        <v>1065</v>
      </c>
      <c r="I341" s="3" t="s">
        <v>39</v>
      </c>
      <c r="J341" s="5">
        <v>10126.502572543701</v>
      </c>
      <c r="K341" s="3">
        <v>242</v>
      </c>
      <c r="L341" s="3" t="s">
        <v>22</v>
      </c>
      <c r="M341" s="4">
        <v>43658</v>
      </c>
      <c r="N341" s="3" t="s">
        <v>32</v>
      </c>
      <c r="O341" s="3" t="s">
        <v>47</v>
      </c>
      <c r="P341" s="3" t="str">
        <f>IF(Table1[[#This Row],[Billing Amount]]&lt;5000,"Low",IF(Table1[[#This Row],[Billing Amount]]&lt;=15000,"Medium","High"))</f>
        <v>Medium</v>
      </c>
      <c r="Q341" s="3" t="str">
        <f>IF(Table1[[#This Row],[Discharge Date]]="Yes","Discharged","Under Treatment")</f>
        <v>Under Treatment</v>
      </c>
      <c r="R341" s="3" t="str">
        <f>IF(Table1[[#This Row],[Test Results]]&gt;120,"High Risk","Normal")</f>
        <v>High Risk</v>
      </c>
      <c r="S341" s="3" t="str">
        <f>IF(Table1[[#This Row],[Age]]&lt;=18,"0-18",IF(Table1[[#This Row],[Age]]&lt;=35,"19-35",IF(Table1[[#This Row],[Age]]&lt;=50,"36-50",IF(Table1[[#This Row],[Age]]&lt;=65,"51-65","65+"))))</f>
        <v>19-35</v>
      </c>
    </row>
    <row r="342" spans="1:19" x14ac:dyDescent="0.3">
      <c r="A342" s="3" t="s">
        <v>1066</v>
      </c>
      <c r="B342" s="3">
        <v>46</v>
      </c>
      <c r="C342" s="3" t="s">
        <v>35</v>
      </c>
      <c r="D342" s="3" t="s">
        <v>42</v>
      </c>
      <c r="E342" s="3" t="s">
        <v>43</v>
      </c>
      <c r="F342" s="4">
        <v>44197</v>
      </c>
      <c r="G342" s="3" t="s">
        <v>1067</v>
      </c>
      <c r="H342" s="3" t="s">
        <v>1068</v>
      </c>
      <c r="I342" s="3" t="s">
        <v>57</v>
      </c>
      <c r="J342" s="5">
        <v>8470.6412995533301</v>
      </c>
      <c r="K342" s="3">
        <v>328</v>
      </c>
      <c r="L342" s="3" t="s">
        <v>46</v>
      </c>
      <c r="M342" s="4">
        <v>44223</v>
      </c>
      <c r="N342" s="3" t="s">
        <v>52</v>
      </c>
      <c r="O342" s="3" t="s">
        <v>33</v>
      </c>
      <c r="P342" s="3" t="str">
        <f>IF(Table1[[#This Row],[Billing Amount]]&lt;5000,"Low",IF(Table1[[#This Row],[Billing Amount]]&lt;=15000,"Medium","High"))</f>
        <v>Medium</v>
      </c>
      <c r="Q342" s="3" t="str">
        <f>IF(Table1[[#This Row],[Discharge Date]]="Yes","Discharged","Under Treatment")</f>
        <v>Under Treatment</v>
      </c>
      <c r="R342" s="3" t="str">
        <f>IF(Table1[[#This Row],[Test Results]]&gt;120,"High Risk","Normal")</f>
        <v>High Risk</v>
      </c>
      <c r="S342" s="3" t="str">
        <f>IF(Table1[[#This Row],[Age]]&lt;=18,"0-18",IF(Table1[[#This Row],[Age]]&lt;=35,"19-35",IF(Table1[[#This Row],[Age]]&lt;=50,"36-50",IF(Table1[[#This Row],[Age]]&lt;=65,"51-65","65+"))))</f>
        <v>36-50</v>
      </c>
    </row>
    <row r="343" spans="1:19" x14ac:dyDescent="0.3">
      <c r="A343" s="3" t="s">
        <v>1069</v>
      </c>
      <c r="B343" s="3">
        <v>58</v>
      </c>
      <c r="C343" s="3" t="s">
        <v>16</v>
      </c>
      <c r="D343" s="3" t="s">
        <v>59</v>
      </c>
      <c r="E343" s="3" t="s">
        <v>54</v>
      </c>
      <c r="F343" s="4">
        <v>44811</v>
      </c>
      <c r="G343" s="3" t="s">
        <v>1070</v>
      </c>
      <c r="H343" s="3" t="s">
        <v>1071</v>
      </c>
      <c r="I343" s="3" t="s">
        <v>30</v>
      </c>
      <c r="J343" s="5">
        <v>25086.013915067098</v>
      </c>
      <c r="K343" s="3">
        <v>476</v>
      </c>
      <c r="L343" s="3" t="s">
        <v>22</v>
      </c>
      <c r="M343" s="4">
        <v>44832</v>
      </c>
      <c r="N343" s="3" t="s">
        <v>79</v>
      </c>
      <c r="O343" s="3" t="s">
        <v>33</v>
      </c>
      <c r="P343" s="3" t="str">
        <f>IF(Table1[[#This Row],[Billing Amount]]&lt;5000,"Low",IF(Table1[[#This Row],[Billing Amount]]&lt;=15000,"Medium","High"))</f>
        <v>High</v>
      </c>
      <c r="Q343" s="3" t="str">
        <f>IF(Table1[[#This Row],[Discharge Date]]="Yes","Discharged","Under Treatment")</f>
        <v>Under Treatment</v>
      </c>
      <c r="R343" s="3" t="str">
        <f>IF(Table1[[#This Row],[Test Results]]&gt;120,"High Risk","Normal")</f>
        <v>High Risk</v>
      </c>
      <c r="S343" s="3" t="str">
        <f>IF(Table1[[#This Row],[Age]]&lt;=18,"0-18",IF(Table1[[#This Row],[Age]]&lt;=35,"19-35",IF(Table1[[#This Row],[Age]]&lt;=50,"36-50",IF(Table1[[#This Row],[Age]]&lt;=65,"51-65","65+"))))</f>
        <v>51-65</v>
      </c>
    </row>
    <row r="344" spans="1:19" x14ac:dyDescent="0.3">
      <c r="A344" s="3" t="s">
        <v>1072</v>
      </c>
      <c r="B344" s="3">
        <v>58</v>
      </c>
      <c r="C344" s="3" t="s">
        <v>16</v>
      </c>
      <c r="D344" s="3" t="s">
        <v>103</v>
      </c>
      <c r="E344" s="3" t="s">
        <v>27</v>
      </c>
      <c r="F344" s="4">
        <v>44721</v>
      </c>
      <c r="G344" s="3" t="s">
        <v>1073</v>
      </c>
      <c r="H344" s="3" t="s">
        <v>1074</v>
      </c>
      <c r="I344" s="3" t="s">
        <v>65</v>
      </c>
      <c r="J344" s="5">
        <v>36524.377246551703</v>
      </c>
      <c r="K344" s="3">
        <v>371</v>
      </c>
      <c r="L344" s="3" t="s">
        <v>22</v>
      </c>
      <c r="M344" s="4">
        <v>44738</v>
      </c>
      <c r="N344" s="3" t="s">
        <v>32</v>
      </c>
      <c r="O344" s="3" t="s">
        <v>47</v>
      </c>
      <c r="P344" s="3" t="str">
        <f>IF(Table1[[#This Row],[Billing Amount]]&lt;5000,"Low",IF(Table1[[#This Row],[Billing Amount]]&lt;=15000,"Medium","High"))</f>
        <v>High</v>
      </c>
      <c r="Q344" s="3" t="str">
        <f>IF(Table1[[#This Row],[Discharge Date]]="Yes","Discharged","Under Treatment")</f>
        <v>Under Treatment</v>
      </c>
      <c r="R344" s="3" t="str">
        <f>IF(Table1[[#This Row],[Test Results]]&gt;120,"High Risk","Normal")</f>
        <v>High Risk</v>
      </c>
      <c r="S344" s="3" t="str">
        <f>IF(Table1[[#This Row],[Age]]&lt;=18,"0-18",IF(Table1[[#This Row],[Age]]&lt;=35,"19-35",IF(Table1[[#This Row],[Age]]&lt;=50,"36-50",IF(Table1[[#This Row],[Age]]&lt;=65,"51-65","65+"))))</f>
        <v>51-65</v>
      </c>
    </row>
    <row r="345" spans="1:19" x14ac:dyDescent="0.3">
      <c r="A345" s="3" t="s">
        <v>1075</v>
      </c>
      <c r="B345" s="3">
        <v>48</v>
      </c>
      <c r="C345" s="3" t="s">
        <v>16</v>
      </c>
      <c r="D345" s="3" t="s">
        <v>103</v>
      </c>
      <c r="E345" s="3" t="s">
        <v>18</v>
      </c>
      <c r="F345" s="4">
        <v>45231</v>
      </c>
      <c r="G345" s="3" t="s">
        <v>1076</v>
      </c>
      <c r="H345" s="3" t="s">
        <v>1077</v>
      </c>
      <c r="I345" s="3" t="s">
        <v>57</v>
      </c>
      <c r="J345" s="5">
        <v>5945.0118164359001</v>
      </c>
      <c r="K345" s="3">
        <v>431</v>
      </c>
      <c r="L345" s="3" t="s">
        <v>46</v>
      </c>
      <c r="M345" s="4">
        <v>45240</v>
      </c>
      <c r="N345" s="3" t="s">
        <v>23</v>
      </c>
      <c r="O345" s="3" t="s">
        <v>33</v>
      </c>
      <c r="P345" s="3" t="str">
        <f>IF(Table1[[#This Row],[Billing Amount]]&lt;5000,"Low",IF(Table1[[#This Row],[Billing Amount]]&lt;=15000,"Medium","High"))</f>
        <v>Medium</v>
      </c>
      <c r="Q345" s="3" t="str">
        <f>IF(Table1[[#This Row],[Discharge Date]]="Yes","Discharged","Under Treatment")</f>
        <v>Under Treatment</v>
      </c>
      <c r="R345" s="3" t="str">
        <f>IF(Table1[[#This Row],[Test Results]]&gt;120,"High Risk","Normal")</f>
        <v>High Risk</v>
      </c>
      <c r="S345" s="3" t="str">
        <f>IF(Table1[[#This Row],[Age]]&lt;=18,"0-18",IF(Table1[[#This Row],[Age]]&lt;=35,"19-35",IF(Table1[[#This Row],[Age]]&lt;=50,"36-50",IF(Table1[[#This Row],[Age]]&lt;=65,"51-65","65+"))))</f>
        <v>36-50</v>
      </c>
    </row>
    <row r="346" spans="1:19" x14ac:dyDescent="0.3">
      <c r="A346" s="3" t="s">
        <v>1078</v>
      </c>
      <c r="B346" s="3">
        <v>43</v>
      </c>
      <c r="C346" s="3" t="s">
        <v>16</v>
      </c>
      <c r="D346" s="3" t="s">
        <v>122</v>
      </c>
      <c r="E346" s="3" t="s">
        <v>27</v>
      </c>
      <c r="F346" s="4">
        <v>45144</v>
      </c>
      <c r="G346" s="3" t="s">
        <v>1079</v>
      </c>
      <c r="H346" s="3" t="s">
        <v>1080</v>
      </c>
      <c r="I346" s="3" t="s">
        <v>21</v>
      </c>
      <c r="J346" s="5">
        <v>3601.68167937205</v>
      </c>
      <c r="K346" s="3">
        <v>409</v>
      </c>
      <c r="L346" s="3" t="s">
        <v>22</v>
      </c>
      <c r="M346" s="4">
        <v>45151</v>
      </c>
      <c r="N346" s="3" t="s">
        <v>79</v>
      </c>
      <c r="O346" s="3" t="s">
        <v>33</v>
      </c>
      <c r="P346" s="3" t="str">
        <f>IF(Table1[[#This Row],[Billing Amount]]&lt;5000,"Low",IF(Table1[[#This Row],[Billing Amount]]&lt;=15000,"Medium","High"))</f>
        <v>Low</v>
      </c>
      <c r="Q346" s="3" t="str">
        <f>IF(Table1[[#This Row],[Discharge Date]]="Yes","Discharged","Under Treatment")</f>
        <v>Under Treatment</v>
      </c>
      <c r="R346" s="3" t="str">
        <f>IF(Table1[[#This Row],[Test Results]]&gt;120,"High Risk","Normal")</f>
        <v>High Risk</v>
      </c>
      <c r="S346" s="3" t="str">
        <f>IF(Table1[[#This Row],[Age]]&lt;=18,"0-18",IF(Table1[[#This Row],[Age]]&lt;=35,"19-35",IF(Table1[[#This Row],[Age]]&lt;=50,"36-50",IF(Table1[[#This Row],[Age]]&lt;=65,"51-65","65+"))))</f>
        <v>36-50</v>
      </c>
    </row>
    <row r="347" spans="1:19" x14ac:dyDescent="0.3">
      <c r="A347" s="3" t="s">
        <v>1081</v>
      </c>
      <c r="B347" s="3">
        <v>74</v>
      </c>
      <c r="C347" s="3" t="s">
        <v>35</v>
      </c>
      <c r="D347" s="3" t="s">
        <v>49</v>
      </c>
      <c r="E347" s="3" t="s">
        <v>27</v>
      </c>
      <c r="F347" s="4">
        <v>44772</v>
      </c>
      <c r="G347" s="3" t="s">
        <v>1082</v>
      </c>
      <c r="H347" s="3" t="s">
        <v>1083</v>
      </c>
      <c r="I347" s="3" t="s">
        <v>65</v>
      </c>
      <c r="J347" s="5">
        <v>4920.1904184311097</v>
      </c>
      <c r="K347" s="3">
        <v>135</v>
      </c>
      <c r="L347" s="3" t="s">
        <v>46</v>
      </c>
      <c r="M347" s="4">
        <v>44798</v>
      </c>
      <c r="N347" s="3" t="s">
        <v>40</v>
      </c>
      <c r="O347" s="3" t="s">
        <v>47</v>
      </c>
      <c r="P347" s="3" t="str">
        <f>IF(Table1[[#This Row],[Billing Amount]]&lt;5000,"Low",IF(Table1[[#This Row],[Billing Amount]]&lt;=15000,"Medium","High"))</f>
        <v>Low</v>
      </c>
      <c r="Q347" s="3" t="str">
        <f>IF(Table1[[#This Row],[Discharge Date]]="Yes","Discharged","Under Treatment")</f>
        <v>Under Treatment</v>
      </c>
      <c r="R347" s="3" t="str">
        <f>IF(Table1[[#This Row],[Test Results]]&gt;120,"High Risk","Normal")</f>
        <v>High Risk</v>
      </c>
      <c r="S347" s="3" t="str">
        <f>IF(Table1[[#This Row],[Age]]&lt;=18,"0-18",IF(Table1[[#This Row],[Age]]&lt;=35,"19-35",IF(Table1[[#This Row],[Age]]&lt;=50,"36-50",IF(Table1[[#This Row],[Age]]&lt;=65,"51-65","65+"))))</f>
        <v>65+</v>
      </c>
    </row>
    <row r="348" spans="1:19" x14ac:dyDescent="0.3">
      <c r="A348" s="3" t="s">
        <v>1084</v>
      </c>
      <c r="B348" s="3">
        <v>35</v>
      </c>
      <c r="C348" s="3" t="s">
        <v>16</v>
      </c>
      <c r="D348" s="3" t="s">
        <v>26</v>
      </c>
      <c r="E348" s="3" t="s">
        <v>18</v>
      </c>
      <c r="F348" s="4">
        <v>44526</v>
      </c>
      <c r="G348" s="3" t="s">
        <v>1085</v>
      </c>
      <c r="H348" s="3" t="s">
        <v>1086</v>
      </c>
      <c r="I348" s="3" t="s">
        <v>21</v>
      </c>
      <c r="J348" s="5">
        <v>48826.387056579602</v>
      </c>
      <c r="K348" s="3">
        <v>142</v>
      </c>
      <c r="L348" s="3" t="s">
        <v>22</v>
      </c>
      <c r="M348" s="4">
        <v>44539</v>
      </c>
      <c r="N348" s="3" t="s">
        <v>23</v>
      </c>
      <c r="O348" s="3" t="s">
        <v>24</v>
      </c>
      <c r="P348" s="3" t="str">
        <f>IF(Table1[[#This Row],[Billing Amount]]&lt;5000,"Low",IF(Table1[[#This Row],[Billing Amount]]&lt;=15000,"Medium","High"))</f>
        <v>High</v>
      </c>
      <c r="Q348" s="3" t="str">
        <f>IF(Table1[[#This Row],[Discharge Date]]="Yes","Discharged","Under Treatment")</f>
        <v>Under Treatment</v>
      </c>
      <c r="R348" s="3" t="str">
        <f>IF(Table1[[#This Row],[Test Results]]&gt;120,"High Risk","Normal")</f>
        <v>High Risk</v>
      </c>
      <c r="S348" s="3" t="str">
        <f>IF(Table1[[#This Row],[Age]]&lt;=18,"0-18",IF(Table1[[#This Row],[Age]]&lt;=35,"19-35",IF(Table1[[#This Row],[Age]]&lt;=50,"36-50",IF(Table1[[#This Row],[Age]]&lt;=65,"51-65","65+"))))</f>
        <v>19-35</v>
      </c>
    </row>
    <row r="349" spans="1:19" x14ac:dyDescent="0.3">
      <c r="A349" s="3" t="s">
        <v>1087</v>
      </c>
      <c r="B349" s="3">
        <v>28</v>
      </c>
      <c r="C349" s="3" t="s">
        <v>16</v>
      </c>
      <c r="D349" s="3" t="s">
        <v>17</v>
      </c>
      <c r="E349" s="3" t="s">
        <v>93</v>
      </c>
      <c r="F349" s="4">
        <v>44014</v>
      </c>
      <c r="G349" s="3" t="s">
        <v>1088</v>
      </c>
      <c r="H349" s="3" t="s">
        <v>1089</v>
      </c>
      <c r="I349" s="3" t="s">
        <v>57</v>
      </c>
      <c r="J349" s="5">
        <v>5509.59580144552</v>
      </c>
      <c r="K349" s="3">
        <v>313</v>
      </c>
      <c r="L349" s="3" t="s">
        <v>31</v>
      </c>
      <c r="M349" s="4">
        <v>44015</v>
      </c>
      <c r="N349" s="3" t="s">
        <v>79</v>
      </c>
      <c r="O349" s="3" t="s">
        <v>47</v>
      </c>
      <c r="P349" s="3" t="str">
        <f>IF(Table1[[#This Row],[Billing Amount]]&lt;5000,"Low",IF(Table1[[#This Row],[Billing Amount]]&lt;=15000,"Medium","High"))</f>
        <v>Medium</v>
      </c>
      <c r="Q349" s="3" t="str">
        <f>IF(Table1[[#This Row],[Discharge Date]]="Yes","Discharged","Under Treatment")</f>
        <v>Under Treatment</v>
      </c>
      <c r="R349" s="3" t="str">
        <f>IF(Table1[[#This Row],[Test Results]]&gt;120,"High Risk","Normal")</f>
        <v>High Risk</v>
      </c>
      <c r="S349" s="3" t="str">
        <f>IF(Table1[[#This Row],[Age]]&lt;=18,"0-18",IF(Table1[[#This Row],[Age]]&lt;=35,"19-35",IF(Table1[[#This Row],[Age]]&lt;=50,"36-50",IF(Table1[[#This Row],[Age]]&lt;=65,"51-65","65+"))))</f>
        <v>19-35</v>
      </c>
    </row>
    <row r="350" spans="1:19" x14ac:dyDescent="0.3">
      <c r="A350" s="3" t="s">
        <v>1090</v>
      </c>
      <c r="B350" s="3">
        <v>49</v>
      </c>
      <c r="C350" s="3" t="s">
        <v>16</v>
      </c>
      <c r="D350" s="3" t="s">
        <v>36</v>
      </c>
      <c r="E350" s="3" t="s">
        <v>43</v>
      </c>
      <c r="F350" s="4">
        <v>44417</v>
      </c>
      <c r="G350" s="3" t="s">
        <v>1091</v>
      </c>
      <c r="H350" s="3" t="s">
        <v>1092</v>
      </c>
      <c r="I350" s="3" t="s">
        <v>30</v>
      </c>
      <c r="J350" s="5">
        <v>37636.441661616896</v>
      </c>
      <c r="K350" s="3">
        <v>385</v>
      </c>
      <c r="L350" s="3" t="s">
        <v>46</v>
      </c>
      <c r="M350" s="4">
        <v>44445</v>
      </c>
      <c r="N350" s="3" t="s">
        <v>32</v>
      </c>
      <c r="O350" s="3" t="s">
        <v>24</v>
      </c>
      <c r="P350" s="3" t="str">
        <f>IF(Table1[[#This Row],[Billing Amount]]&lt;5000,"Low",IF(Table1[[#This Row],[Billing Amount]]&lt;=15000,"Medium","High"))</f>
        <v>High</v>
      </c>
      <c r="Q350" s="3" t="str">
        <f>IF(Table1[[#This Row],[Discharge Date]]="Yes","Discharged","Under Treatment")</f>
        <v>Under Treatment</v>
      </c>
      <c r="R350" s="3" t="str">
        <f>IF(Table1[[#This Row],[Test Results]]&gt;120,"High Risk","Normal")</f>
        <v>High Risk</v>
      </c>
      <c r="S350" s="3" t="str">
        <f>IF(Table1[[#This Row],[Age]]&lt;=18,"0-18",IF(Table1[[#This Row],[Age]]&lt;=35,"19-35",IF(Table1[[#This Row],[Age]]&lt;=50,"36-50",IF(Table1[[#This Row],[Age]]&lt;=65,"51-65","65+"))))</f>
        <v>36-50</v>
      </c>
    </row>
    <row r="351" spans="1:19" x14ac:dyDescent="0.3">
      <c r="A351" s="3" t="s">
        <v>1093</v>
      </c>
      <c r="B351" s="3">
        <v>28</v>
      </c>
      <c r="C351" s="3" t="s">
        <v>16</v>
      </c>
      <c r="D351" s="3" t="s">
        <v>59</v>
      </c>
      <c r="E351" s="3" t="s">
        <v>27</v>
      </c>
      <c r="F351" s="4">
        <v>45309</v>
      </c>
      <c r="G351" s="3" t="s">
        <v>1094</v>
      </c>
      <c r="H351" s="3" t="s">
        <v>1095</v>
      </c>
      <c r="I351" s="3" t="s">
        <v>65</v>
      </c>
      <c r="J351" s="5">
        <v>20885.9195075241</v>
      </c>
      <c r="K351" s="3">
        <v>247</v>
      </c>
      <c r="L351" s="3" t="s">
        <v>31</v>
      </c>
      <c r="M351" s="4">
        <v>45326</v>
      </c>
      <c r="N351" s="3" t="s">
        <v>32</v>
      </c>
      <c r="O351" s="3" t="s">
        <v>33</v>
      </c>
      <c r="P351" s="3" t="str">
        <f>IF(Table1[[#This Row],[Billing Amount]]&lt;5000,"Low",IF(Table1[[#This Row],[Billing Amount]]&lt;=15000,"Medium","High"))</f>
        <v>High</v>
      </c>
      <c r="Q351" s="3" t="str">
        <f>IF(Table1[[#This Row],[Discharge Date]]="Yes","Discharged","Under Treatment")</f>
        <v>Under Treatment</v>
      </c>
      <c r="R351" s="3" t="str">
        <f>IF(Table1[[#This Row],[Test Results]]&gt;120,"High Risk","Normal")</f>
        <v>High Risk</v>
      </c>
      <c r="S351" s="3" t="str">
        <f>IF(Table1[[#This Row],[Age]]&lt;=18,"0-18",IF(Table1[[#This Row],[Age]]&lt;=35,"19-35",IF(Table1[[#This Row],[Age]]&lt;=50,"36-50",IF(Table1[[#This Row],[Age]]&lt;=65,"51-65","65+"))))</f>
        <v>19-35</v>
      </c>
    </row>
    <row r="352" spans="1:19" x14ac:dyDescent="0.3">
      <c r="A352" s="3" t="s">
        <v>1096</v>
      </c>
      <c r="B352" s="3">
        <v>50</v>
      </c>
      <c r="C352" s="3" t="s">
        <v>16</v>
      </c>
      <c r="D352" s="3" t="s">
        <v>122</v>
      </c>
      <c r="E352" s="3" t="s">
        <v>27</v>
      </c>
      <c r="F352" s="4">
        <v>44943</v>
      </c>
      <c r="G352" s="3" t="s">
        <v>1097</v>
      </c>
      <c r="H352" s="3" t="s">
        <v>1098</v>
      </c>
      <c r="I352" s="3" t="s">
        <v>39</v>
      </c>
      <c r="J352" s="5">
        <v>35114.489973948301</v>
      </c>
      <c r="K352" s="3">
        <v>183</v>
      </c>
      <c r="L352" s="3" t="s">
        <v>46</v>
      </c>
      <c r="M352" s="4">
        <v>44967</v>
      </c>
      <c r="N352" s="3" t="s">
        <v>23</v>
      </c>
      <c r="O352" s="3" t="s">
        <v>24</v>
      </c>
      <c r="P352" s="3" t="str">
        <f>IF(Table1[[#This Row],[Billing Amount]]&lt;5000,"Low",IF(Table1[[#This Row],[Billing Amount]]&lt;=15000,"Medium","High"))</f>
        <v>High</v>
      </c>
      <c r="Q352" s="3" t="str">
        <f>IF(Table1[[#This Row],[Discharge Date]]="Yes","Discharged","Under Treatment")</f>
        <v>Under Treatment</v>
      </c>
      <c r="R352" s="3" t="str">
        <f>IF(Table1[[#This Row],[Test Results]]&gt;120,"High Risk","Normal")</f>
        <v>High Risk</v>
      </c>
      <c r="S352" s="3" t="str">
        <f>IF(Table1[[#This Row],[Age]]&lt;=18,"0-18",IF(Table1[[#This Row],[Age]]&lt;=35,"19-35",IF(Table1[[#This Row],[Age]]&lt;=50,"36-50",IF(Table1[[#This Row],[Age]]&lt;=65,"51-65","65+"))))</f>
        <v>36-50</v>
      </c>
    </row>
    <row r="353" spans="1:19" x14ac:dyDescent="0.3">
      <c r="A353" s="3" t="s">
        <v>1099</v>
      </c>
      <c r="B353" s="3">
        <v>22</v>
      </c>
      <c r="C353" s="3" t="s">
        <v>35</v>
      </c>
      <c r="D353" s="3" t="s">
        <v>42</v>
      </c>
      <c r="E353" s="3" t="s">
        <v>76</v>
      </c>
      <c r="F353" s="4">
        <v>44936</v>
      </c>
      <c r="G353" s="3" t="s">
        <v>1100</v>
      </c>
      <c r="H353" s="3" t="s">
        <v>1101</v>
      </c>
      <c r="I353" s="3" t="s">
        <v>21</v>
      </c>
      <c r="J353" s="5">
        <v>40697.968947545101</v>
      </c>
      <c r="K353" s="3">
        <v>116</v>
      </c>
      <c r="L353" s="3" t="s">
        <v>46</v>
      </c>
      <c r="M353" s="4">
        <v>44949</v>
      </c>
      <c r="N353" s="3" t="s">
        <v>32</v>
      </c>
      <c r="O353" s="3" t="s">
        <v>24</v>
      </c>
      <c r="P353" s="3" t="str">
        <f>IF(Table1[[#This Row],[Billing Amount]]&lt;5000,"Low",IF(Table1[[#This Row],[Billing Amount]]&lt;=15000,"Medium","High"))</f>
        <v>High</v>
      </c>
      <c r="Q353" s="3" t="str">
        <f>IF(Table1[[#This Row],[Discharge Date]]="Yes","Discharged","Under Treatment")</f>
        <v>Under Treatment</v>
      </c>
      <c r="R353" s="3" t="str">
        <f>IF(Table1[[#This Row],[Test Results]]&gt;120,"High Risk","Normal")</f>
        <v>High Risk</v>
      </c>
      <c r="S353" s="3" t="str">
        <f>IF(Table1[[#This Row],[Age]]&lt;=18,"0-18",IF(Table1[[#This Row],[Age]]&lt;=35,"19-35",IF(Table1[[#This Row],[Age]]&lt;=50,"36-50",IF(Table1[[#This Row],[Age]]&lt;=65,"51-65","65+"))))</f>
        <v>19-35</v>
      </c>
    </row>
    <row r="354" spans="1:19" x14ac:dyDescent="0.3">
      <c r="A354" s="3" t="s">
        <v>1102</v>
      </c>
      <c r="B354" s="3">
        <v>62</v>
      </c>
      <c r="C354" s="3" t="s">
        <v>35</v>
      </c>
      <c r="D354" s="3" t="s">
        <v>103</v>
      </c>
      <c r="E354" s="3" t="s">
        <v>93</v>
      </c>
      <c r="F354" s="4">
        <v>43660</v>
      </c>
      <c r="G354" s="3" t="s">
        <v>1103</v>
      </c>
      <c r="H354" s="3" t="s">
        <v>1104</v>
      </c>
      <c r="I354" s="3" t="s">
        <v>39</v>
      </c>
      <c r="J354" s="5">
        <v>43465.952783580396</v>
      </c>
      <c r="K354" s="3">
        <v>325</v>
      </c>
      <c r="L354" s="3" t="s">
        <v>22</v>
      </c>
      <c r="M354" s="4">
        <v>43664</v>
      </c>
      <c r="N354" s="3" t="s">
        <v>79</v>
      </c>
      <c r="O354" s="3" t="s">
        <v>24</v>
      </c>
      <c r="P354" s="3" t="str">
        <f>IF(Table1[[#This Row],[Billing Amount]]&lt;5000,"Low",IF(Table1[[#This Row],[Billing Amount]]&lt;=15000,"Medium","High"))</f>
        <v>High</v>
      </c>
      <c r="Q354" s="3" t="str">
        <f>IF(Table1[[#This Row],[Discharge Date]]="Yes","Discharged","Under Treatment")</f>
        <v>Under Treatment</v>
      </c>
      <c r="R354" s="3" t="str">
        <f>IF(Table1[[#This Row],[Test Results]]&gt;120,"High Risk","Normal")</f>
        <v>High Risk</v>
      </c>
      <c r="S354" s="3" t="str">
        <f>IF(Table1[[#This Row],[Age]]&lt;=18,"0-18",IF(Table1[[#This Row],[Age]]&lt;=35,"19-35",IF(Table1[[#This Row],[Age]]&lt;=50,"36-50",IF(Table1[[#This Row],[Age]]&lt;=65,"51-65","65+"))))</f>
        <v>51-65</v>
      </c>
    </row>
    <row r="355" spans="1:19" x14ac:dyDescent="0.3">
      <c r="A355" s="3" t="s">
        <v>1105</v>
      </c>
      <c r="B355" s="3">
        <v>21</v>
      </c>
      <c r="C355" s="3" t="s">
        <v>35</v>
      </c>
      <c r="D355" s="3" t="s">
        <v>26</v>
      </c>
      <c r="E355" s="3" t="s">
        <v>18</v>
      </c>
      <c r="F355" s="4">
        <v>43969</v>
      </c>
      <c r="G355" s="3" t="s">
        <v>1106</v>
      </c>
      <c r="H355" s="3" t="s">
        <v>1107</v>
      </c>
      <c r="I355" s="3" t="s">
        <v>65</v>
      </c>
      <c r="J355" s="5">
        <v>16866.068824005499</v>
      </c>
      <c r="K355" s="3">
        <v>177</v>
      </c>
      <c r="L355" s="3" t="s">
        <v>46</v>
      </c>
      <c r="M355" s="4">
        <v>43984</v>
      </c>
      <c r="N355" s="3" t="s">
        <v>32</v>
      </c>
      <c r="O355" s="3" t="s">
        <v>24</v>
      </c>
      <c r="P355" s="3" t="str">
        <f>IF(Table1[[#This Row],[Billing Amount]]&lt;5000,"Low",IF(Table1[[#This Row],[Billing Amount]]&lt;=15000,"Medium","High"))</f>
        <v>High</v>
      </c>
      <c r="Q355" s="3" t="str">
        <f>IF(Table1[[#This Row],[Discharge Date]]="Yes","Discharged","Under Treatment")</f>
        <v>Under Treatment</v>
      </c>
      <c r="R355" s="3" t="str">
        <f>IF(Table1[[#This Row],[Test Results]]&gt;120,"High Risk","Normal")</f>
        <v>High Risk</v>
      </c>
      <c r="S355" s="3" t="str">
        <f>IF(Table1[[#This Row],[Age]]&lt;=18,"0-18",IF(Table1[[#This Row],[Age]]&lt;=35,"19-35",IF(Table1[[#This Row],[Age]]&lt;=50,"36-50",IF(Table1[[#This Row],[Age]]&lt;=65,"51-65","65+"))))</f>
        <v>19-35</v>
      </c>
    </row>
    <row r="356" spans="1:19" x14ac:dyDescent="0.3">
      <c r="A356" s="3" t="s">
        <v>1108</v>
      </c>
      <c r="B356" s="3">
        <v>44</v>
      </c>
      <c r="C356" s="3" t="s">
        <v>16</v>
      </c>
      <c r="D356" s="3" t="s">
        <v>17</v>
      </c>
      <c r="E356" s="3" t="s">
        <v>27</v>
      </c>
      <c r="F356" s="4">
        <v>44727</v>
      </c>
      <c r="G356" s="3" t="s">
        <v>1109</v>
      </c>
      <c r="H356" s="3" t="s">
        <v>1110</v>
      </c>
      <c r="I356" s="3" t="s">
        <v>39</v>
      </c>
      <c r="J356" s="5">
        <v>41454.685261556202</v>
      </c>
      <c r="K356" s="3">
        <v>328</v>
      </c>
      <c r="L356" s="3" t="s">
        <v>31</v>
      </c>
      <c r="M356" s="4">
        <v>44737</v>
      </c>
      <c r="N356" s="3" t="s">
        <v>32</v>
      </c>
      <c r="O356" s="3" t="s">
        <v>33</v>
      </c>
      <c r="P356" s="3" t="str">
        <f>IF(Table1[[#This Row],[Billing Amount]]&lt;5000,"Low",IF(Table1[[#This Row],[Billing Amount]]&lt;=15000,"Medium","High"))</f>
        <v>High</v>
      </c>
      <c r="Q356" s="3" t="str">
        <f>IF(Table1[[#This Row],[Discharge Date]]="Yes","Discharged","Under Treatment")</f>
        <v>Under Treatment</v>
      </c>
      <c r="R356" s="3" t="str">
        <f>IF(Table1[[#This Row],[Test Results]]&gt;120,"High Risk","Normal")</f>
        <v>High Risk</v>
      </c>
      <c r="S356" s="3" t="str">
        <f>IF(Table1[[#This Row],[Age]]&lt;=18,"0-18",IF(Table1[[#This Row],[Age]]&lt;=35,"19-35",IF(Table1[[#This Row],[Age]]&lt;=50,"36-50",IF(Table1[[#This Row],[Age]]&lt;=65,"51-65","65+"))))</f>
        <v>36-50</v>
      </c>
    </row>
    <row r="357" spans="1:19" x14ac:dyDescent="0.3">
      <c r="A357" s="3" t="s">
        <v>1111</v>
      </c>
      <c r="B357" s="3">
        <v>27</v>
      </c>
      <c r="C357" s="3" t="s">
        <v>16</v>
      </c>
      <c r="D357" s="3" t="s">
        <v>103</v>
      </c>
      <c r="E357" s="3" t="s">
        <v>76</v>
      </c>
      <c r="F357" s="4">
        <v>43917</v>
      </c>
      <c r="G357" s="3" t="s">
        <v>1112</v>
      </c>
      <c r="H357" s="3" t="s">
        <v>1113</v>
      </c>
      <c r="I357" s="3" t="s">
        <v>65</v>
      </c>
      <c r="J357" s="5">
        <v>47735.384242651096</v>
      </c>
      <c r="K357" s="3">
        <v>221</v>
      </c>
      <c r="L357" s="3" t="s">
        <v>22</v>
      </c>
      <c r="M357" s="4">
        <v>43926</v>
      </c>
      <c r="N357" s="3" t="s">
        <v>52</v>
      </c>
      <c r="O357" s="3" t="s">
        <v>24</v>
      </c>
      <c r="P357" s="3" t="str">
        <f>IF(Table1[[#This Row],[Billing Amount]]&lt;5000,"Low",IF(Table1[[#This Row],[Billing Amount]]&lt;=15000,"Medium","High"))</f>
        <v>High</v>
      </c>
      <c r="Q357" s="3" t="str">
        <f>IF(Table1[[#This Row],[Discharge Date]]="Yes","Discharged","Under Treatment")</f>
        <v>Under Treatment</v>
      </c>
      <c r="R357" s="3" t="str">
        <f>IF(Table1[[#This Row],[Test Results]]&gt;120,"High Risk","Normal")</f>
        <v>High Risk</v>
      </c>
      <c r="S357" s="3" t="str">
        <f>IF(Table1[[#This Row],[Age]]&lt;=18,"0-18",IF(Table1[[#This Row],[Age]]&lt;=35,"19-35",IF(Table1[[#This Row],[Age]]&lt;=50,"36-50",IF(Table1[[#This Row],[Age]]&lt;=65,"51-65","65+"))))</f>
        <v>19-35</v>
      </c>
    </row>
    <row r="358" spans="1:19" x14ac:dyDescent="0.3">
      <c r="A358" s="3" t="s">
        <v>1114</v>
      </c>
      <c r="B358" s="3">
        <v>51</v>
      </c>
      <c r="C358" s="3" t="s">
        <v>16</v>
      </c>
      <c r="D358" s="3" t="s">
        <v>122</v>
      </c>
      <c r="E358" s="3" t="s">
        <v>76</v>
      </c>
      <c r="F358" s="4">
        <v>43998</v>
      </c>
      <c r="G358" s="3" t="s">
        <v>1115</v>
      </c>
      <c r="H358" s="3" t="s">
        <v>1116</v>
      </c>
      <c r="I358" s="3" t="s">
        <v>21</v>
      </c>
      <c r="J358" s="5">
        <v>26524.172804251</v>
      </c>
      <c r="K358" s="3">
        <v>426</v>
      </c>
      <c r="L358" s="3" t="s">
        <v>46</v>
      </c>
      <c r="M358" s="4">
        <v>44003</v>
      </c>
      <c r="N358" s="3" t="s">
        <v>52</v>
      </c>
      <c r="O358" s="3" t="s">
        <v>33</v>
      </c>
      <c r="P358" s="3" t="str">
        <f>IF(Table1[[#This Row],[Billing Amount]]&lt;5000,"Low",IF(Table1[[#This Row],[Billing Amount]]&lt;=15000,"Medium","High"))</f>
        <v>High</v>
      </c>
      <c r="Q358" s="3" t="str">
        <f>IF(Table1[[#This Row],[Discharge Date]]="Yes","Discharged","Under Treatment")</f>
        <v>Under Treatment</v>
      </c>
      <c r="R358" s="3" t="str">
        <f>IF(Table1[[#This Row],[Test Results]]&gt;120,"High Risk","Normal")</f>
        <v>High Risk</v>
      </c>
      <c r="S358" s="3" t="str">
        <f>IF(Table1[[#This Row],[Age]]&lt;=18,"0-18",IF(Table1[[#This Row],[Age]]&lt;=35,"19-35",IF(Table1[[#This Row],[Age]]&lt;=50,"36-50",IF(Table1[[#This Row],[Age]]&lt;=65,"51-65","65+"))))</f>
        <v>51-65</v>
      </c>
    </row>
    <row r="359" spans="1:19" x14ac:dyDescent="0.3">
      <c r="A359" s="3" t="s">
        <v>1117</v>
      </c>
      <c r="B359" s="3">
        <v>48</v>
      </c>
      <c r="C359" s="3" t="s">
        <v>35</v>
      </c>
      <c r="D359" s="3" t="s">
        <v>17</v>
      </c>
      <c r="E359" s="3" t="s">
        <v>76</v>
      </c>
      <c r="F359" s="4">
        <v>43622</v>
      </c>
      <c r="G359" s="3" t="s">
        <v>1118</v>
      </c>
      <c r="H359" s="3" t="s">
        <v>1119</v>
      </c>
      <c r="I359" s="3" t="s">
        <v>57</v>
      </c>
      <c r="J359" s="5">
        <v>36727.581005121698</v>
      </c>
      <c r="K359" s="3">
        <v>386</v>
      </c>
      <c r="L359" s="3" t="s">
        <v>22</v>
      </c>
      <c r="M359" s="4">
        <v>43648</v>
      </c>
      <c r="N359" s="3" t="s">
        <v>32</v>
      </c>
      <c r="O359" s="3" t="s">
        <v>24</v>
      </c>
      <c r="P359" s="3" t="str">
        <f>IF(Table1[[#This Row],[Billing Amount]]&lt;5000,"Low",IF(Table1[[#This Row],[Billing Amount]]&lt;=15000,"Medium","High"))</f>
        <v>High</v>
      </c>
      <c r="Q359" s="3" t="str">
        <f>IF(Table1[[#This Row],[Discharge Date]]="Yes","Discharged","Under Treatment")</f>
        <v>Under Treatment</v>
      </c>
      <c r="R359" s="3" t="str">
        <f>IF(Table1[[#This Row],[Test Results]]&gt;120,"High Risk","Normal")</f>
        <v>High Risk</v>
      </c>
      <c r="S359" s="3" t="str">
        <f>IF(Table1[[#This Row],[Age]]&lt;=18,"0-18",IF(Table1[[#This Row],[Age]]&lt;=35,"19-35",IF(Table1[[#This Row],[Age]]&lt;=50,"36-50",IF(Table1[[#This Row],[Age]]&lt;=65,"51-65","65+"))))</f>
        <v>36-50</v>
      </c>
    </row>
    <row r="360" spans="1:19" x14ac:dyDescent="0.3">
      <c r="A360" s="3" t="s">
        <v>1120</v>
      </c>
      <c r="B360" s="3">
        <v>83</v>
      </c>
      <c r="C360" s="3" t="s">
        <v>16</v>
      </c>
      <c r="D360" s="3" t="s">
        <v>17</v>
      </c>
      <c r="E360" s="3" t="s">
        <v>93</v>
      </c>
      <c r="F360" s="4">
        <v>44579</v>
      </c>
      <c r="G360" s="3" t="s">
        <v>1121</v>
      </c>
      <c r="H360" s="3" t="s">
        <v>1122</v>
      </c>
      <c r="I360" s="3" t="s">
        <v>21</v>
      </c>
      <c r="J360" s="5">
        <v>4509.4030608944904</v>
      </c>
      <c r="K360" s="3">
        <v>175</v>
      </c>
      <c r="L360" s="3" t="s">
        <v>46</v>
      </c>
      <c r="M360" s="4">
        <v>44597</v>
      </c>
      <c r="N360" s="3" t="s">
        <v>23</v>
      </c>
      <c r="O360" s="3" t="s">
        <v>47</v>
      </c>
      <c r="P360" s="3" t="str">
        <f>IF(Table1[[#This Row],[Billing Amount]]&lt;5000,"Low",IF(Table1[[#This Row],[Billing Amount]]&lt;=15000,"Medium","High"))</f>
        <v>Low</v>
      </c>
      <c r="Q360" s="3" t="str">
        <f>IF(Table1[[#This Row],[Discharge Date]]="Yes","Discharged","Under Treatment")</f>
        <v>Under Treatment</v>
      </c>
      <c r="R360" s="3" t="str">
        <f>IF(Table1[[#This Row],[Test Results]]&gt;120,"High Risk","Normal")</f>
        <v>High Risk</v>
      </c>
      <c r="S360" s="3" t="str">
        <f>IF(Table1[[#This Row],[Age]]&lt;=18,"0-18",IF(Table1[[#This Row],[Age]]&lt;=35,"19-35",IF(Table1[[#This Row],[Age]]&lt;=50,"36-50",IF(Table1[[#This Row],[Age]]&lt;=65,"51-65","65+"))))</f>
        <v>65+</v>
      </c>
    </row>
    <row r="361" spans="1:19" x14ac:dyDescent="0.3">
      <c r="A361" s="3" t="s">
        <v>1123</v>
      </c>
      <c r="B361" s="3">
        <v>64</v>
      </c>
      <c r="C361" s="3" t="s">
        <v>16</v>
      </c>
      <c r="D361" s="3" t="s">
        <v>26</v>
      </c>
      <c r="E361" s="3" t="s">
        <v>93</v>
      </c>
      <c r="F361" s="4">
        <v>44207</v>
      </c>
      <c r="G361" s="3" t="s">
        <v>1124</v>
      </c>
      <c r="H361" s="3" t="s">
        <v>1125</v>
      </c>
      <c r="I361" s="3" t="s">
        <v>39</v>
      </c>
      <c r="J361" s="5">
        <v>25709.5844317189</v>
      </c>
      <c r="K361" s="3">
        <v>180</v>
      </c>
      <c r="L361" s="3" t="s">
        <v>46</v>
      </c>
      <c r="M361" s="4">
        <v>44219</v>
      </c>
      <c r="N361" s="3" t="s">
        <v>40</v>
      </c>
      <c r="O361" s="3" t="s">
        <v>47</v>
      </c>
      <c r="P361" s="3" t="str">
        <f>IF(Table1[[#This Row],[Billing Amount]]&lt;5000,"Low",IF(Table1[[#This Row],[Billing Amount]]&lt;=15000,"Medium","High"))</f>
        <v>High</v>
      </c>
      <c r="Q361" s="3" t="str">
        <f>IF(Table1[[#This Row],[Discharge Date]]="Yes","Discharged","Under Treatment")</f>
        <v>Under Treatment</v>
      </c>
      <c r="R361" s="3" t="str">
        <f>IF(Table1[[#This Row],[Test Results]]&gt;120,"High Risk","Normal")</f>
        <v>High Risk</v>
      </c>
      <c r="S361" s="3" t="str">
        <f>IF(Table1[[#This Row],[Age]]&lt;=18,"0-18",IF(Table1[[#This Row],[Age]]&lt;=35,"19-35",IF(Table1[[#This Row],[Age]]&lt;=50,"36-50",IF(Table1[[#This Row],[Age]]&lt;=65,"51-65","65+"))))</f>
        <v>51-65</v>
      </c>
    </row>
    <row r="362" spans="1:19" x14ac:dyDescent="0.3">
      <c r="A362" s="3" t="s">
        <v>1126</v>
      </c>
      <c r="B362" s="3">
        <v>39</v>
      </c>
      <c r="C362" s="3" t="s">
        <v>16</v>
      </c>
      <c r="D362" s="3" t="s">
        <v>17</v>
      </c>
      <c r="E362" s="3" t="s">
        <v>54</v>
      </c>
      <c r="F362" s="4">
        <v>44711</v>
      </c>
      <c r="G362" s="3" t="s">
        <v>1127</v>
      </c>
      <c r="H362" s="3" t="s">
        <v>1128</v>
      </c>
      <c r="I362" s="3" t="s">
        <v>57</v>
      </c>
      <c r="J362" s="5">
        <v>36862.171802963101</v>
      </c>
      <c r="K362" s="3">
        <v>338</v>
      </c>
      <c r="L362" s="3" t="s">
        <v>46</v>
      </c>
      <c r="M362" s="4">
        <v>44713</v>
      </c>
      <c r="N362" s="3" t="s">
        <v>40</v>
      </c>
      <c r="O362" s="3" t="s">
        <v>33</v>
      </c>
      <c r="P362" s="3" t="str">
        <f>IF(Table1[[#This Row],[Billing Amount]]&lt;5000,"Low",IF(Table1[[#This Row],[Billing Amount]]&lt;=15000,"Medium","High"))</f>
        <v>High</v>
      </c>
      <c r="Q362" s="3" t="str">
        <f>IF(Table1[[#This Row],[Discharge Date]]="Yes","Discharged","Under Treatment")</f>
        <v>Under Treatment</v>
      </c>
      <c r="R362" s="3" t="str">
        <f>IF(Table1[[#This Row],[Test Results]]&gt;120,"High Risk","Normal")</f>
        <v>High Risk</v>
      </c>
      <c r="S362" s="3" t="str">
        <f>IF(Table1[[#This Row],[Age]]&lt;=18,"0-18",IF(Table1[[#This Row],[Age]]&lt;=35,"19-35",IF(Table1[[#This Row],[Age]]&lt;=50,"36-50",IF(Table1[[#This Row],[Age]]&lt;=65,"51-65","65+"))))</f>
        <v>36-50</v>
      </c>
    </row>
    <row r="363" spans="1:19" x14ac:dyDescent="0.3">
      <c r="A363" s="3" t="s">
        <v>1129</v>
      </c>
      <c r="B363" s="3">
        <v>24</v>
      </c>
      <c r="C363" s="3" t="s">
        <v>16</v>
      </c>
      <c r="D363" s="3" t="s">
        <v>103</v>
      </c>
      <c r="E363" s="3" t="s">
        <v>43</v>
      </c>
      <c r="F363" s="4">
        <v>44397</v>
      </c>
      <c r="G363" s="3" t="s">
        <v>1130</v>
      </c>
      <c r="H363" s="3" t="s">
        <v>1131</v>
      </c>
      <c r="I363" s="3" t="s">
        <v>57</v>
      </c>
      <c r="J363" s="5">
        <v>41997.354559282001</v>
      </c>
      <c r="K363" s="3">
        <v>252</v>
      </c>
      <c r="L363" s="3" t="s">
        <v>46</v>
      </c>
      <c r="M363" s="4">
        <v>44415</v>
      </c>
      <c r="N363" s="3" t="s">
        <v>79</v>
      </c>
      <c r="O363" s="3" t="s">
        <v>47</v>
      </c>
      <c r="P363" s="3" t="str">
        <f>IF(Table1[[#This Row],[Billing Amount]]&lt;5000,"Low",IF(Table1[[#This Row],[Billing Amount]]&lt;=15000,"Medium","High"))</f>
        <v>High</v>
      </c>
      <c r="Q363" s="3" t="str">
        <f>IF(Table1[[#This Row],[Discharge Date]]="Yes","Discharged","Under Treatment")</f>
        <v>Under Treatment</v>
      </c>
      <c r="R363" s="3" t="str">
        <f>IF(Table1[[#This Row],[Test Results]]&gt;120,"High Risk","Normal")</f>
        <v>High Risk</v>
      </c>
      <c r="S363" s="3" t="str">
        <f>IF(Table1[[#This Row],[Age]]&lt;=18,"0-18",IF(Table1[[#This Row],[Age]]&lt;=35,"19-35",IF(Table1[[#This Row],[Age]]&lt;=50,"36-50",IF(Table1[[#This Row],[Age]]&lt;=65,"51-65","65+"))))</f>
        <v>19-35</v>
      </c>
    </row>
    <row r="364" spans="1:19" x14ac:dyDescent="0.3">
      <c r="A364" s="3" t="s">
        <v>1132</v>
      </c>
      <c r="B364" s="3">
        <v>56</v>
      </c>
      <c r="C364" s="3" t="s">
        <v>16</v>
      </c>
      <c r="D364" s="3" t="s">
        <v>122</v>
      </c>
      <c r="E364" s="3" t="s">
        <v>27</v>
      </c>
      <c r="F364" s="4">
        <v>44809</v>
      </c>
      <c r="G364" s="3" t="s">
        <v>1133</v>
      </c>
      <c r="H364" s="3" t="s">
        <v>906</v>
      </c>
      <c r="I364" s="3" t="s">
        <v>57</v>
      </c>
      <c r="J364" s="5">
        <v>36204.732330643201</v>
      </c>
      <c r="K364" s="3">
        <v>430</v>
      </c>
      <c r="L364" s="3" t="s">
        <v>22</v>
      </c>
      <c r="M364" s="4">
        <v>44838</v>
      </c>
      <c r="N364" s="3" t="s">
        <v>52</v>
      </c>
      <c r="O364" s="3" t="s">
        <v>24</v>
      </c>
      <c r="P364" s="3" t="str">
        <f>IF(Table1[[#This Row],[Billing Amount]]&lt;5000,"Low",IF(Table1[[#This Row],[Billing Amount]]&lt;=15000,"Medium","High"))</f>
        <v>High</v>
      </c>
      <c r="Q364" s="3" t="str">
        <f>IF(Table1[[#This Row],[Discharge Date]]="Yes","Discharged","Under Treatment")</f>
        <v>Under Treatment</v>
      </c>
      <c r="R364" s="3" t="str">
        <f>IF(Table1[[#This Row],[Test Results]]&gt;120,"High Risk","Normal")</f>
        <v>High Risk</v>
      </c>
      <c r="S364" s="3" t="str">
        <f>IF(Table1[[#This Row],[Age]]&lt;=18,"0-18",IF(Table1[[#This Row],[Age]]&lt;=35,"19-35",IF(Table1[[#This Row],[Age]]&lt;=50,"36-50",IF(Table1[[#This Row],[Age]]&lt;=65,"51-65","65+"))))</f>
        <v>51-65</v>
      </c>
    </row>
    <row r="365" spans="1:19" x14ac:dyDescent="0.3">
      <c r="A365" s="3" t="s">
        <v>1134</v>
      </c>
      <c r="B365" s="3">
        <v>36</v>
      </c>
      <c r="C365" s="3" t="s">
        <v>16</v>
      </c>
      <c r="D365" s="3" t="s">
        <v>103</v>
      </c>
      <c r="E365" s="3" t="s">
        <v>18</v>
      </c>
      <c r="F365" s="4">
        <v>44769</v>
      </c>
      <c r="G365" s="3" t="s">
        <v>1135</v>
      </c>
      <c r="H365" s="3" t="s">
        <v>1136</v>
      </c>
      <c r="I365" s="3" t="s">
        <v>65</v>
      </c>
      <c r="J365" s="5">
        <v>41311.293901137302</v>
      </c>
      <c r="K365" s="3">
        <v>434</v>
      </c>
      <c r="L365" s="3" t="s">
        <v>31</v>
      </c>
      <c r="M365" s="4">
        <v>44792</v>
      </c>
      <c r="N365" s="3" t="s">
        <v>79</v>
      </c>
      <c r="O365" s="3" t="s">
        <v>33</v>
      </c>
      <c r="P365" s="3" t="str">
        <f>IF(Table1[[#This Row],[Billing Amount]]&lt;5000,"Low",IF(Table1[[#This Row],[Billing Amount]]&lt;=15000,"Medium","High"))</f>
        <v>High</v>
      </c>
      <c r="Q365" s="3" t="str">
        <f>IF(Table1[[#This Row],[Discharge Date]]="Yes","Discharged","Under Treatment")</f>
        <v>Under Treatment</v>
      </c>
      <c r="R365" s="3" t="str">
        <f>IF(Table1[[#This Row],[Test Results]]&gt;120,"High Risk","Normal")</f>
        <v>High Risk</v>
      </c>
      <c r="S365" s="3" t="str">
        <f>IF(Table1[[#This Row],[Age]]&lt;=18,"0-18",IF(Table1[[#This Row],[Age]]&lt;=35,"19-35",IF(Table1[[#This Row],[Age]]&lt;=50,"36-50",IF(Table1[[#This Row],[Age]]&lt;=65,"51-65","65+"))))</f>
        <v>36-50</v>
      </c>
    </row>
    <row r="366" spans="1:19" x14ac:dyDescent="0.3">
      <c r="A366" s="3" t="s">
        <v>1137</v>
      </c>
      <c r="B366" s="3">
        <v>33</v>
      </c>
      <c r="C366" s="3" t="s">
        <v>16</v>
      </c>
      <c r="D366" s="3" t="s">
        <v>26</v>
      </c>
      <c r="E366" s="3" t="s">
        <v>18</v>
      </c>
      <c r="F366" s="4">
        <v>45415</v>
      </c>
      <c r="G366" s="3" t="s">
        <v>1138</v>
      </c>
      <c r="H366" s="3" t="s">
        <v>1139</v>
      </c>
      <c r="I366" s="3" t="s">
        <v>39</v>
      </c>
      <c r="J366" s="5">
        <v>36890.269054974196</v>
      </c>
      <c r="K366" s="3">
        <v>374</v>
      </c>
      <c r="L366" s="3" t="s">
        <v>46</v>
      </c>
      <c r="M366" s="4">
        <v>45427</v>
      </c>
      <c r="N366" s="3" t="s">
        <v>79</v>
      </c>
      <c r="O366" s="3" t="s">
        <v>24</v>
      </c>
      <c r="P366" s="3" t="str">
        <f>IF(Table1[[#This Row],[Billing Amount]]&lt;5000,"Low",IF(Table1[[#This Row],[Billing Amount]]&lt;=15000,"Medium","High"))</f>
        <v>High</v>
      </c>
      <c r="Q366" s="3" t="str">
        <f>IF(Table1[[#This Row],[Discharge Date]]="Yes","Discharged","Under Treatment")</f>
        <v>Under Treatment</v>
      </c>
      <c r="R366" s="3" t="str">
        <f>IF(Table1[[#This Row],[Test Results]]&gt;120,"High Risk","Normal")</f>
        <v>High Risk</v>
      </c>
      <c r="S366" s="3" t="str">
        <f>IF(Table1[[#This Row],[Age]]&lt;=18,"0-18",IF(Table1[[#This Row],[Age]]&lt;=35,"19-35",IF(Table1[[#This Row],[Age]]&lt;=50,"36-50",IF(Table1[[#This Row],[Age]]&lt;=65,"51-65","65+"))))</f>
        <v>19-35</v>
      </c>
    </row>
    <row r="367" spans="1:19" x14ac:dyDescent="0.3">
      <c r="A367" s="3" t="s">
        <v>1140</v>
      </c>
      <c r="B367" s="3">
        <v>21</v>
      </c>
      <c r="C367" s="3" t="s">
        <v>16</v>
      </c>
      <c r="D367" s="3" t="s">
        <v>42</v>
      </c>
      <c r="E367" s="3" t="s">
        <v>93</v>
      </c>
      <c r="F367" s="4">
        <v>43705</v>
      </c>
      <c r="G367" s="3" t="s">
        <v>1141</v>
      </c>
      <c r="H367" s="3" t="s">
        <v>1142</v>
      </c>
      <c r="I367" s="3" t="s">
        <v>39</v>
      </c>
      <c r="J367" s="5">
        <v>5716.1042076161202</v>
      </c>
      <c r="K367" s="3">
        <v>293</v>
      </c>
      <c r="L367" s="3" t="s">
        <v>31</v>
      </c>
      <c r="M367" s="4">
        <v>43724</v>
      </c>
      <c r="N367" s="3" t="s">
        <v>40</v>
      </c>
      <c r="O367" s="3" t="s">
        <v>47</v>
      </c>
      <c r="P367" s="3" t="str">
        <f>IF(Table1[[#This Row],[Billing Amount]]&lt;5000,"Low",IF(Table1[[#This Row],[Billing Amount]]&lt;=15000,"Medium","High"))</f>
        <v>Medium</v>
      </c>
      <c r="Q367" s="3" t="str">
        <f>IF(Table1[[#This Row],[Discharge Date]]="Yes","Discharged","Under Treatment")</f>
        <v>Under Treatment</v>
      </c>
      <c r="R367" s="3" t="str">
        <f>IF(Table1[[#This Row],[Test Results]]&gt;120,"High Risk","Normal")</f>
        <v>High Risk</v>
      </c>
      <c r="S367" s="3" t="str">
        <f>IF(Table1[[#This Row],[Age]]&lt;=18,"0-18",IF(Table1[[#This Row],[Age]]&lt;=35,"19-35",IF(Table1[[#This Row],[Age]]&lt;=50,"36-50",IF(Table1[[#This Row],[Age]]&lt;=65,"51-65","65+"))))</f>
        <v>19-35</v>
      </c>
    </row>
    <row r="368" spans="1:19" x14ac:dyDescent="0.3">
      <c r="A368" s="3" t="s">
        <v>1143</v>
      </c>
      <c r="B368" s="3">
        <v>80</v>
      </c>
      <c r="C368" s="3" t="s">
        <v>16</v>
      </c>
      <c r="D368" s="3" t="s">
        <v>17</v>
      </c>
      <c r="E368" s="3" t="s">
        <v>43</v>
      </c>
      <c r="F368" s="4">
        <v>45403</v>
      </c>
      <c r="G368" s="3" t="s">
        <v>1144</v>
      </c>
      <c r="H368" s="3" t="s">
        <v>1145</v>
      </c>
      <c r="I368" s="3" t="s">
        <v>21</v>
      </c>
      <c r="J368" s="5">
        <v>10461.980685017599</v>
      </c>
      <c r="K368" s="3">
        <v>481</v>
      </c>
      <c r="L368" s="3" t="s">
        <v>31</v>
      </c>
      <c r="M368" s="4">
        <v>45419</v>
      </c>
      <c r="N368" s="3" t="s">
        <v>40</v>
      </c>
      <c r="O368" s="3" t="s">
        <v>47</v>
      </c>
      <c r="P368" s="3" t="str">
        <f>IF(Table1[[#This Row],[Billing Amount]]&lt;5000,"Low",IF(Table1[[#This Row],[Billing Amount]]&lt;=15000,"Medium","High"))</f>
        <v>Medium</v>
      </c>
      <c r="Q368" s="3" t="str">
        <f>IF(Table1[[#This Row],[Discharge Date]]="Yes","Discharged","Under Treatment")</f>
        <v>Under Treatment</v>
      </c>
      <c r="R368" s="3" t="str">
        <f>IF(Table1[[#This Row],[Test Results]]&gt;120,"High Risk","Normal")</f>
        <v>High Risk</v>
      </c>
      <c r="S368" s="3" t="str">
        <f>IF(Table1[[#This Row],[Age]]&lt;=18,"0-18",IF(Table1[[#This Row],[Age]]&lt;=35,"19-35",IF(Table1[[#This Row],[Age]]&lt;=50,"36-50",IF(Table1[[#This Row],[Age]]&lt;=65,"51-65","65+"))))</f>
        <v>65+</v>
      </c>
    </row>
    <row r="369" spans="1:19" x14ac:dyDescent="0.3">
      <c r="A369" s="3" t="s">
        <v>1146</v>
      </c>
      <c r="B369" s="3">
        <v>44</v>
      </c>
      <c r="C369" s="3" t="s">
        <v>16</v>
      </c>
      <c r="D369" s="3" t="s">
        <v>26</v>
      </c>
      <c r="E369" s="3" t="s">
        <v>27</v>
      </c>
      <c r="F369" s="4">
        <v>43737</v>
      </c>
      <c r="G369" s="3" t="s">
        <v>1147</v>
      </c>
      <c r="H369" s="3" t="s">
        <v>1148</v>
      </c>
      <c r="I369" s="3" t="s">
        <v>57</v>
      </c>
      <c r="J369" s="5">
        <v>44355.204150193902</v>
      </c>
      <c r="K369" s="3">
        <v>177</v>
      </c>
      <c r="L369" s="3" t="s">
        <v>46</v>
      </c>
      <c r="M369" s="4">
        <v>43743</v>
      </c>
      <c r="N369" s="3" t="s">
        <v>40</v>
      </c>
      <c r="O369" s="3" t="s">
        <v>33</v>
      </c>
      <c r="P369" s="3" t="str">
        <f>IF(Table1[[#This Row],[Billing Amount]]&lt;5000,"Low",IF(Table1[[#This Row],[Billing Amount]]&lt;=15000,"Medium","High"))</f>
        <v>High</v>
      </c>
      <c r="Q369" s="3" t="str">
        <f>IF(Table1[[#This Row],[Discharge Date]]="Yes","Discharged","Under Treatment")</f>
        <v>Under Treatment</v>
      </c>
      <c r="R369" s="3" t="str">
        <f>IF(Table1[[#This Row],[Test Results]]&gt;120,"High Risk","Normal")</f>
        <v>High Risk</v>
      </c>
      <c r="S369" s="3" t="str">
        <f>IF(Table1[[#This Row],[Age]]&lt;=18,"0-18",IF(Table1[[#This Row],[Age]]&lt;=35,"19-35",IF(Table1[[#This Row],[Age]]&lt;=50,"36-50",IF(Table1[[#This Row],[Age]]&lt;=65,"51-65","65+"))))</f>
        <v>36-50</v>
      </c>
    </row>
    <row r="370" spans="1:19" x14ac:dyDescent="0.3">
      <c r="A370" s="3" t="s">
        <v>1149</v>
      </c>
      <c r="B370" s="3">
        <v>23</v>
      </c>
      <c r="C370" s="3" t="s">
        <v>16</v>
      </c>
      <c r="D370" s="3" t="s">
        <v>49</v>
      </c>
      <c r="E370" s="3" t="s">
        <v>27</v>
      </c>
      <c r="F370" s="4">
        <v>44792</v>
      </c>
      <c r="G370" s="3" t="s">
        <v>1150</v>
      </c>
      <c r="H370" s="3" t="s">
        <v>1151</v>
      </c>
      <c r="I370" s="3" t="s">
        <v>30</v>
      </c>
      <c r="J370" s="5">
        <v>28355.452457265299</v>
      </c>
      <c r="K370" s="3">
        <v>327</v>
      </c>
      <c r="L370" s="3" t="s">
        <v>22</v>
      </c>
      <c r="M370" s="4">
        <v>44797</v>
      </c>
      <c r="N370" s="3" t="s">
        <v>52</v>
      </c>
      <c r="O370" s="3" t="s">
        <v>24</v>
      </c>
      <c r="P370" s="3" t="str">
        <f>IF(Table1[[#This Row],[Billing Amount]]&lt;5000,"Low",IF(Table1[[#This Row],[Billing Amount]]&lt;=15000,"Medium","High"))</f>
        <v>High</v>
      </c>
      <c r="Q370" s="3" t="str">
        <f>IF(Table1[[#This Row],[Discharge Date]]="Yes","Discharged","Under Treatment")</f>
        <v>Under Treatment</v>
      </c>
      <c r="R370" s="3" t="str">
        <f>IF(Table1[[#This Row],[Test Results]]&gt;120,"High Risk","Normal")</f>
        <v>High Risk</v>
      </c>
      <c r="S370" s="3" t="str">
        <f>IF(Table1[[#This Row],[Age]]&lt;=18,"0-18",IF(Table1[[#This Row],[Age]]&lt;=35,"19-35",IF(Table1[[#This Row],[Age]]&lt;=50,"36-50",IF(Table1[[#This Row],[Age]]&lt;=65,"51-65","65+"))))</f>
        <v>19-35</v>
      </c>
    </row>
    <row r="371" spans="1:19" x14ac:dyDescent="0.3">
      <c r="A371" s="3" t="s">
        <v>1152</v>
      </c>
      <c r="B371" s="3">
        <v>75</v>
      </c>
      <c r="C371" s="3" t="s">
        <v>16</v>
      </c>
      <c r="D371" s="3" t="s">
        <v>36</v>
      </c>
      <c r="E371" s="3" t="s">
        <v>18</v>
      </c>
      <c r="F371" s="4">
        <v>44487</v>
      </c>
      <c r="G371" s="3" t="s">
        <v>1153</v>
      </c>
      <c r="H371" s="3" t="s">
        <v>1154</v>
      </c>
      <c r="I371" s="3" t="s">
        <v>21</v>
      </c>
      <c r="J371" s="5">
        <v>22935.411708010299</v>
      </c>
      <c r="K371" s="3">
        <v>217</v>
      </c>
      <c r="L371" s="3" t="s">
        <v>46</v>
      </c>
      <c r="M371" s="4">
        <v>44501</v>
      </c>
      <c r="N371" s="3" t="s">
        <v>32</v>
      </c>
      <c r="O371" s="3" t="s">
        <v>24</v>
      </c>
      <c r="P371" s="3" t="str">
        <f>IF(Table1[[#This Row],[Billing Amount]]&lt;5000,"Low",IF(Table1[[#This Row],[Billing Amount]]&lt;=15000,"Medium","High"))</f>
        <v>High</v>
      </c>
      <c r="Q371" s="3" t="str">
        <f>IF(Table1[[#This Row],[Discharge Date]]="Yes","Discharged","Under Treatment")</f>
        <v>Under Treatment</v>
      </c>
      <c r="R371" s="3" t="str">
        <f>IF(Table1[[#This Row],[Test Results]]&gt;120,"High Risk","Normal")</f>
        <v>High Risk</v>
      </c>
      <c r="S371" s="3" t="str">
        <f>IF(Table1[[#This Row],[Age]]&lt;=18,"0-18",IF(Table1[[#This Row],[Age]]&lt;=35,"19-35",IF(Table1[[#This Row],[Age]]&lt;=50,"36-50",IF(Table1[[#This Row],[Age]]&lt;=65,"51-65","65+"))))</f>
        <v>65+</v>
      </c>
    </row>
    <row r="372" spans="1:19" x14ac:dyDescent="0.3">
      <c r="A372" s="3" t="s">
        <v>1155</v>
      </c>
      <c r="B372" s="3">
        <v>60</v>
      </c>
      <c r="C372" s="3" t="s">
        <v>16</v>
      </c>
      <c r="D372" s="3" t="s">
        <v>36</v>
      </c>
      <c r="E372" s="3" t="s">
        <v>76</v>
      </c>
      <c r="F372" s="4">
        <v>45023</v>
      </c>
      <c r="G372" s="3" t="s">
        <v>1156</v>
      </c>
      <c r="H372" s="3" t="s">
        <v>1157</v>
      </c>
      <c r="I372" s="3" t="s">
        <v>30</v>
      </c>
      <c r="J372" s="5">
        <v>42605.635340770401</v>
      </c>
      <c r="K372" s="3">
        <v>366</v>
      </c>
      <c r="L372" s="3" t="s">
        <v>46</v>
      </c>
      <c r="M372" s="4">
        <v>45051</v>
      </c>
      <c r="N372" s="3" t="s">
        <v>79</v>
      </c>
      <c r="O372" s="3" t="s">
        <v>24</v>
      </c>
      <c r="P372" s="3" t="str">
        <f>IF(Table1[[#This Row],[Billing Amount]]&lt;5000,"Low",IF(Table1[[#This Row],[Billing Amount]]&lt;=15000,"Medium","High"))</f>
        <v>High</v>
      </c>
      <c r="Q372" s="3" t="str">
        <f>IF(Table1[[#This Row],[Discharge Date]]="Yes","Discharged","Under Treatment")</f>
        <v>Under Treatment</v>
      </c>
      <c r="R372" s="3" t="str">
        <f>IF(Table1[[#This Row],[Test Results]]&gt;120,"High Risk","Normal")</f>
        <v>High Risk</v>
      </c>
      <c r="S372" s="3" t="str">
        <f>IF(Table1[[#This Row],[Age]]&lt;=18,"0-18",IF(Table1[[#This Row],[Age]]&lt;=35,"19-35",IF(Table1[[#This Row],[Age]]&lt;=50,"36-50",IF(Table1[[#This Row],[Age]]&lt;=65,"51-65","65+"))))</f>
        <v>51-65</v>
      </c>
    </row>
    <row r="373" spans="1:19" x14ac:dyDescent="0.3">
      <c r="A373" s="3" t="s">
        <v>1158</v>
      </c>
      <c r="B373" s="3">
        <v>61</v>
      </c>
      <c r="C373" s="3" t="s">
        <v>35</v>
      </c>
      <c r="D373" s="3" t="s">
        <v>49</v>
      </c>
      <c r="E373" s="3" t="s">
        <v>76</v>
      </c>
      <c r="F373" s="4">
        <v>44011</v>
      </c>
      <c r="G373" s="3" t="s">
        <v>1159</v>
      </c>
      <c r="H373" s="3" t="s">
        <v>1160</v>
      </c>
      <c r="I373" s="3" t="s">
        <v>57</v>
      </c>
      <c r="J373" s="5">
        <v>20577.708926659601</v>
      </c>
      <c r="K373" s="3">
        <v>387</v>
      </c>
      <c r="L373" s="3" t="s">
        <v>46</v>
      </c>
      <c r="M373" s="4">
        <v>44038</v>
      </c>
      <c r="N373" s="3" t="s">
        <v>52</v>
      </c>
      <c r="O373" s="3" t="s">
        <v>24</v>
      </c>
      <c r="P373" s="3" t="str">
        <f>IF(Table1[[#This Row],[Billing Amount]]&lt;5000,"Low",IF(Table1[[#This Row],[Billing Amount]]&lt;=15000,"Medium","High"))</f>
        <v>High</v>
      </c>
      <c r="Q373" s="3" t="str">
        <f>IF(Table1[[#This Row],[Discharge Date]]="Yes","Discharged","Under Treatment")</f>
        <v>Under Treatment</v>
      </c>
      <c r="R373" s="3" t="str">
        <f>IF(Table1[[#This Row],[Test Results]]&gt;120,"High Risk","Normal")</f>
        <v>High Risk</v>
      </c>
      <c r="S373" s="3" t="str">
        <f>IF(Table1[[#This Row],[Age]]&lt;=18,"0-18",IF(Table1[[#This Row],[Age]]&lt;=35,"19-35",IF(Table1[[#This Row],[Age]]&lt;=50,"36-50",IF(Table1[[#This Row],[Age]]&lt;=65,"51-65","65+"))))</f>
        <v>51-65</v>
      </c>
    </row>
    <row r="374" spans="1:19" x14ac:dyDescent="0.3">
      <c r="A374" s="3" t="s">
        <v>1161</v>
      </c>
      <c r="B374" s="3">
        <v>40</v>
      </c>
      <c r="C374" s="3" t="s">
        <v>16</v>
      </c>
      <c r="D374" s="3" t="s">
        <v>36</v>
      </c>
      <c r="E374" s="3" t="s">
        <v>93</v>
      </c>
      <c r="F374" s="4">
        <v>45148</v>
      </c>
      <c r="G374" s="3" t="s">
        <v>1162</v>
      </c>
      <c r="H374" s="3" t="s">
        <v>1163</v>
      </c>
      <c r="I374" s="3" t="s">
        <v>65</v>
      </c>
      <c r="J374" s="5">
        <v>29913.849330186898</v>
      </c>
      <c r="K374" s="3">
        <v>317</v>
      </c>
      <c r="L374" s="3" t="s">
        <v>22</v>
      </c>
      <c r="M374" s="4">
        <v>45153</v>
      </c>
      <c r="N374" s="3" t="s">
        <v>32</v>
      </c>
      <c r="O374" s="3" t="s">
        <v>24</v>
      </c>
      <c r="P374" s="3" t="str">
        <f>IF(Table1[[#This Row],[Billing Amount]]&lt;5000,"Low",IF(Table1[[#This Row],[Billing Amount]]&lt;=15000,"Medium","High"))</f>
        <v>High</v>
      </c>
      <c r="Q374" s="3" t="str">
        <f>IF(Table1[[#This Row],[Discharge Date]]="Yes","Discharged","Under Treatment")</f>
        <v>Under Treatment</v>
      </c>
      <c r="R374" s="3" t="str">
        <f>IF(Table1[[#This Row],[Test Results]]&gt;120,"High Risk","Normal")</f>
        <v>High Risk</v>
      </c>
      <c r="S374" s="3" t="str">
        <f>IF(Table1[[#This Row],[Age]]&lt;=18,"0-18",IF(Table1[[#This Row],[Age]]&lt;=35,"19-35",IF(Table1[[#This Row],[Age]]&lt;=50,"36-50",IF(Table1[[#This Row],[Age]]&lt;=65,"51-65","65+"))))</f>
        <v>36-50</v>
      </c>
    </row>
    <row r="375" spans="1:19" x14ac:dyDescent="0.3">
      <c r="A375" s="3" t="s">
        <v>1164</v>
      </c>
      <c r="B375" s="3">
        <v>70</v>
      </c>
      <c r="C375" s="3" t="s">
        <v>35</v>
      </c>
      <c r="D375" s="3" t="s">
        <v>103</v>
      </c>
      <c r="E375" s="3" t="s">
        <v>76</v>
      </c>
      <c r="F375" s="4">
        <v>44697</v>
      </c>
      <c r="G375" s="3" t="s">
        <v>1165</v>
      </c>
      <c r="H375" s="3" t="s">
        <v>1166</v>
      </c>
      <c r="I375" s="3" t="s">
        <v>65</v>
      </c>
      <c r="J375" s="5">
        <v>43353.403952319401</v>
      </c>
      <c r="K375" s="3">
        <v>266</v>
      </c>
      <c r="L375" s="3" t="s">
        <v>46</v>
      </c>
      <c r="M375" s="4">
        <v>44707</v>
      </c>
      <c r="N375" s="3" t="s">
        <v>79</v>
      </c>
      <c r="O375" s="3" t="s">
        <v>24</v>
      </c>
      <c r="P375" s="3" t="str">
        <f>IF(Table1[[#This Row],[Billing Amount]]&lt;5000,"Low",IF(Table1[[#This Row],[Billing Amount]]&lt;=15000,"Medium","High"))</f>
        <v>High</v>
      </c>
      <c r="Q375" s="3" t="str">
        <f>IF(Table1[[#This Row],[Discharge Date]]="Yes","Discharged","Under Treatment")</f>
        <v>Under Treatment</v>
      </c>
      <c r="R375" s="3" t="str">
        <f>IF(Table1[[#This Row],[Test Results]]&gt;120,"High Risk","Normal")</f>
        <v>High Risk</v>
      </c>
      <c r="S375" s="3" t="str">
        <f>IF(Table1[[#This Row],[Age]]&lt;=18,"0-18",IF(Table1[[#This Row],[Age]]&lt;=35,"19-35",IF(Table1[[#This Row],[Age]]&lt;=50,"36-50",IF(Table1[[#This Row],[Age]]&lt;=65,"51-65","65+"))))</f>
        <v>65+</v>
      </c>
    </row>
    <row r="376" spans="1:19" x14ac:dyDescent="0.3">
      <c r="A376" s="3" t="s">
        <v>1167</v>
      </c>
      <c r="B376" s="3">
        <v>68</v>
      </c>
      <c r="C376" s="3" t="s">
        <v>35</v>
      </c>
      <c r="D376" s="3" t="s">
        <v>42</v>
      </c>
      <c r="E376" s="3" t="s">
        <v>18</v>
      </c>
      <c r="F376" s="4">
        <v>44068</v>
      </c>
      <c r="G376" s="3" t="s">
        <v>1168</v>
      </c>
      <c r="H376" s="3" t="s">
        <v>1169</v>
      </c>
      <c r="I376" s="3" t="s">
        <v>21</v>
      </c>
      <c r="J376" s="5">
        <v>18382.6640546501</v>
      </c>
      <c r="K376" s="3">
        <v>355</v>
      </c>
      <c r="L376" s="3" t="s">
        <v>46</v>
      </c>
      <c r="M376" s="4">
        <v>44089</v>
      </c>
      <c r="N376" s="3" t="s">
        <v>79</v>
      </c>
      <c r="O376" s="3" t="s">
        <v>47</v>
      </c>
      <c r="P376" s="3" t="str">
        <f>IF(Table1[[#This Row],[Billing Amount]]&lt;5000,"Low",IF(Table1[[#This Row],[Billing Amount]]&lt;=15000,"Medium","High"))</f>
        <v>High</v>
      </c>
      <c r="Q376" s="3" t="str">
        <f>IF(Table1[[#This Row],[Discharge Date]]="Yes","Discharged","Under Treatment")</f>
        <v>Under Treatment</v>
      </c>
      <c r="R376" s="3" t="str">
        <f>IF(Table1[[#This Row],[Test Results]]&gt;120,"High Risk","Normal")</f>
        <v>High Risk</v>
      </c>
      <c r="S376" s="3" t="str">
        <f>IF(Table1[[#This Row],[Age]]&lt;=18,"0-18",IF(Table1[[#This Row],[Age]]&lt;=35,"19-35",IF(Table1[[#This Row],[Age]]&lt;=50,"36-50",IF(Table1[[#This Row],[Age]]&lt;=65,"51-65","65+"))))</f>
        <v>65+</v>
      </c>
    </row>
    <row r="377" spans="1:19" x14ac:dyDescent="0.3">
      <c r="A377" s="3" t="s">
        <v>1170</v>
      </c>
      <c r="B377" s="3">
        <v>31</v>
      </c>
      <c r="C377" s="3" t="s">
        <v>35</v>
      </c>
      <c r="D377" s="3" t="s">
        <v>17</v>
      </c>
      <c r="E377" s="3" t="s">
        <v>18</v>
      </c>
      <c r="F377" s="4">
        <v>45203</v>
      </c>
      <c r="G377" s="3" t="s">
        <v>1171</v>
      </c>
      <c r="H377" s="3" t="s">
        <v>1172</v>
      </c>
      <c r="I377" s="3" t="s">
        <v>21</v>
      </c>
      <c r="J377" s="5">
        <v>49419.868014557796</v>
      </c>
      <c r="K377" s="3">
        <v>328</v>
      </c>
      <c r="L377" s="3" t="s">
        <v>46</v>
      </c>
      <c r="M377" s="4">
        <v>45210</v>
      </c>
      <c r="N377" s="3" t="s">
        <v>32</v>
      </c>
      <c r="O377" s="3" t="s">
        <v>33</v>
      </c>
      <c r="P377" s="3" t="str">
        <f>IF(Table1[[#This Row],[Billing Amount]]&lt;5000,"Low",IF(Table1[[#This Row],[Billing Amount]]&lt;=15000,"Medium","High"))</f>
        <v>High</v>
      </c>
      <c r="Q377" s="3" t="str">
        <f>IF(Table1[[#This Row],[Discharge Date]]="Yes","Discharged","Under Treatment")</f>
        <v>Under Treatment</v>
      </c>
      <c r="R377" s="3" t="str">
        <f>IF(Table1[[#This Row],[Test Results]]&gt;120,"High Risk","Normal")</f>
        <v>High Risk</v>
      </c>
      <c r="S377" s="3" t="str">
        <f>IF(Table1[[#This Row],[Age]]&lt;=18,"0-18",IF(Table1[[#This Row],[Age]]&lt;=35,"19-35",IF(Table1[[#This Row],[Age]]&lt;=50,"36-50",IF(Table1[[#This Row],[Age]]&lt;=65,"51-65","65+"))))</f>
        <v>19-35</v>
      </c>
    </row>
    <row r="378" spans="1:19" x14ac:dyDescent="0.3">
      <c r="A378" s="3" t="s">
        <v>1173</v>
      </c>
      <c r="B378" s="3">
        <v>28</v>
      </c>
      <c r="C378" s="3" t="s">
        <v>16</v>
      </c>
      <c r="D378" s="3" t="s">
        <v>42</v>
      </c>
      <c r="E378" s="3" t="s">
        <v>54</v>
      </c>
      <c r="F378" s="4">
        <v>44679</v>
      </c>
      <c r="G378" s="3" t="s">
        <v>1174</v>
      </c>
      <c r="H378" s="3" t="s">
        <v>1175</v>
      </c>
      <c r="I378" s="3" t="s">
        <v>39</v>
      </c>
      <c r="J378" s="5">
        <v>9958.0239008240496</v>
      </c>
      <c r="K378" s="3">
        <v>364</v>
      </c>
      <c r="L378" s="3" t="s">
        <v>31</v>
      </c>
      <c r="M378" s="4">
        <v>44708</v>
      </c>
      <c r="N378" s="3" t="s">
        <v>52</v>
      </c>
      <c r="O378" s="3" t="s">
        <v>33</v>
      </c>
      <c r="P378" s="3" t="str">
        <f>IF(Table1[[#This Row],[Billing Amount]]&lt;5000,"Low",IF(Table1[[#This Row],[Billing Amount]]&lt;=15000,"Medium","High"))</f>
        <v>Medium</v>
      </c>
      <c r="Q378" s="3" t="str">
        <f>IF(Table1[[#This Row],[Discharge Date]]="Yes","Discharged","Under Treatment")</f>
        <v>Under Treatment</v>
      </c>
      <c r="R378" s="3" t="str">
        <f>IF(Table1[[#This Row],[Test Results]]&gt;120,"High Risk","Normal")</f>
        <v>High Risk</v>
      </c>
      <c r="S378" s="3" t="str">
        <f>IF(Table1[[#This Row],[Age]]&lt;=18,"0-18",IF(Table1[[#This Row],[Age]]&lt;=35,"19-35",IF(Table1[[#This Row],[Age]]&lt;=50,"36-50",IF(Table1[[#This Row],[Age]]&lt;=65,"51-65","65+"))))</f>
        <v>19-35</v>
      </c>
    </row>
    <row r="379" spans="1:19" x14ac:dyDescent="0.3">
      <c r="A379" s="3" t="s">
        <v>1176</v>
      </c>
      <c r="B379" s="3">
        <v>84</v>
      </c>
      <c r="C379" s="3" t="s">
        <v>16</v>
      </c>
      <c r="D379" s="3" t="s">
        <v>42</v>
      </c>
      <c r="E379" s="3" t="s">
        <v>76</v>
      </c>
      <c r="F379" s="4">
        <v>43614</v>
      </c>
      <c r="G379" s="3" t="s">
        <v>1177</v>
      </c>
      <c r="H379" s="3" t="s">
        <v>1178</v>
      </c>
      <c r="I379" s="3" t="s">
        <v>21</v>
      </c>
      <c r="J379" s="5">
        <v>21438.278985933801</v>
      </c>
      <c r="K379" s="3">
        <v>217</v>
      </c>
      <c r="L379" s="3" t="s">
        <v>46</v>
      </c>
      <c r="M379" s="4">
        <v>43633</v>
      </c>
      <c r="N379" s="3" t="s">
        <v>40</v>
      </c>
      <c r="O379" s="3" t="s">
        <v>47</v>
      </c>
      <c r="P379" s="3" t="str">
        <f>IF(Table1[[#This Row],[Billing Amount]]&lt;5000,"Low",IF(Table1[[#This Row],[Billing Amount]]&lt;=15000,"Medium","High"))</f>
        <v>High</v>
      </c>
      <c r="Q379" s="3" t="str">
        <f>IF(Table1[[#This Row],[Discharge Date]]="Yes","Discharged","Under Treatment")</f>
        <v>Under Treatment</v>
      </c>
      <c r="R379" s="3" t="str">
        <f>IF(Table1[[#This Row],[Test Results]]&gt;120,"High Risk","Normal")</f>
        <v>High Risk</v>
      </c>
      <c r="S379" s="3" t="str">
        <f>IF(Table1[[#This Row],[Age]]&lt;=18,"0-18",IF(Table1[[#This Row],[Age]]&lt;=35,"19-35",IF(Table1[[#This Row],[Age]]&lt;=50,"36-50",IF(Table1[[#This Row],[Age]]&lt;=65,"51-65","65+"))))</f>
        <v>65+</v>
      </c>
    </row>
    <row r="380" spans="1:19" x14ac:dyDescent="0.3">
      <c r="A380" s="3" t="s">
        <v>1179</v>
      </c>
      <c r="B380" s="3">
        <v>25</v>
      </c>
      <c r="C380" s="3" t="s">
        <v>35</v>
      </c>
      <c r="D380" s="3" t="s">
        <v>103</v>
      </c>
      <c r="E380" s="3" t="s">
        <v>76</v>
      </c>
      <c r="F380" s="4">
        <v>43837</v>
      </c>
      <c r="G380" s="3" t="s">
        <v>1180</v>
      </c>
      <c r="H380" s="3" t="s">
        <v>1181</v>
      </c>
      <c r="I380" s="3" t="s">
        <v>65</v>
      </c>
      <c r="J380" s="5">
        <v>32760.468759879801</v>
      </c>
      <c r="K380" s="3">
        <v>476</v>
      </c>
      <c r="L380" s="3" t="s">
        <v>22</v>
      </c>
      <c r="M380" s="4">
        <v>43862</v>
      </c>
      <c r="N380" s="3" t="s">
        <v>40</v>
      </c>
      <c r="O380" s="3" t="s">
        <v>24</v>
      </c>
      <c r="P380" s="3" t="str">
        <f>IF(Table1[[#This Row],[Billing Amount]]&lt;5000,"Low",IF(Table1[[#This Row],[Billing Amount]]&lt;=15000,"Medium","High"))</f>
        <v>High</v>
      </c>
      <c r="Q380" s="3" t="str">
        <f>IF(Table1[[#This Row],[Discharge Date]]="Yes","Discharged","Under Treatment")</f>
        <v>Under Treatment</v>
      </c>
      <c r="R380" s="3" t="str">
        <f>IF(Table1[[#This Row],[Test Results]]&gt;120,"High Risk","Normal")</f>
        <v>High Risk</v>
      </c>
      <c r="S380" s="3" t="str">
        <f>IF(Table1[[#This Row],[Age]]&lt;=18,"0-18",IF(Table1[[#This Row],[Age]]&lt;=35,"19-35",IF(Table1[[#This Row],[Age]]&lt;=50,"36-50",IF(Table1[[#This Row],[Age]]&lt;=65,"51-65","65+"))))</f>
        <v>19-35</v>
      </c>
    </row>
    <row r="381" spans="1:19" x14ac:dyDescent="0.3">
      <c r="A381" s="3" t="s">
        <v>1182</v>
      </c>
      <c r="B381" s="3">
        <v>78</v>
      </c>
      <c r="C381" s="3" t="s">
        <v>35</v>
      </c>
      <c r="D381" s="3" t="s">
        <v>42</v>
      </c>
      <c r="E381" s="3" t="s">
        <v>43</v>
      </c>
      <c r="F381" s="4">
        <v>44950</v>
      </c>
      <c r="G381" s="3" t="s">
        <v>1183</v>
      </c>
      <c r="H381" s="3" t="s">
        <v>1184</v>
      </c>
      <c r="I381" s="3" t="s">
        <v>30</v>
      </c>
      <c r="J381" s="5">
        <v>44393.180527655197</v>
      </c>
      <c r="K381" s="3">
        <v>169</v>
      </c>
      <c r="L381" s="3" t="s">
        <v>46</v>
      </c>
      <c r="M381" s="4">
        <v>44958</v>
      </c>
      <c r="N381" s="3" t="s">
        <v>40</v>
      </c>
      <c r="O381" s="3" t="s">
        <v>33</v>
      </c>
      <c r="P381" s="3" t="str">
        <f>IF(Table1[[#This Row],[Billing Amount]]&lt;5000,"Low",IF(Table1[[#This Row],[Billing Amount]]&lt;=15000,"Medium","High"))</f>
        <v>High</v>
      </c>
      <c r="Q381" s="3" t="str">
        <f>IF(Table1[[#This Row],[Discharge Date]]="Yes","Discharged","Under Treatment")</f>
        <v>Under Treatment</v>
      </c>
      <c r="R381" s="3" t="str">
        <f>IF(Table1[[#This Row],[Test Results]]&gt;120,"High Risk","Normal")</f>
        <v>High Risk</v>
      </c>
      <c r="S381" s="3" t="str">
        <f>IF(Table1[[#This Row],[Age]]&lt;=18,"0-18",IF(Table1[[#This Row],[Age]]&lt;=35,"19-35",IF(Table1[[#This Row],[Age]]&lt;=50,"36-50",IF(Table1[[#This Row],[Age]]&lt;=65,"51-65","65+"))))</f>
        <v>65+</v>
      </c>
    </row>
    <row r="382" spans="1:19" x14ac:dyDescent="0.3">
      <c r="A382" s="3" t="s">
        <v>1185</v>
      </c>
      <c r="B382" s="3">
        <v>56</v>
      </c>
      <c r="C382" s="3" t="s">
        <v>16</v>
      </c>
      <c r="D382" s="3" t="s">
        <v>49</v>
      </c>
      <c r="E382" s="3" t="s">
        <v>43</v>
      </c>
      <c r="F382" s="4">
        <v>43674</v>
      </c>
      <c r="G382" s="3" t="s">
        <v>1186</v>
      </c>
      <c r="H382" s="3" t="s">
        <v>1187</v>
      </c>
      <c r="I382" s="3" t="s">
        <v>21</v>
      </c>
      <c r="J382" s="5">
        <v>16578.905836578899</v>
      </c>
      <c r="K382" s="3">
        <v>282</v>
      </c>
      <c r="L382" s="3" t="s">
        <v>22</v>
      </c>
      <c r="M382" s="4">
        <v>43703</v>
      </c>
      <c r="N382" s="3" t="s">
        <v>52</v>
      </c>
      <c r="O382" s="3" t="s">
        <v>33</v>
      </c>
      <c r="P382" s="3" t="str">
        <f>IF(Table1[[#This Row],[Billing Amount]]&lt;5000,"Low",IF(Table1[[#This Row],[Billing Amount]]&lt;=15000,"Medium","High"))</f>
        <v>High</v>
      </c>
      <c r="Q382" s="3" t="str">
        <f>IF(Table1[[#This Row],[Discharge Date]]="Yes","Discharged","Under Treatment")</f>
        <v>Under Treatment</v>
      </c>
      <c r="R382" s="3" t="str">
        <f>IF(Table1[[#This Row],[Test Results]]&gt;120,"High Risk","Normal")</f>
        <v>High Risk</v>
      </c>
      <c r="S382" s="3" t="str">
        <f>IF(Table1[[#This Row],[Age]]&lt;=18,"0-18",IF(Table1[[#This Row],[Age]]&lt;=35,"19-35",IF(Table1[[#This Row],[Age]]&lt;=50,"36-50",IF(Table1[[#This Row],[Age]]&lt;=65,"51-65","65+"))))</f>
        <v>51-65</v>
      </c>
    </row>
    <row r="383" spans="1:19" x14ac:dyDescent="0.3">
      <c r="A383" s="3" t="s">
        <v>1188</v>
      </c>
      <c r="B383" s="3">
        <v>77</v>
      </c>
      <c r="C383" s="3" t="s">
        <v>16</v>
      </c>
      <c r="D383" s="3" t="s">
        <v>59</v>
      </c>
      <c r="E383" s="3" t="s">
        <v>93</v>
      </c>
      <c r="F383" s="4">
        <v>44760</v>
      </c>
      <c r="G383" s="3" t="s">
        <v>1189</v>
      </c>
      <c r="H383" s="3" t="s">
        <v>1190</v>
      </c>
      <c r="I383" s="3" t="s">
        <v>30</v>
      </c>
      <c r="J383" s="5">
        <v>33749.858768557802</v>
      </c>
      <c r="K383" s="3">
        <v>112</v>
      </c>
      <c r="L383" s="3" t="s">
        <v>31</v>
      </c>
      <c r="M383" s="4">
        <v>44780</v>
      </c>
      <c r="N383" s="3" t="s">
        <v>23</v>
      </c>
      <c r="O383" s="3" t="s">
        <v>47</v>
      </c>
      <c r="P383" s="3" t="str">
        <f>IF(Table1[[#This Row],[Billing Amount]]&lt;5000,"Low",IF(Table1[[#This Row],[Billing Amount]]&lt;=15000,"Medium","High"))</f>
        <v>High</v>
      </c>
      <c r="Q383" s="3" t="str">
        <f>IF(Table1[[#This Row],[Discharge Date]]="Yes","Discharged","Under Treatment")</f>
        <v>Under Treatment</v>
      </c>
      <c r="R383" s="3" t="str">
        <f>IF(Table1[[#This Row],[Test Results]]&gt;120,"High Risk","Normal")</f>
        <v>High Risk</v>
      </c>
      <c r="S383" s="3" t="str">
        <f>IF(Table1[[#This Row],[Age]]&lt;=18,"0-18",IF(Table1[[#This Row],[Age]]&lt;=35,"19-35",IF(Table1[[#This Row],[Age]]&lt;=50,"36-50",IF(Table1[[#This Row],[Age]]&lt;=65,"51-65","65+"))))</f>
        <v>65+</v>
      </c>
    </row>
    <row r="384" spans="1:19" x14ac:dyDescent="0.3">
      <c r="A384" s="3" t="s">
        <v>1191</v>
      </c>
      <c r="B384" s="3">
        <v>40</v>
      </c>
      <c r="C384" s="3" t="s">
        <v>35</v>
      </c>
      <c r="D384" s="3" t="s">
        <v>17</v>
      </c>
      <c r="E384" s="3" t="s">
        <v>18</v>
      </c>
      <c r="F384" s="4">
        <v>44172</v>
      </c>
      <c r="G384" s="3" t="s">
        <v>1192</v>
      </c>
      <c r="H384" s="3" t="s">
        <v>1193</v>
      </c>
      <c r="I384" s="3" t="s">
        <v>30</v>
      </c>
      <c r="J384" s="5">
        <v>22720.333703383301</v>
      </c>
      <c r="K384" s="3">
        <v>463</v>
      </c>
      <c r="L384" s="3" t="s">
        <v>31</v>
      </c>
      <c r="M384" s="4">
        <v>44185</v>
      </c>
      <c r="N384" s="3" t="s">
        <v>79</v>
      </c>
      <c r="O384" s="3" t="s">
        <v>47</v>
      </c>
      <c r="P384" s="3" t="str">
        <f>IF(Table1[[#This Row],[Billing Amount]]&lt;5000,"Low",IF(Table1[[#This Row],[Billing Amount]]&lt;=15000,"Medium","High"))</f>
        <v>High</v>
      </c>
      <c r="Q384" s="3" t="str">
        <f>IF(Table1[[#This Row],[Discharge Date]]="Yes","Discharged","Under Treatment")</f>
        <v>Under Treatment</v>
      </c>
      <c r="R384" s="3" t="str">
        <f>IF(Table1[[#This Row],[Test Results]]&gt;120,"High Risk","Normal")</f>
        <v>High Risk</v>
      </c>
      <c r="S384" s="3" t="str">
        <f>IF(Table1[[#This Row],[Age]]&lt;=18,"0-18",IF(Table1[[#This Row],[Age]]&lt;=35,"19-35",IF(Table1[[#This Row],[Age]]&lt;=50,"36-50",IF(Table1[[#This Row],[Age]]&lt;=65,"51-65","65+"))))</f>
        <v>36-50</v>
      </c>
    </row>
    <row r="385" spans="1:19" x14ac:dyDescent="0.3">
      <c r="A385" s="3" t="s">
        <v>1194</v>
      </c>
      <c r="B385" s="3">
        <v>80</v>
      </c>
      <c r="C385" s="3" t="s">
        <v>16</v>
      </c>
      <c r="D385" s="3" t="s">
        <v>59</v>
      </c>
      <c r="E385" s="3" t="s">
        <v>43</v>
      </c>
      <c r="F385" s="4">
        <v>43931</v>
      </c>
      <c r="G385" s="3" t="s">
        <v>1195</v>
      </c>
      <c r="H385" s="3" t="s">
        <v>1196</v>
      </c>
      <c r="I385" s="3" t="s">
        <v>30</v>
      </c>
      <c r="J385" s="5">
        <v>35411.471373789602</v>
      </c>
      <c r="K385" s="3">
        <v>282</v>
      </c>
      <c r="L385" s="3" t="s">
        <v>46</v>
      </c>
      <c r="M385" s="4">
        <v>43951</v>
      </c>
      <c r="N385" s="3" t="s">
        <v>23</v>
      </c>
      <c r="O385" s="3" t="s">
        <v>47</v>
      </c>
      <c r="P385" s="3" t="str">
        <f>IF(Table1[[#This Row],[Billing Amount]]&lt;5000,"Low",IF(Table1[[#This Row],[Billing Amount]]&lt;=15000,"Medium","High"))</f>
        <v>High</v>
      </c>
      <c r="Q385" s="3" t="str">
        <f>IF(Table1[[#This Row],[Discharge Date]]="Yes","Discharged","Under Treatment")</f>
        <v>Under Treatment</v>
      </c>
      <c r="R385" s="3" t="str">
        <f>IF(Table1[[#This Row],[Test Results]]&gt;120,"High Risk","Normal")</f>
        <v>High Risk</v>
      </c>
      <c r="S385" s="3" t="str">
        <f>IF(Table1[[#This Row],[Age]]&lt;=18,"0-18",IF(Table1[[#This Row],[Age]]&lt;=35,"19-35",IF(Table1[[#This Row],[Age]]&lt;=50,"36-50",IF(Table1[[#This Row],[Age]]&lt;=65,"51-65","65+"))))</f>
        <v>65+</v>
      </c>
    </row>
    <row r="386" spans="1:19" x14ac:dyDescent="0.3">
      <c r="A386" s="3" t="s">
        <v>1197</v>
      </c>
      <c r="B386" s="3">
        <v>35</v>
      </c>
      <c r="C386" s="3" t="s">
        <v>16</v>
      </c>
      <c r="D386" s="3" t="s">
        <v>36</v>
      </c>
      <c r="E386" s="3" t="s">
        <v>76</v>
      </c>
      <c r="F386" s="4">
        <v>45119</v>
      </c>
      <c r="G386" s="3" t="s">
        <v>1198</v>
      </c>
      <c r="H386" s="3" t="s">
        <v>1199</v>
      </c>
      <c r="I386" s="3" t="s">
        <v>30</v>
      </c>
      <c r="J386" s="5">
        <v>27342.226743452498</v>
      </c>
      <c r="K386" s="3">
        <v>279</v>
      </c>
      <c r="L386" s="3" t="s">
        <v>22</v>
      </c>
      <c r="M386" s="4">
        <v>45129</v>
      </c>
      <c r="N386" s="3" t="s">
        <v>40</v>
      </c>
      <c r="O386" s="3" t="s">
        <v>24</v>
      </c>
      <c r="P386" s="3" t="str">
        <f>IF(Table1[[#This Row],[Billing Amount]]&lt;5000,"Low",IF(Table1[[#This Row],[Billing Amount]]&lt;=15000,"Medium","High"))</f>
        <v>High</v>
      </c>
      <c r="Q386" s="3" t="str">
        <f>IF(Table1[[#This Row],[Discharge Date]]="Yes","Discharged","Under Treatment")</f>
        <v>Under Treatment</v>
      </c>
      <c r="R386" s="3" t="str">
        <f>IF(Table1[[#This Row],[Test Results]]&gt;120,"High Risk","Normal")</f>
        <v>High Risk</v>
      </c>
      <c r="S386" s="3" t="str">
        <f>IF(Table1[[#This Row],[Age]]&lt;=18,"0-18",IF(Table1[[#This Row],[Age]]&lt;=35,"19-35",IF(Table1[[#This Row],[Age]]&lt;=50,"36-50",IF(Table1[[#This Row],[Age]]&lt;=65,"51-65","65+"))))</f>
        <v>19-35</v>
      </c>
    </row>
    <row r="387" spans="1:19" x14ac:dyDescent="0.3">
      <c r="A387" s="3" t="s">
        <v>1200</v>
      </c>
      <c r="B387" s="3">
        <v>64</v>
      </c>
      <c r="C387" s="3" t="s">
        <v>16</v>
      </c>
      <c r="D387" s="3" t="s">
        <v>59</v>
      </c>
      <c r="E387" s="3" t="s">
        <v>76</v>
      </c>
      <c r="F387" s="4">
        <v>44301</v>
      </c>
      <c r="G387" s="3" t="s">
        <v>1201</v>
      </c>
      <c r="H387" s="3" t="s">
        <v>1202</v>
      </c>
      <c r="I387" s="3" t="s">
        <v>65</v>
      </c>
      <c r="J387" s="5">
        <v>26894.074932347001</v>
      </c>
      <c r="K387" s="3">
        <v>208</v>
      </c>
      <c r="L387" s="3" t="s">
        <v>31</v>
      </c>
      <c r="M387" s="4">
        <v>44323</v>
      </c>
      <c r="N387" s="3" t="s">
        <v>40</v>
      </c>
      <c r="O387" s="3" t="s">
        <v>24</v>
      </c>
      <c r="P387" s="3" t="str">
        <f>IF(Table1[[#This Row],[Billing Amount]]&lt;5000,"Low",IF(Table1[[#This Row],[Billing Amount]]&lt;=15000,"Medium","High"))</f>
        <v>High</v>
      </c>
      <c r="Q387" s="3" t="str">
        <f>IF(Table1[[#This Row],[Discharge Date]]="Yes","Discharged","Under Treatment")</f>
        <v>Under Treatment</v>
      </c>
      <c r="R387" s="3" t="str">
        <f>IF(Table1[[#This Row],[Test Results]]&gt;120,"High Risk","Normal")</f>
        <v>High Risk</v>
      </c>
      <c r="S387" s="3" t="str">
        <f>IF(Table1[[#This Row],[Age]]&lt;=18,"0-18",IF(Table1[[#This Row],[Age]]&lt;=35,"19-35",IF(Table1[[#This Row],[Age]]&lt;=50,"36-50",IF(Table1[[#This Row],[Age]]&lt;=65,"51-65","65+"))))</f>
        <v>51-65</v>
      </c>
    </row>
    <row r="388" spans="1:19" x14ac:dyDescent="0.3">
      <c r="A388" s="3" t="s">
        <v>1203</v>
      </c>
      <c r="B388" s="3">
        <v>30</v>
      </c>
      <c r="C388" s="3" t="s">
        <v>35</v>
      </c>
      <c r="D388" s="3" t="s">
        <v>122</v>
      </c>
      <c r="E388" s="3" t="s">
        <v>18</v>
      </c>
      <c r="F388" s="4">
        <v>44063</v>
      </c>
      <c r="G388" s="3" t="s">
        <v>1204</v>
      </c>
      <c r="H388" s="3" t="s">
        <v>1205</v>
      </c>
      <c r="I388" s="3" t="s">
        <v>30</v>
      </c>
      <c r="J388" s="5">
        <v>36551.054751607902</v>
      </c>
      <c r="K388" s="3">
        <v>111</v>
      </c>
      <c r="L388" s="3" t="s">
        <v>31</v>
      </c>
      <c r="M388" s="4">
        <v>44066</v>
      </c>
      <c r="N388" s="3" t="s">
        <v>32</v>
      </c>
      <c r="O388" s="3" t="s">
        <v>47</v>
      </c>
      <c r="P388" s="3" t="str">
        <f>IF(Table1[[#This Row],[Billing Amount]]&lt;5000,"Low",IF(Table1[[#This Row],[Billing Amount]]&lt;=15000,"Medium","High"))</f>
        <v>High</v>
      </c>
      <c r="Q388" s="3" t="str">
        <f>IF(Table1[[#This Row],[Discharge Date]]="Yes","Discharged","Under Treatment")</f>
        <v>Under Treatment</v>
      </c>
      <c r="R388" s="3" t="str">
        <f>IF(Table1[[#This Row],[Test Results]]&gt;120,"High Risk","Normal")</f>
        <v>High Risk</v>
      </c>
      <c r="S388" s="3" t="str">
        <f>IF(Table1[[#This Row],[Age]]&lt;=18,"0-18",IF(Table1[[#This Row],[Age]]&lt;=35,"19-35",IF(Table1[[#This Row],[Age]]&lt;=50,"36-50",IF(Table1[[#This Row],[Age]]&lt;=65,"51-65","65+"))))</f>
        <v>19-35</v>
      </c>
    </row>
    <row r="389" spans="1:19" x14ac:dyDescent="0.3">
      <c r="A389" s="3" t="s">
        <v>1206</v>
      </c>
      <c r="B389" s="3">
        <v>19</v>
      </c>
      <c r="C389" s="3" t="s">
        <v>35</v>
      </c>
      <c r="D389" s="3" t="s">
        <v>26</v>
      </c>
      <c r="E389" s="3" t="s">
        <v>93</v>
      </c>
      <c r="F389" s="4">
        <v>44057</v>
      </c>
      <c r="G389" s="3" t="s">
        <v>1207</v>
      </c>
      <c r="H389" s="3" t="s">
        <v>1208</v>
      </c>
      <c r="I389" s="3" t="s">
        <v>30</v>
      </c>
      <c r="J389" s="5">
        <v>10693.389264097599</v>
      </c>
      <c r="K389" s="3">
        <v>435</v>
      </c>
      <c r="L389" s="3" t="s">
        <v>46</v>
      </c>
      <c r="M389" s="4">
        <v>44071</v>
      </c>
      <c r="N389" s="3" t="s">
        <v>32</v>
      </c>
      <c r="O389" s="3" t="s">
        <v>47</v>
      </c>
      <c r="P389" s="3" t="str">
        <f>IF(Table1[[#This Row],[Billing Amount]]&lt;5000,"Low",IF(Table1[[#This Row],[Billing Amount]]&lt;=15000,"Medium","High"))</f>
        <v>Medium</v>
      </c>
      <c r="Q389" s="3" t="str">
        <f>IF(Table1[[#This Row],[Discharge Date]]="Yes","Discharged","Under Treatment")</f>
        <v>Under Treatment</v>
      </c>
      <c r="R389" s="3" t="str">
        <f>IF(Table1[[#This Row],[Test Results]]&gt;120,"High Risk","Normal")</f>
        <v>High Risk</v>
      </c>
      <c r="S389" s="3" t="str">
        <f>IF(Table1[[#This Row],[Age]]&lt;=18,"0-18",IF(Table1[[#This Row],[Age]]&lt;=35,"19-35",IF(Table1[[#This Row],[Age]]&lt;=50,"36-50",IF(Table1[[#This Row],[Age]]&lt;=65,"51-65","65+"))))</f>
        <v>19-35</v>
      </c>
    </row>
    <row r="390" spans="1:19" x14ac:dyDescent="0.3">
      <c r="A390" s="3" t="s">
        <v>1209</v>
      </c>
      <c r="B390" s="3">
        <v>64</v>
      </c>
      <c r="C390" s="3" t="s">
        <v>16</v>
      </c>
      <c r="D390" s="3" t="s">
        <v>26</v>
      </c>
      <c r="E390" s="3" t="s">
        <v>43</v>
      </c>
      <c r="F390" s="4">
        <v>44394</v>
      </c>
      <c r="G390" s="3" t="s">
        <v>1210</v>
      </c>
      <c r="H390" s="3" t="s">
        <v>1211</v>
      </c>
      <c r="I390" s="3" t="s">
        <v>57</v>
      </c>
      <c r="J390" s="5">
        <v>28835.441190757701</v>
      </c>
      <c r="K390" s="3">
        <v>270</v>
      </c>
      <c r="L390" s="3" t="s">
        <v>22</v>
      </c>
      <c r="M390" s="4">
        <v>44411</v>
      </c>
      <c r="N390" s="3" t="s">
        <v>79</v>
      </c>
      <c r="O390" s="3" t="s">
        <v>33</v>
      </c>
      <c r="P390" s="3" t="str">
        <f>IF(Table1[[#This Row],[Billing Amount]]&lt;5000,"Low",IF(Table1[[#This Row],[Billing Amount]]&lt;=15000,"Medium","High"))</f>
        <v>High</v>
      </c>
      <c r="Q390" s="3" t="str">
        <f>IF(Table1[[#This Row],[Discharge Date]]="Yes","Discharged","Under Treatment")</f>
        <v>Under Treatment</v>
      </c>
      <c r="R390" s="3" t="str">
        <f>IF(Table1[[#This Row],[Test Results]]&gt;120,"High Risk","Normal")</f>
        <v>High Risk</v>
      </c>
      <c r="S390" s="3" t="str">
        <f>IF(Table1[[#This Row],[Age]]&lt;=18,"0-18",IF(Table1[[#This Row],[Age]]&lt;=35,"19-35",IF(Table1[[#This Row],[Age]]&lt;=50,"36-50",IF(Table1[[#This Row],[Age]]&lt;=65,"51-65","65+"))))</f>
        <v>51-65</v>
      </c>
    </row>
    <row r="391" spans="1:19" x14ac:dyDescent="0.3">
      <c r="A391" s="3" t="s">
        <v>1212</v>
      </c>
      <c r="B391" s="3">
        <v>44</v>
      </c>
      <c r="C391" s="3" t="s">
        <v>16</v>
      </c>
      <c r="D391" s="3" t="s">
        <v>103</v>
      </c>
      <c r="E391" s="3" t="s">
        <v>43</v>
      </c>
      <c r="F391" s="4">
        <v>44953</v>
      </c>
      <c r="G391" s="3" t="s">
        <v>1213</v>
      </c>
      <c r="H391" s="3" t="s">
        <v>1214</v>
      </c>
      <c r="I391" s="3" t="s">
        <v>30</v>
      </c>
      <c r="J391" s="5">
        <v>7083.6142663370101</v>
      </c>
      <c r="K391" s="3">
        <v>317</v>
      </c>
      <c r="L391" s="3" t="s">
        <v>46</v>
      </c>
      <c r="M391" s="4">
        <v>44959</v>
      </c>
      <c r="N391" s="3" t="s">
        <v>79</v>
      </c>
      <c r="O391" s="3" t="s">
        <v>33</v>
      </c>
      <c r="P391" s="3" t="str">
        <f>IF(Table1[[#This Row],[Billing Amount]]&lt;5000,"Low",IF(Table1[[#This Row],[Billing Amount]]&lt;=15000,"Medium","High"))</f>
        <v>Medium</v>
      </c>
      <c r="Q391" s="3" t="str">
        <f>IF(Table1[[#This Row],[Discharge Date]]="Yes","Discharged","Under Treatment")</f>
        <v>Under Treatment</v>
      </c>
      <c r="R391" s="3" t="str">
        <f>IF(Table1[[#This Row],[Test Results]]&gt;120,"High Risk","Normal")</f>
        <v>High Risk</v>
      </c>
      <c r="S391" s="3" t="str">
        <f>IF(Table1[[#This Row],[Age]]&lt;=18,"0-18",IF(Table1[[#This Row],[Age]]&lt;=35,"19-35",IF(Table1[[#This Row],[Age]]&lt;=50,"36-50",IF(Table1[[#This Row],[Age]]&lt;=65,"51-65","65+"))))</f>
        <v>36-50</v>
      </c>
    </row>
    <row r="392" spans="1:19" x14ac:dyDescent="0.3">
      <c r="A392" s="3" t="s">
        <v>1215</v>
      </c>
      <c r="B392" s="3">
        <v>66</v>
      </c>
      <c r="C392" s="3" t="s">
        <v>35</v>
      </c>
      <c r="D392" s="3" t="s">
        <v>122</v>
      </c>
      <c r="E392" s="3" t="s">
        <v>54</v>
      </c>
      <c r="F392" s="4">
        <v>44078</v>
      </c>
      <c r="G392" s="3" t="s">
        <v>1216</v>
      </c>
      <c r="H392" s="3" t="s">
        <v>1217</v>
      </c>
      <c r="I392" s="3" t="s">
        <v>30</v>
      </c>
      <c r="J392" s="5">
        <v>2068.4292036295101</v>
      </c>
      <c r="K392" s="3">
        <v>302</v>
      </c>
      <c r="L392" s="3" t="s">
        <v>22</v>
      </c>
      <c r="M392" s="4">
        <v>44094</v>
      </c>
      <c r="N392" s="3" t="s">
        <v>52</v>
      </c>
      <c r="O392" s="3" t="s">
        <v>33</v>
      </c>
      <c r="P392" s="3" t="str">
        <f>IF(Table1[[#This Row],[Billing Amount]]&lt;5000,"Low",IF(Table1[[#This Row],[Billing Amount]]&lt;=15000,"Medium","High"))</f>
        <v>Low</v>
      </c>
      <c r="Q392" s="3" t="str">
        <f>IF(Table1[[#This Row],[Discharge Date]]="Yes","Discharged","Under Treatment")</f>
        <v>Under Treatment</v>
      </c>
      <c r="R392" s="3" t="str">
        <f>IF(Table1[[#This Row],[Test Results]]&gt;120,"High Risk","Normal")</f>
        <v>High Risk</v>
      </c>
      <c r="S392" s="3" t="str">
        <f>IF(Table1[[#This Row],[Age]]&lt;=18,"0-18",IF(Table1[[#This Row],[Age]]&lt;=35,"19-35",IF(Table1[[#This Row],[Age]]&lt;=50,"36-50",IF(Table1[[#This Row],[Age]]&lt;=65,"51-65","65+"))))</f>
        <v>65+</v>
      </c>
    </row>
    <row r="393" spans="1:19" x14ac:dyDescent="0.3">
      <c r="A393" s="3" t="s">
        <v>1218</v>
      </c>
      <c r="B393" s="3">
        <v>79</v>
      </c>
      <c r="C393" s="3" t="s">
        <v>35</v>
      </c>
      <c r="D393" s="3" t="s">
        <v>49</v>
      </c>
      <c r="E393" s="3" t="s">
        <v>76</v>
      </c>
      <c r="F393" s="4">
        <v>43869</v>
      </c>
      <c r="G393" s="3" t="s">
        <v>1219</v>
      </c>
      <c r="H393" s="3" t="s">
        <v>1220</v>
      </c>
      <c r="I393" s="3" t="s">
        <v>21</v>
      </c>
      <c r="J393" s="5">
        <v>42956.128952957799</v>
      </c>
      <c r="K393" s="3">
        <v>382</v>
      </c>
      <c r="L393" s="3" t="s">
        <v>46</v>
      </c>
      <c r="M393" s="4">
        <v>43882</v>
      </c>
      <c r="N393" s="3" t="s">
        <v>40</v>
      </c>
      <c r="O393" s="3" t="s">
        <v>24</v>
      </c>
      <c r="P393" s="3" t="str">
        <f>IF(Table1[[#This Row],[Billing Amount]]&lt;5000,"Low",IF(Table1[[#This Row],[Billing Amount]]&lt;=15000,"Medium","High"))</f>
        <v>High</v>
      </c>
      <c r="Q393" s="3" t="str">
        <f>IF(Table1[[#This Row],[Discharge Date]]="Yes","Discharged","Under Treatment")</f>
        <v>Under Treatment</v>
      </c>
      <c r="R393" s="3" t="str">
        <f>IF(Table1[[#This Row],[Test Results]]&gt;120,"High Risk","Normal")</f>
        <v>High Risk</v>
      </c>
      <c r="S393" s="3" t="str">
        <f>IF(Table1[[#This Row],[Age]]&lt;=18,"0-18",IF(Table1[[#This Row],[Age]]&lt;=35,"19-35",IF(Table1[[#This Row],[Age]]&lt;=50,"36-50",IF(Table1[[#This Row],[Age]]&lt;=65,"51-65","65+"))))</f>
        <v>65+</v>
      </c>
    </row>
    <row r="394" spans="1:19" x14ac:dyDescent="0.3">
      <c r="A394" s="3" t="s">
        <v>1221</v>
      </c>
      <c r="B394" s="3">
        <v>59</v>
      </c>
      <c r="C394" s="3" t="s">
        <v>35</v>
      </c>
      <c r="D394" s="3" t="s">
        <v>42</v>
      </c>
      <c r="E394" s="3" t="s">
        <v>43</v>
      </c>
      <c r="F394" s="4">
        <v>43647</v>
      </c>
      <c r="G394" s="3" t="s">
        <v>1222</v>
      </c>
      <c r="H394" s="3" t="s">
        <v>1223</v>
      </c>
      <c r="I394" s="3" t="s">
        <v>39</v>
      </c>
      <c r="J394" s="5">
        <v>17307.366222435001</v>
      </c>
      <c r="K394" s="3">
        <v>255</v>
      </c>
      <c r="L394" s="3" t="s">
        <v>22</v>
      </c>
      <c r="M394" s="4">
        <v>43651</v>
      </c>
      <c r="N394" s="3" t="s">
        <v>52</v>
      </c>
      <c r="O394" s="3" t="s">
        <v>47</v>
      </c>
      <c r="P394" s="3" t="str">
        <f>IF(Table1[[#This Row],[Billing Amount]]&lt;5000,"Low",IF(Table1[[#This Row],[Billing Amount]]&lt;=15000,"Medium","High"))</f>
        <v>High</v>
      </c>
      <c r="Q394" s="3" t="str">
        <f>IF(Table1[[#This Row],[Discharge Date]]="Yes","Discharged","Under Treatment")</f>
        <v>Under Treatment</v>
      </c>
      <c r="R394" s="3" t="str">
        <f>IF(Table1[[#This Row],[Test Results]]&gt;120,"High Risk","Normal")</f>
        <v>High Risk</v>
      </c>
      <c r="S394" s="3" t="str">
        <f>IF(Table1[[#This Row],[Age]]&lt;=18,"0-18",IF(Table1[[#This Row],[Age]]&lt;=35,"19-35",IF(Table1[[#This Row],[Age]]&lt;=50,"36-50",IF(Table1[[#This Row],[Age]]&lt;=65,"51-65","65+"))))</f>
        <v>51-65</v>
      </c>
    </row>
    <row r="395" spans="1:19" x14ac:dyDescent="0.3">
      <c r="A395" s="3" t="s">
        <v>1224</v>
      </c>
      <c r="B395" s="3">
        <v>47</v>
      </c>
      <c r="C395" s="3" t="s">
        <v>16</v>
      </c>
      <c r="D395" s="3" t="s">
        <v>42</v>
      </c>
      <c r="E395" s="3" t="s">
        <v>54</v>
      </c>
      <c r="F395" s="4">
        <v>45292</v>
      </c>
      <c r="G395" s="3" t="s">
        <v>1225</v>
      </c>
      <c r="H395" s="3" t="s">
        <v>1226</v>
      </c>
      <c r="I395" s="3" t="s">
        <v>39</v>
      </c>
      <c r="J395" s="5">
        <v>41492.127588898198</v>
      </c>
      <c r="K395" s="3">
        <v>388</v>
      </c>
      <c r="L395" s="3" t="s">
        <v>46</v>
      </c>
      <c r="M395" s="4">
        <v>45303</v>
      </c>
      <c r="N395" s="3" t="s">
        <v>40</v>
      </c>
      <c r="O395" s="3" t="s">
        <v>24</v>
      </c>
      <c r="P395" s="3" t="str">
        <f>IF(Table1[[#This Row],[Billing Amount]]&lt;5000,"Low",IF(Table1[[#This Row],[Billing Amount]]&lt;=15000,"Medium","High"))</f>
        <v>High</v>
      </c>
      <c r="Q395" s="3" t="str">
        <f>IF(Table1[[#This Row],[Discharge Date]]="Yes","Discharged","Under Treatment")</f>
        <v>Under Treatment</v>
      </c>
      <c r="R395" s="3" t="str">
        <f>IF(Table1[[#This Row],[Test Results]]&gt;120,"High Risk","Normal")</f>
        <v>High Risk</v>
      </c>
      <c r="S395" s="3" t="str">
        <f>IF(Table1[[#This Row],[Age]]&lt;=18,"0-18",IF(Table1[[#This Row],[Age]]&lt;=35,"19-35",IF(Table1[[#This Row],[Age]]&lt;=50,"36-50",IF(Table1[[#This Row],[Age]]&lt;=65,"51-65","65+"))))</f>
        <v>36-50</v>
      </c>
    </row>
    <row r="396" spans="1:19" x14ac:dyDescent="0.3">
      <c r="A396" s="3" t="s">
        <v>1227</v>
      </c>
      <c r="B396" s="3">
        <v>35</v>
      </c>
      <c r="C396" s="3" t="s">
        <v>16</v>
      </c>
      <c r="D396" s="3" t="s">
        <v>49</v>
      </c>
      <c r="E396" s="3" t="s">
        <v>18</v>
      </c>
      <c r="F396" s="4">
        <v>43727</v>
      </c>
      <c r="G396" s="3" t="s">
        <v>1228</v>
      </c>
      <c r="H396" s="3" t="s">
        <v>1229</v>
      </c>
      <c r="I396" s="3" t="s">
        <v>21</v>
      </c>
      <c r="J396" s="5">
        <v>44495.731038476602</v>
      </c>
      <c r="K396" s="3">
        <v>469</v>
      </c>
      <c r="L396" s="3" t="s">
        <v>46</v>
      </c>
      <c r="M396" s="4">
        <v>43754</v>
      </c>
      <c r="N396" s="3" t="s">
        <v>23</v>
      </c>
      <c r="O396" s="3" t="s">
        <v>33</v>
      </c>
      <c r="P396" s="3" t="str">
        <f>IF(Table1[[#This Row],[Billing Amount]]&lt;5000,"Low",IF(Table1[[#This Row],[Billing Amount]]&lt;=15000,"Medium","High"))</f>
        <v>High</v>
      </c>
      <c r="Q396" s="3" t="str">
        <f>IF(Table1[[#This Row],[Discharge Date]]="Yes","Discharged","Under Treatment")</f>
        <v>Under Treatment</v>
      </c>
      <c r="R396" s="3" t="str">
        <f>IF(Table1[[#This Row],[Test Results]]&gt;120,"High Risk","Normal")</f>
        <v>High Risk</v>
      </c>
      <c r="S396" s="3" t="str">
        <f>IF(Table1[[#This Row],[Age]]&lt;=18,"0-18",IF(Table1[[#This Row],[Age]]&lt;=35,"19-35",IF(Table1[[#This Row],[Age]]&lt;=50,"36-50",IF(Table1[[#This Row],[Age]]&lt;=65,"51-65","65+"))))</f>
        <v>19-35</v>
      </c>
    </row>
    <row r="397" spans="1:19" x14ac:dyDescent="0.3">
      <c r="A397" s="3" t="s">
        <v>1230</v>
      </c>
      <c r="B397" s="3">
        <v>69</v>
      </c>
      <c r="C397" s="3" t="s">
        <v>35</v>
      </c>
      <c r="D397" s="3" t="s">
        <v>103</v>
      </c>
      <c r="E397" s="3" t="s">
        <v>27</v>
      </c>
      <c r="F397" s="4">
        <v>44981</v>
      </c>
      <c r="G397" s="3" t="s">
        <v>1231</v>
      </c>
      <c r="H397" s="3" t="s">
        <v>1232</v>
      </c>
      <c r="I397" s="3" t="s">
        <v>21</v>
      </c>
      <c r="J397" s="5">
        <v>2936.8944986229299</v>
      </c>
      <c r="K397" s="3">
        <v>223</v>
      </c>
      <c r="L397" s="3" t="s">
        <v>31</v>
      </c>
      <c r="M397" s="4">
        <v>44982</v>
      </c>
      <c r="N397" s="3" t="s">
        <v>40</v>
      </c>
      <c r="O397" s="3" t="s">
        <v>47</v>
      </c>
      <c r="P397" s="3" t="str">
        <f>IF(Table1[[#This Row],[Billing Amount]]&lt;5000,"Low",IF(Table1[[#This Row],[Billing Amount]]&lt;=15000,"Medium","High"))</f>
        <v>Low</v>
      </c>
      <c r="Q397" s="3" t="str">
        <f>IF(Table1[[#This Row],[Discharge Date]]="Yes","Discharged","Under Treatment")</f>
        <v>Under Treatment</v>
      </c>
      <c r="R397" s="3" t="str">
        <f>IF(Table1[[#This Row],[Test Results]]&gt;120,"High Risk","Normal")</f>
        <v>High Risk</v>
      </c>
      <c r="S397" s="3" t="str">
        <f>IF(Table1[[#This Row],[Age]]&lt;=18,"0-18",IF(Table1[[#This Row],[Age]]&lt;=35,"19-35",IF(Table1[[#This Row],[Age]]&lt;=50,"36-50",IF(Table1[[#This Row],[Age]]&lt;=65,"51-65","65+"))))</f>
        <v>65+</v>
      </c>
    </row>
    <row r="398" spans="1:19" x14ac:dyDescent="0.3">
      <c r="A398" s="3" t="s">
        <v>1233</v>
      </c>
      <c r="B398" s="3">
        <v>51</v>
      </c>
      <c r="C398" s="3" t="s">
        <v>35</v>
      </c>
      <c r="D398" s="3" t="s">
        <v>26</v>
      </c>
      <c r="E398" s="3" t="s">
        <v>54</v>
      </c>
      <c r="F398" s="4">
        <v>43707</v>
      </c>
      <c r="G398" s="3" t="s">
        <v>1234</v>
      </c>
      <c r="H398" s="3" t="s">
        <v>1235</v>
      </c>
      <c r="I398" s="3" t="s">
        <v>39</v>
      </c>
      <c r="J398" s="5">
        <v>6949.8756449953498</v>
      </c>
      <c r="K398" s="3">
        <v>366</v>
      </c>
      <c r="L398" s="3" t="s">
        <v>22</v>
      </c>
      <c r="M398" s="4">
        <v>43725</v>
      </c>
      <c r="N398" s="3" t="s">
        <v>23</v>
      </c>
      <c r="O398" s="3" t="s">
        <v>33</v>
      </c>
      <c r="P398" s="3" t="str">
        <f>IF(Table1[[#This Row],[Billing Amount]]&lt;5000,"Low",IF(Table1[[#This Row],[Billing Amount]]&lt;=15000,"Medium","High"))</f>
        <v>Medium</v>
      </c>
      <c r="Q398" s="3" t="str">
        <f>IF(Table1[[#This Row],[Discharge Date]]="Yes","Discharged","Under Treatment")</f>
        <v>Under Treatment</v>
      </c>
      <c r="R398" s="3" t="str">
        <f>IF(Table1[[#This Row],[Test Results]]&gt;120,"High Risk","Normal")</f>
        <v>High Risk</v>
      </c>
      <c r="S398" s="3" t="str">
        <f>IF(Table1[[#This Row],[Age]]&lt;=18,"0-18",IF(Table1[[#This Row],[Age]]&lt;=35,"19-35",IF(Table1[[#This Row],[Age]]&lt;=50,"36-50",IF(Table1[[#This Row],[Age]]&lt;=65,"51-65","65+"))))</f>
        <v>51-65</v>
      </c>
    </row>
    <row r="399" spans="1:19" x14ac:dyDescent="0.3">
      <c r="A399" s="3" t="s">
        <v>1236</v>
      </c>
      <c r="B399" s="3">
        <v>31</v>
      </c>
      <c r="C399" s="3" t="s">
        <v>35</v>
      </c>
      <c r="D399" s="3" t="s">
        <v>42</v>
      </c>
      <c r="E399" s="3" t="s">
        <v>93</v>
      </c>
      <c r="F399" s="4">
        <v>43820</v>
      </c>
      <c r="G399" s="3" t="s">
        <v>1237</v>
      </c>
      <c r="H399" s="3" t="s">
        <v>1238</v>
      </c>
      <c r="I399" s="3" t="s">
        <v>21</v>
      </c>
      <c r="J399" s="5">
        <v>15449.0639737078</v>
      </c>
      <c r="K399" s="3">
        <v>384</v>
      </c>
      <c r="L399" s="3" t="s">
        <v>46</v>
      </c>
      <c r="M399" s="4">
        <v>43830</v>
      </c>
      <c r="N399" s="3" t="s">
        <v>79</v>
      </c>
      <c r="O399" s="3" t="s">
        <v>47</v>
      </c>
      <c r="P399" s="3" t="str">
        <f>IF(Table1[[#This Row],[Billing Amount]]&lt;5000,"Low",IF(Table1[[#This Row],[Billing Amount]]&lt;=15000,"Medium","High"))</f>
        <v>High</v>
      </c>
      <c r="Q399" s="3" t="str">
        <f>IF(Table1[[#This Row],[Discharge Date]]="Yes","Discharged","Under Treatment")</f>
        <v>Under Treatment</v>
      </c>
      <c r="R399" s="3" t="str">
        <f>IF(Table1[[#This Row],[Test Results]]&gt;120,"High Risk","Normal")</f>
        <v>High Risk</v>
      </c>
      <c r="S399" s="3" t="str">
        <f>IF(Table1[[#This Row],[Age]]&lt;=18,"0-18",IF(Table1[[#This Row],[Age]]&lt;=35,"19-35",IF(Table1[[#This Row],[Age]]&lt;=50,"36-50",IF(Table1[[#This Row],[Age]]&lt;=65,"51-65","65+"))))</f>
        <v>19-35</v>
      </c>
    </row>
    <row r="400" spans="1:19" x14ac:dyDescent="0.3">
      <c r="A400" s="3" t="s">
        <v>1239</v>
      </c>
      <c r="B400" s="3">
        <v>34</v>
      </c>
      <c r="C400" s="3" t="s">
        <v>35</v>
      </c>
      <c r="D400" s="3" t="s">
        <v>36</v>
      </c>
      <c r="E400" s="3" t="s">
        <v>27</v>
      </c>
      <c r="F400" s="4">
        <v>43708</v>
      </c>
      <c r="G400" s="3" t="s">
        <v>1240</v>
      </c>
      <c r="H400" s="3" t="s">
        <v>1241</v>
      </c>
      <c r="I400" s="3" t="s">
        <v>21</v>
      </c>
      <c r="J400" s="5">
        <v>37458.159278940999</v>
      </c>
      <c r="K400" s="3">
        <v>184</v>
      </c>
      <c r="L400" s="3" t="s">
        <v>46</v>
      </c>
      <c r="M400" s="4">
        <v>43736</v>
      </c>
      <c r="N400" s="3" t="s">
        <v>23</v>
      </c>
      <c r="O400" s="3" t="s">
        <v>47</v>
      </c>
      <c r="P400" s="3" t="str">
        <f>IF(Table1[[#This Row],[Billing Amount]]&lt;5000,"Low",IF(Table1[[#This Row],[Billing Amount]]&lt;=15000,"Medium","High"))</f>
        <v>High</v>
      </c>
      <c r="Q400" s="3" t="str">
        <f>IF(Table1[[#This Row],[Discharge Date]]="Yes","Discharged","Under Treatment")</f>
        <v>Under Treatment</v>
      </c>
      <c r="R400" s="3" t="str">
        <f>IF(Table1[[#This Row],[Test Results]]&gt;120,"High Risk","Normal")</f>
        <v>High Risk</v>
      </c>
      <c r="S400" s="3" t="str">
        <f>IF(Table1[[#This Row],[Age]]&lt;=18,"0-18",IF(Table1[[#This Row],[Age]]&lt;=35,"19-35",IF(Table1[[#This Row],[Age]]&lt;=50,"36-50",IF(Table1[[#This Row],[Age]]&lt;=65,"51-65","65+"))))</f>
        <v>19-35</v>
      </c>
    </row>
    <row r="401" spans="1:19" x14ac:dyDescent="0.3">
      <c r="A401" s="3" t="s">
        <v>1242</v>
      </c>
      <c r="B401" s="3">
        <v>51</v>
      </c>
      <c r="C401" s="3" t="s">
        <v>35</v>
      </c>
      <c r="D401" s="3" t="s">
        <v>42</v>
      </c>
      <c r="E401" s="3" t="s">
        <v>93</v>
      </c>
      <c r="F401" s="4">
        <v>45149</v>
      </c>
      <c r="G401" s="3" t="s">
        <v>1243</v>
      </c>
      <c r="H401" s="3" t="s">
        <v>1244</v>
      </c>
      <c r="I401" s="3" t="s">
        <v>65</v>
      </c>
      <c r="J401" s="5">
        <v>21534.715569914701</v>
      </c>
      <c r="K401" s="3">
        <v>198</v>
      </c>
      <c r="L401" s="3" t="s">
        <v>31</v>
      </c>
      <c r="M401" s="4">
        <v>45158</v>
      </c>
      <c r="N401" s="3" t="s">
        <v>52</v>
      </c>
      <c r="O401" s="3" t="s">
        <v>24</v>
      </c>
      <c r="P401" s="3" t="str">
        <f>IF(Table1[[#This Row],[Billing Amount]]&lt;5000,"Low",IF(Table1[[#This Row],[Billing Amount]]&lt;=15000,"Medium","High"))</f>
        <v>High</v>
      </c>
      <c r="Q401" s="3" t="str">
        <f>IF(Table1[[#This Row],[Discharge Date]]="Yes","Discharged","Under Treatment")</f>
        <v>Under Treatment</v>
      </c>
      <c r="R401" s="3" t="str">
        <f>IF(Table1[[#This Row],[Test Results]]&gt;120,"High Risk","Normal")</f>
        <v>High Risk</v>
      </c>
      <c r="S401" s="3" t="str">
        <f>IF(Table1[[#This Row],[Age]]&lt;=18,"0-18",IF(Table1[[#This Row],[Age]]&lt;=35,"19-35",IF(Table1[[#This Row],[Age]]&lt;=50,"36-50",IF(Table1[[#This Row],[Age]]&lt;=65,"51-65","65+"))))</f>
        <v>51-65</v>
      </c>
    </row>
    <row r="402" spans="1:19" x14ac:dyDescent="0.3">
      <c r="A402" s="3" t="s">
        <v>1245</v>
      </c>
      <c r="B402" s="3">
        <v>85</v>
      </c>
      <c r="C402" s="3" t="s">
        <v>16</v>
      </c>
      <c r="D402" s="3" t="s">
        <v>103</v>
      </c>
      <c r="E402" s="3" t="s">
        <v>54</v>
      </c>
      <c r="F402" s="4">
        <v>44498</v>
      </c>
      <c r="G402" s="3" t="s">
        <v>1246</v>
      </c>
      <c r="H402" s="3" t="s">
        <v>1247</v>
      </c>
      <c r="I402" s="3" t="s">
        <v>65</v>
      </c>
      <c r="J402" s="5">
        <v>43393.922915147799</v>
      </c>
      <c r="K402" s="3">
        <v>123</v>
      </c>
      <c r="L402" s="3" t="s">
        <v>46</v>
      </c>
      <c r="M402" s="4">
        <v>44525</v>
      </c>
      <c r="N402" s="3" t="s">
        <v>52</v>
      </c>
      <c r="O402" s="3" t="s">
        <v>33</v>
      </c>
      <c r="P402" s="3" t="str">
        <f>IF(Table1[[#This Row],[Billing Amount]]&lt;5000,"Low",IF(Table1[[#This Row],[Billing Amount]]&lt;=15000,"Medium","High"))</f>
        <v>High</v>
      </c>
      <c r="Q402" s="3" t="str">
        <f>IF(Table1[[#This Row],[Discharge Date]]="Yes","Discharged","Under Treatment")</f>
        <v>Under Treatment</v>
      </c>
      <c r="R402" s="3" t="str">
        <f>IF(Table1[[#This Row],[Test Results]]&gt;120,"High Risk","Normal")</f>
        <v>High Risk</v>
      </c>
      <c r="S402" s="3" t="str">
        <f>IF(Table1[[#This Row],[Age]]&lt;=18,"0-18",IF(Table1[[#This Row],[Age]]&lt;=35,"19-35",IF(Table1[[#This Row],[Age]]&lt;=50,"36-50",IF(Table1[[#This Row],[Age]]&lt;=65,"51-65","65+"))))</f>
        <v>65+</v>
      </c>
    </row>
    <row r="403" spans="1:19" x14ac:dyDescent="0.3">
      <c r="A403" s="3" t="s">
        <v>1248</v>
      </c>
      <c r="B403" s="3">
        <v>51</v>
      </c>
      <c r="C403" s="3" t="s">
        <v>16</v>
      </c>
      <c r="D403" s="3" t="s">
        <v>36</v>
      </c>
      <c r="E403" s="3" t="s">
        <v>18</v>
      </c>
      <c r="F403" s="4">
        <v>44092</v>
      </c>
      <c r="G403" s="3" t="s">
        <v>1249</v>
      </c>
      <c r="H403" s="3" t="s">
        <v>1250</v>
      </c>
      <c r="I403" s="3" t="s">
        <v>30</v>
      </c>
      <c r="J403" s="5">
        <v>50332.932411206602</v>
      </c>
      <c r="K403" s="3">
        <v>394</v>
      </c>
      <c r="L403" s="3" t="s">
        <v>31</v>
      </c>
      <c r="M403" s="4">
        <v>44116</v>
      </c>
      <c r="N403" s="3" t="s">
        <v>40</v>
      </c>
      <c r="O403" s="3" t="s">
        <v>47</v>
      </c>
      <c r="P403" s="3" t="str">
        <f>IF(Table1[[#This Row],[Billing Amount]]&lt;5000,"Low",IF(Table1[[#This Row],[Billing Amount]]&lt;=15000,"Medium","High"))</f>
        <v>High</v>
      </c>
      <c r="Q403" s="3" t="str">
        <f>IF(Table1[[#This Row],[Discharge Date]]="Yes","Discharged","Under Treatment")</f>
        <v>Under Treatment</v>
      </c>
      <c r="R403" s="3" t="str">
        <f>IF(Table1[[#This Row],[Test Results]]&gt;120,"High Risk","Normal")</f>
        <v>High Risk</v>
      </c>
      <c r="S403" s="3" t="str">
        <f>IF(Table1[[#This Row],[Age]]&lt;=18,"0-18",IF(Table1[[#This Row],[Age]]&lt;=35,"19-35",IF(Table1[[#This Row],[Age]]&lt;=50,"36-50",IF(Table1[[#This Row],[Age]]&lt;=65,"51-65","65+"))))</f>
        <v>51-65</v>
      </c>
    </row>
    <row r="404" spans="1:19" x14ac:dyDescent="0.3">
      <c r="A404" s="3" t="s">
        <v>1251</v>
      </c>
      <c r="B404" s="3">
        <v>39</v>
      </c>
      <c r="C404" s="3" t="s">
        <v>16</v>
      </c>
      <c r="D404" s="3" t="s">
        <v>49</v>
      </c>
      <c r="E404" s="3" t="s">
        <v>18</v>
      </c>
      <c r="F404" s="4">
        <v>44251</v>
      </c>
      <c r="G404" s="3" t="s">
        <v>1252</v>
      </c>
      <c r="H404" s="3" t="s">
        <v>1253</v>
      </c>
      <c r="I404" s="3" t="s">
        <v>39</v>
      </c>
      <c r="J404" s="5">
        <v>18062.596843506701</v>
      </c>
      <c r="K404" s="3">
        <v>140</v>
      </c>
      <c r="L404" s="3" t="s">
        <v>22</v>
      </c>
      <c r="M404" s="4">
        <v>44272</v>
      </c>
      <c r="N404" s="3" t="s">
        <v>23</v>
      </c>
      <c r="O404" s="3" t="s">
        <v>33</v>
      </c>
      <c r="P404" s="3" t="str">
        <f>IF(Table1[[#This Row],[Billing Amount]]&lt;5000,"Low",IF(Table1[[#This Row],[Billing Amount]]&lt;=15000,"Medium","High"))</f>
        <v>High</v>
      </c>
      <c r="Q404" s="3" t="str">
        <f>IF(Table1[[#This Row],[Discharge Date]]="Yes","Discharged","Under Treatment")</f>
        <v>Under Treatment</v>
      </c>
      <c r="R404" s="3" t="str">
        <f>IF(Table1[[#This Row],[Test Results]]&gt;120,"High Risk","Normal")</f>
        <v>High Risk</v>
      </c>
      <c r="S404" s="3" t="str">
        <f>IF(Table1[[#This Row],[Age]]&lt;=18,"0-18",IF(Table1[[#This Row],[Age]]&lt;=35,"19-35",IF(Table1[[#This Row],[Age]]&lt;=50,"36-50",IF(Table1[[#This Row],[Age]]&lt;=65,"51-65","65+"))))</f>
        <v>36-50</v>
      </c>
    </row>
    <row r="405" spans="1:19" x14ac:dyDescent="0.3">
      <c r="A405" s="3" t="s">
        <v>1254</v>
      </c>
      <c r="B405" s="3">
        <v>75</v>
      </c>
      <c r="C405" s="3" t="s">
        <v>16</v>
      </c>
      <c r="D405" s="3" t="s">
        <v>59</v>
      </c>
      <c r="E405" s="3" t="s">
        <v>76</v>
      </c>
      <c r="F405" s="4">
        <v>45114</v>
      </c>
      <c r="G405" s="3" t="s">
        <v>1255</v>
      </c>
      <c r="H405" s="3" t="s">
        <v>1256</v>
      </c>
      <c r="I405" s="3" t="s">
        <v>57</v>
      </c>
      <c r="J405" s="5">
        <v>30064.180790216498</v>
      </c>
      <c r="K405" s="3">
        <v>110</v>
      </c>
      <c r="L405" s="3" t="s">
        <v>22</v>
      </c>
      <c r="M405" s="4">
        <v>45120</v>
      </c>
      <c r="N405" s="3" t="s">
        <v>23</v>
      </c>
      <c r="O405" s="3" t="s">
        <v>24</v>
      </c>
      <c r="P405" s="3" t="str">
        <f>IF(Table1[[#This Row],[Billing Amount]]&lt;5000,"Low",IF(Table1[[#This Row],[Billing Amount]]&lt;=15000,"Medium","High"))</f>
        <v>High</v>
      </c>
      <c r="Q405" s="3" t="str">
        <f>IF(Table1[[#This Row],[Discharge Date]]="Yes","Discharged","Under Treatment")</f>
        <v>Under Treatment</v>
      </c>
      <c r="R405" s="3" t="str">
        <f>IF(Table1[[#This Row],[Test Results]]&gt;120,"High Risk","Normal")</f>
        <v>High Risk</v>
      </c>
      <c r="S405" s="3" t="str">
        <f>IF(Table1[[#This Row],[Age]]&lt;=18,"0-18",IF(Table1[[#This Row],[Age]]&lt;=35,"19-35",IF(Table1[[#This Row],[Age]]&lt;=50,"36-50",IF(Table1[[#This Row],[Age]]&lt;=65,"51-65","65+"))))</f>
        <v>65+</v>
      </c>
    </row>
    <row r="406" spans="1:19" x14ac:dyDescent="0.3">
      <c r="A406" s="3" t="s">
        <v>1257</v>
      </c>
      <c r="B406" s="3">
        <v>46</v>
      </c>
      <c r="C406" s="3" t="s">
        <v>35</v>
      </c>
      <c r="D406" s="3" t="s">
        <v>42</v>
      </c>
      <c r="E406" s="3" t="s">
        <v>76</v>
      </c>
      <c r="F406" s="4">
        <v>45103</v>
      </c>
      <c r="G406" s="3" t="s">
        <v>1258</v>
      </c>
      <c r="H406" s="3" t="s">
        <v>1259</v>
      </c>
      <c r="I406" s="3" t="s">
        <v>21</v>
      </c>
      <c r="J406" s="5">
        <v>45440.792809669801</v>
      </c>
      <c r="K406" s="3">
        <v>462</v>
      </c>
      <c r="L406" s="3" t="s">
        <v>46</v>
      </c>
      <c r="M406" s="4">
        <v>45130</v>
      </c>
      <c r="N406" s="3" t="s">
        <v>32</v>
      </c>
      <c r="O406" s="3" t="s">
        <v>33</v>
      </c>
      <c r="P406" s="3" t="str">
        <f>IF(Table1[[#This Row],[Billing Amount]]&lt;5000,"Low",IF(Table1[[#This Row],[Billing Amount]]&lt;=15000,"Medium","High"))</f>
        <v>High</v>
      </c>
      <c r="Q406" s="3" t="str">
        <f>IF(Table1[[#This Row],[Discharge Date]]="Yes","Discharged","Under Treatment")</f>
        <v>Under Treatment</v>
      </c>
      <c r="R406" s="3" t="str">
        <f>IF(Table1[[#This Row],[Test Results]]&gt;120,"High Risk","Normal")</f>
        <v>High Risk</v>
      </c>
      <c r="S406" s="3" t="str">
        <f>IF(Table1[[#This Row],[Age]]&lt;=18,"0-18",IF(Table1[[#This Row],[Age]]&lt;=35,"19-35",IF(Table1[[#This Row],[Age]]&lt;=50,"36-50",IF(Table1[[#This Row],[Age]]&lt;=65,"51-65","65+"))))</f>
        <v>36-50</v>
      </c>
    </row>
    <row r="407" spans="1:19" x14ac:dyDescent="0.3">
      <c r="A407" s="3" t="s">
        <v>1260</v>
      </c>
      <c r="B407" s="3">
        <v>47</v>
      </c>
      <c r="C407" s="3" t="s">
        <v>16</v>
      </c>
      <c r="D407" s="3" t="s">
        <v>122</v>
      </c>
      <c r="E407" s="3" t="s">
        <v>27</v>
      </c>
      <c r="F407" s="4">
        <v>44512</v>
      </c>
      <c r="G407" s="3" t="s">
        <v>1261</v>
      </c>
      <c r="H407" s="3" t="s">
        <v>1262</v>
      </c>
      <c r="I407" s="3" t="s">
        <v>39</v>
      </c>
      <c r="J407" s="5">
        <v>12073.0672653691</v>
      </c>
      <c r="K407" s="3">
        <v>400</v>
      </c>
      <c r="L407" s="3" t="s">
        <v>22</v>
      </c>
      <c r="M407" s="4">
        <v>44534</v>
      </c>
      <c r="N407" s="3" t="s">
        <v>23</v>
      </c>
      <c r="O407" s="3" t="s">
        <v>24</v>
      </c>
      <c r="P407" s="3" t="str">
        <f>IF(Table1[[#This Row],[Billing Amount]]&lt;5000,"Low",IF(Table1[[#This Row],[Billing Amount]]&lt;=15000,"Medium","High"))</f>
        <v>Medium</v>
      </c>
      <c r="Q407" s="3" t="str">
        <f>IF(Table1[[#This Row],[Discharge Date]]="Yes","Discharged","Under Treatment")</f>
        <v>Under Treatment</v>
      </c>
      <c r="R407" s="3" t="str">
        <f>IF(Table1[[#This Row],[Test Results]]&gt;120,"High Risk","Normal")</f>
        <v>High Risk</v>
      </c>
      <c r="S407" s="3" t="str">
        <f>IF(Table1[[#This Row],[Age]]&lt;=18,"0-18",IF(Table1[[#This Row],[Age]]&lt;=35,"19-35",IF(Table1[[#This Row],[Age]]&lt;=50,"36-50",IF(Table1[[#This Row],[Age]]&lt;=65,"51-65","65+"))))</f>
        <v>36-50</v>
      </c>
    </row>
    <row r="408" spans="1:19" x14ac:dyDescent="0.3">
      <c r="A408" s="3" t="s">
        <v>1263</v>
      </c>
      <c r="B408" s="3">
        <v>38</v>
      </c>
      <c r="C408" s="3" t="s">
        <v>35</v>
      </c>
      <c r="D408" s="3" t="s">
        <v>42</v>
      </c>
      <c r="E408" s="3" t="s">
        <v>93</v>
      </c>
      <c r="F408" s="4">
        <v>44492</v>
      </c>
      <c r="G408" s="3" t="s">
        <v>1264</v>
      </c>
      <c r="H408" s="3" t="s">
        <v>1265</v>
      </c>
      <c r="I408" s="3" t="s">
        <v>57</v>
      </c>
      <c r="J408" s="5">
        <v>48065.462393153801</v>
      </c>
      <c r="K408" s="3">
        <v>147</v>
      </c>
      <c r="L408" s="3" t="s">
        <v>22</v>
      </c>
      <c r="M408" s="4">
        <v>44508</v>
      </c>
      <c r="N408" s="3" t="s">
        <v>23</v>
      </c>
      <c r="O408" s="3" t="s">
        <v>47</v>
      </c>
      <c r="P408" s="3" t="str">
        <f>IF(Table1[[#This Row],[Billing Amount]]&lt;5000,"Low",IF(Table1[[#This Row],[Billing Amount]]&lt;=15000,"Medium","High"))</f>
        <v>High</v>
      </c>
      <c r="Q408" s="3" t="str">
        <f>IF(Table1[[#This Row],[Discharge Date]]="Yes","Discharged","Under Treatment")</f>
        <v>Under Treatment</v>
      </c>
      <c r="R408" s="3" t="str">
        <f>IF(Table1[[#This Row],[Test Results]]&gt;120,"High Risk","Normal")</f>
        <v>High Risk</v>
      </c>
      <c r="S408" s="3" t="str">
        <f>IF(Table1[[#This Row],[Age]]&lt;=18,"0-18",IF(Table1[[#This Row],[Age]]&lt;=35,"19-35",IF(Table1[[#This Row],[Age]]&lt;=50,"36-50",IF(Table1[[#This Row],[Age]]&lt;=65,"51-65","65+"))))</f>
        <v>36-50</v>
      </c>
    </row>
    <row r="409" spans="1:19" x14ac:dyDescent="0.3">
      <c r="A409" s="3" t="s">
        <v>1266</v>
      </c>
      <c r="B409" s="3">
        <v>25</v>
      </c>
      <c r="C409" s="3" t="s">
        <v>35</v>
      </c>
      <c r="D409" s="3" t="s">
        <v>42</v>
      </c>
      <c r="E409" s="3" t="s">
        <v>93</v>
      </c>
      <c r="F409" s="4">
        <v>43799</v>
      </c>
      <c r="G409" s="3" t="s">
        <v>1267</v>
      </c>
      <c r="H409" s="3" t="s">
        <v>1268</v>
      </c>
      <c r="I409" s="3" t="s">
        <v>39</v>
      </c>
      <c r="J409" s="5">
        <v>16342.363733357601</v>
      </c>
      <c r="K409" s="3">
        <v>255</v>
      </c>
      <c r="L409" s="3" t="s">
        <v>31</v>
      </c>
      <c r="M409" s="4">
        <v>43819</v>
      </c>
      <c r="N409" s="3" t="s">
        <v>79</v>
      </c>
      <c r="O409" s="3" t="s">
        <v>33</v>
      </c>
      <c r="P409" s="3" t="str">
        <f>IF(Table1[[#This Row],[Billing Amount]]&lt;5000,"Low",IF(Table1[[#This Row],[Billing Amount]]&lt;=15000,"Medium","High"))</f>
        <v>High</v>
      </c>
      <c r="Q409" s="3" t="str">
        <f>IF(Table1[[#This Row],[Discharge Date]]="Yes","Discharged","Under Treatment")</f>
        <v>Under Treatment</v>
      </c>
      <c r="R409" s="3" t="str">
        <f>IF(Table1[[#This Row],[Test Results]]&gt;120,"High Risk","Normal")</f>
        <v>High Risk</v>
      </c>
      <c r="S409" s="3" t="str">
        <f>IF(Table1[[#This Row],[Age]]&lt;=18,"0-18",IF(Table1[[#This Row],[Age]]&lt;=35,"19-35",IF(Table1[[#This Row],[Age]]&lt;=50,"36-50",IF(Table1[[#This Row],[Age]]&lt;=65,"51-65","65+"))))</f>
        <v>19-35</v>
      </c>
    </row>
    <row r="410" spans="1:19" x14ac:dyDescent="0.3">
      <c r="A410" s="3" t="s">
        <v>1269</v>
      </c>
      <c r="B410" s="3">
        <v>65</v>
      </c>
      <c r="C410" s="3" t="s">
        <v>16</v>
      </c>
      <c r="D410" s="3" t="s">
        <v>49</v>
      </c>
      <c r="E410" s="3" t="s">
        <v>76</v>
      </c>
      <c r="F410" s="4">
        <v>45004</v>
      </c>
      <c r="G410" s="3" t="s">
        <v>1270</v>
      </c>
      <c r="H410" s="3" t="s">
        <v>1271</v>
      </c>
      <c r="I410" s="3" t="s">
        <v>65</v>
      </c>
      <c r="J410" s="5">
        <v>21767.231674942199</v>
      </c>
      <c r="K410" s="3">
        <v>410</v>
      </c>
      <c r="L410" s="3" t="s">
        <v>46</v>
      </c>
      <c r="M410" s="4">
        <v>45032</v>
      </c>
      <c r="N410" s="3" t="s">
        <v>79</v>
      </c>
      <c r="O410" s="3" t="s">
        <v>24</v>
      </c>
      <c r="P410" s="3" t="str">
        <f>IF(Table1[[#This Row],[Billing Amount]]&lt;5000,"Low",IF(Table1[[#This Row],[Billing Amount]]&lt;=15000,"Medium","High"))</f>
        <v>High</v>
      </c>
      <c r="Q410" s="3" t="str">
        <f>IF(Table1[[#This Row],[Discharge Date]]="Yes","Discharged","Under Treatment")</f>
        <v>Under Treatment</v>
      </c>
      <c r="R410" s="3" t="str">
        <f>IF(Table1[[#This Row],[Test Results]]&gt;120,"High Risk","Normal")</f>
        <v>High Risk</v>
      </c>
      <c r="S410" s="3" t="str">
        <f>IF(Table1[[#This Row],[Age]]&lt;=18,"0-18",IF(Table1[[#This Row],[Age]]&lt;=35,"19-35",IF(Table1[[#This Row],[Age]]&lt;=50,"36-50",IF(Table1[[#This Row],[Age]]&lt;=65,"51-65","65+"))))</f>
        <v>51-65</v>
      </c>
    </row>
    <row r="411" spans="1:19" x14ac:dyDescent="0.3">
      <c r="A411" s="3" t="s">
        <v>1272</v>
      </c>
      <c r="B411" s="3">
        <v>50</v>
      </c>
      <c r="C411" s="3" t="s">
        <v>35</v>
      </c>
      <c r="D411" s="3" t="s">
        <v>122</v>
      </c>
      <c r="E411" s="3" t="s">
        <v>76</v>
      </c>
      <c r="F411" s="4">
        <v>44594</v>
      </c>
      <c r="G411" s="3" t="s">
        <v>1273</v>
      </c>
      <c r="H411" s="3" t="s">
        <v>1274</v>
      </c>
      <c r="I411" s="3" t="s">
        <v>21</v>
      </c>
      <c r="J411" s="5">
        <v>16055.9303954196</v>
      </c>
      <c r="K411" s="3">
        <v>393</v>
      </c>
      <c r="L411" s="3" t="s">
        <v>31</v>
      </c>
      <c r="M411" s="4">
        <v>44597</v>
      </c>
      <c r="N411" s="3" t="s">
        <v>40</v>
      </c>
      <c r="O411" s="3" t="s">
        <v>33</v>
      </c>
      <c r="P411" s="3" t="str">
        <f>IF(Table1[[#This Row],[Billing Amount]]&lt;5000,"Low",IF(Table1[[#This Row],[Billing Amount]]&lt;=15000,"Medium","High"))</f>
        <v>High</v>
      </c>
      <c r="Q411" s="3" t="str">
        <f>IF(Table1[[#This Row],[Discharge Date]]="Yes","Discharged","Under Treatment")</f>
        <v>Under Treatment</v>
      </c>
      <c r="R411" s="3" t="str">
        <f>IF(Table1[[#This Row],[Test Results]]&gt;120,"High Risk","Normal")</f>
        <v>High Risk</v>
      </c>
      <c r="S411" s="3" t="str">
        <f>IF(Table1[[#This Row],[Age]]&lt;=18,"0-18",IF(Table1[[#This Row],[Age]]&lt;=35,"19-35",IF(Table1[[#This Row],[Age]]&lt;=50,"36-50",IF(Table1[[#This Row],[Age]]&lt;=65,"51-65","65+"))))</f>
        <v>36-50</v>
      </c>
    </row>
    <row r="412" spans="1:19" x14ac:dyDescent="0.3">
      <c r="A412" s="3" t="s">
        <v>1275</v>
      </c>
      <c r="B412" s="3">
        <v>70</v>
      </c>
      <c r="C412" s="3" t="s">
        <v>16</v>
      </c>
      <c r="D412" s="3" t="s">
        <v>103</v>
      </c>
      <c r="E412" s="3" t="s">
        <v>93</v>
      </c>
      <c r="F412" s="4">
        <v>44497</v>
      </c>
      <c r="G412" s="3" t="s">
        <v>1276</v>
      </c>
      <c r="H412" s="3" t="s">
        <v>1277</v>
      </c>
      <c r="I412" s="3" t="s">
        <v>57</v>
      </c>
      <c r="J412" s="5">
        <v>38572.169477915697</v>
      </c>
      <c r="K412" s="3">
        <v>123</v>
      </c>
      <c r="L412" s="3" t="s">
        <v>31</v>
      </c>
      <c r="M412" s="4">
        <v>44500</v>
      </c>
      <c r="N412" s="3" t="s">
        <v>32</v>
      </c>
      <c r="O412" s="3" t="s">
        <v>33</v>
      </c>
      <c r="P412" s="3" t="str">
        <f>IF(Table1[[#This Row],[Billing Amount]]&lt;5000,"Low",IF(Table1[[#This Row],[Billing Amount]]&lt;=15000,"Medium","High"))</f>
        <v>High</v>
      </c>
      <c r="Q412" s="3" t="str">
        <f>IF(Table1[[#This Row],[Discharge Date]]="Yes","Discharged","Under Treatment")</f>
        <v>Under Treatment</v>
      </c>
      <c r="R412" s="3" t="str">
        <f>IF(Table1[[#This Row],[Test Results]]&gt;120,"High Risk","Normal")</f>
        <v>High Risk</v>
      </c>
      <c r="S412" s="3" t="str">
        <f>IF(Table1[[#This Row],[Age]]&lt;=18,"0-18",IF(Table1[[#This Row],[Age]]&lt;=35,"19-35",IF(Table1[[#This Row],[Age]]&lt;=50,"36-50",IF(Table1[[#This Row],[Age]]&lt;=65,"51-65","65+"))))</f>
        <v>65+</v>
      </c>
    </row>
    <row r="413" spans="1:19" x14ac:dyDescent="0.3">
      <c r="A413" s="3" t="s">
        <v>1278</v>
      </c>
      <c r="B413" s="3">
        <v>25</v>
      </c>
      <c r="C413" s="3" t="s">
        <v>16</v>
      </c>
      <c r="D413" s="3" t="s">
        <v>42</v>
      </c>
      <c r="E413" s="3" t="s">
        <v>43</v>
      </c>
      <c r="F413" s="4">
        <v>44476</v>
      </c>
      <c r="G413" s="3" t="s">
        <v>1279</v>
      </c>
      <c r="H413" s="3" t="s">
        <v>1280</v>
      </c>
      <c r="I413" s="3" t="s">
        <v>30</v>
      </c>
      <c r="J413" s="5">
        <v>38716.355934862499</v>
      </c>
      <c r="K413" s="3">
        <v>283</v>
      </c>
      <c r="L413" s="3" t="s">
        <v>31</v>
      </c>
      <c r="M413" s="4">
        <v>44506</v>
      </c>
      <c r="N413" s="3" t="s">
        <v>32</v>
      </c>
      <c r="O413" s="3" t="s">
        <v>24</v>
      </c>
      <c r="P413" s="3" t="str">
        <f>IF(Table1[[#This Row],[Billing Amount]]&lt;5000,"Low",IF(Table1[[#This Row],[Billing Amount]]&lt;=15000,"Medium","High"))</f>
        <v>High</v>
      </c>
      <c r="Q413" s="3" t="str">
        <f>IF(Table1[[#This Row],[Discharge Date]]="Yes","Discharged","Under Treatment")</f>
        <v>Under Treatment</v>
      </c>
      <c r="R413" s="3" t="str">
        <f>IF(Table1[[#This Row],[Test Results]]&gt;120,"High Risk","Normal")</f>
        <v>High Risk</v>
      </c>
      <c r="S413" s="3" t="str">
        <f>IF(Table1[[#This Row],[Age]]&lt;=18,"0-18",IF(Table1[[#This Row],[Age]]&lt;=35,"19-35",IF(Table1[[#This Row],[Age]]&lt;=50,"36-50",IF(Table1[[#This Row],[Age]]&lt;=65,"51-65","65+"))))</f>
        <v>19-35</v>
      </c>
    </row>
    <row r="414" spans="1:19" x14ac:dyDescent="0.3">
      <c r="A414" s="3" t="s">
        <v>1281</v>
      </c>
      <c r="B414" s="3">
        <v>20</v>
      </c>
      <c r="C414" s="3" t="s">
        <v>16</v>
      </c>
      <c r="D414" s="3" t="s">
        <v>36</v>
      </c>
      <c r="E414" s="3" t="s">
        <v>43</v>
      </c>
      <c r="F414" s="4">
        <v>44315</v>
      </c>
      <c r="G414" s="3" t="s">
        <v>1282</v>
      </c>
      <c r="H414" s="3" t="s">
        <v>1283</v>
      </c>
      <c r="I414" s="3" t="s">
        <v>39</v>
      </c>
      <c r="J414" s="5">
        <v>13666.2833707318</v>
      </c>
      <c r="K414" s="3">
        <v>471</v>
      </c>
      <c r="L414" s="3" t="s">
        <v>46</v>
      </c>
      <c r="M414" s="4">
        <v>44333</v>
      </c>
      <c r="N414" s="3" t="s">
        <v>23</v>
      </c>
      <c r="O414" s="3" t="s">
        <v>33</v>
      </c>
      <c r="P414" s="3" t="str">
        <f>IF(Table1[[#This Row],[Billing Amount]]&lt;5000,"Low",IF(Table1[[#This Row],[Billing Amount]]&lt;=15000,"Medium","High"))</f>
        <v>Medium</v>
      </c>
      <c r="Q414" s="3" t="str">
        <f>IF(Table1[[#This Row],[Discharge Date]]="Yes","Discharged","Under Treatment")</f>
        <v>Under Treatment</v>
      </c>
      <c r="R414" s="3" t="str">
        <f>IF(Table1[[#This Row],[Test Results]]&gt;120,"High Risk","Normal")</f>
        <v>High Risk</v>
      </c>
      <c r="S414" s="3" t="str">
        <f>IF(Table1[[#This Row],[Age]]&lt;=18,"0-18",IF(Table1[[#This Row],[Age]]&lt;=35,"19-35",IF(Table1[[#This Row],[Age]]&lt;=50,"36-50",IF(Table1[[#This Row],[Age]]&lt;=65,"51-65","65+"))))</f>
        <v>19-35</v>
      </c>
    </row>
    <row r="415" spans="1:19" x14ac:dyDescent="0.3">
      <c r="A415" s="3" t="s">
        <v>1284</v>
      </c>
      <c r="B415" s="3">
        <v>73</v>
      </c>
      <c r="C415" s="3" t="s">
        <v>35</v>
      </c>
      <c r="D415" s="3" t="s">
        <v>59</v>
      </c>
      <c r="E415" s="3" t="s">
        <v>43</v>
      </c>
      <c r="F415" s="4">
        <v>43597</v>
      </c>
      <c r="G415" s="3" t="s">
        <v>1285</v>
      </c>
      <c r="H415" s="3" t="s">
        <v>1286</v>
      </c>
      <c r="I415" s="3" t="s">
        <v>65</v>
      </c>
      <c r="J415" s="5">
        <v>30753.688823307701</v>
      </c>
      <c r="K415" s="3">
        <v>236</v>
      </c>
      <c r="L415" s="3" t="s">
        <v>46</v>
      </c>
      <c r="M415" s="4">
        <v>43623</v>
      </c>
      <c r="N415" s="3" t="s">
        <v>79</v>
      </c>
      <c r="O415" s="3" t="s">
        <v>47</v>
      </c>
      <c r="P415" s="3" t="str">
        <f>IF(Table1[[#This Row],[Billing Amount]]&lt;5000,"Low",IF(Table1[[#This Row],[Billing Amount]]&lt;=15000,"Medium","High"))</f>
        <v>High</v>
      </c>
      <c r="Q415" s="3" t="str">
        <f>IF(Table1[[#This Row],[Discharge Date]]="Yes","Discharged","Under Treatment")</f>
        <v>Under Treatment</v>
      </c>
      <c r="R415" s="3" t="str">
        <f>IF(Table1[[#This Row],[Test Results]]&gt;120,"High Risk","Normal")</f>
        <v>High Risk</v>
      </c>
      <c r="S415" s="3" t="str">
        <f>IF(Table1[[#This Row],[Age]]&lt;=18,"0-18",IF(Table1[[#This Row],[Age]]&lt;=35,"19-35",IF(Table1[[#This Row],[Age]]&lt;=50,"36-50",IF(Table1[[#This Row],[Age]]&lt;=65,"51-65","65+"))))</f>
        <v>65+</v>
      </c>
    </row>
    <row r="416" spans="1:19" x14ac:dyDescent="0.3">
      <c r="A416" s="3" t="s">
        <v>1287</v>
      </c>
      <c r="B416" s="3">
        <v>82</v>
      </c>
      <c r="C416" s="3" t="s">
        <v>16</v>
      </c>
      <c r="D416" s="3" t="s">
        <v>17</v>
      </c>
      <c r="E416" s="3" t="s">
        <v>27</v>
      </c>
      <c r="F416" s="4">
        <v>44451</v>
      </c>
      <c r="G416" s="3" t="s">
        <v>1288</v>
      </c>
      <c r="H416" s="3" t="s">
        <v>1289</v>
      </c>
      <c r="I416" s="3" t="s">
        <v>57</v>
      </c>
      <c r="J416" s="5">
        <v>44278.231656776297</v>
      </c>
      <c r="K416" s="3">
        <v>295</v>
      </c>
      <c r="L416" s="3" t="s">
        <v>46</v>
      </c>
      <c r="M416" s="4">
        <v>44456</v>
      </c>
      <c r="N416" s="3" t="s">
        <v>40</v>
      </c>
      <c r="O416" s="3" t="s">
        <v>33</v>
      </c>
      <c r="P416" s="3" t="str">
        <f>IF(Table1[[#This Row],[Billing Amount]]&lt;5000,"Low",IF(Table1[[#This Row],[Billing Amount]]&lt;=15000,"Medium","High"))</f>
        <v>High</v>
      </c>
      <c r="Q416" s="3" t="str">
        <f>IF(Table1[[#This Row],[Discharge Date]]="Yes","Discharged","Under Treatment")</f>
        <v>Under Treatment</v>
      </c>
      <c r="R416" s="3" t="str">
        <f>IF(Table1[[#This Row],[Test Results]]&gt;120,"High Risk","Normal")</f>
        <v>High Risk</v>
      </c>
      <c r="S416" s="3" t="str">
        <f>IF(Table1[[#This Row],[Age]]&lt;=18,"0-18",IF(Table1[[#This Row],[Age]]&lt;=35,"19-35",IF(Table1[[#This Row],[Age]]&lt;=50,"36-50",IF(Table1[[#This Row],[Age]]&lt;=65,"51-65","65+"))))</f>
        <v>65+</v>
      </c>
    </row>
    <row r="417" spans="1:19" x14ac:dyDescent="0.3">
      <c r="A417" s="3" t="s">
        <v>1290</v>
      </c>
      <c r="B417" s="3">
        <v>31</v>
      </c>
      <c r="C417" s="3" t="s">
        <v>16</v>
      </c>
      <c r="D417" s="3" t="s">
        <v>103</v>
      </c>
      <c r="E417" s="3" t="s">
        <v>43</v>
      </c>
      <c r="F417" s="4">
        <v>44221</v>
      </c>
      <c r="G417" s="3" t="s">
        <v>1291</v>
      </c>
      <c r="H417" s="3" t="s">
        <v>1292</v>
      </c>
      <c r="I417" s="3" t="s">
        <v>39</v>
      </c>
      <c r="J417" s="5">
        <v>6267.5405617180704</v>
      </c>
      <c r="K417" s="3">
        <v>140</v>
      </c>
      <c r="L417" s="3" t="s">
        <v>22</v>
      </c>
      <c r="M417" s="4">
        <v>44223</v>
      </c>
      <c r="N417" s="3" t="s">
        <v>32</v>
      </c>
      <c r="O417" s="3" t="s">
        <v>24</v>
      </c>
      <c r="P417" s="3" t="str">
        <f>IF(Table1[[#This Row],[Billing Amount]]&lt;5000,"Low",IF(Table1[[#This Row],[Billing Amount]]&lt;=15000,"Medium","High"))</f>
        <v>Medium</v>
      </c>
      <c r="Q417" s="3" t="str">
        <f>IF(Table1[[#This Row],[Discharge Date]]="Yes","Discharged","Under Treatment")</f>
        <v>Under Treatment</v>
      </c>
      <c r="R417" s="3" t="str">
        <f>IF(Table1[[#This Row],[Test Results]]&gt;120,"High Risk","Normal")</f>
        <v>High Risk</v>
      </c>
      <c r="S417" s="3" t="str">
        <f>IF(Table1[[#This Row],[Age]]&lt;=18,"0-18",IF(Table1[[#This Row],[Age]]&lt;=35,"19-35",IF(Table1[[#This Row],[Age]]&lt;=50,"36-50",IF(Table1[[#This Row],[Age]]&lt;=65,"51-65","65+"))))</f>
        <v>19-35</v>
      </c>
    </row>
    <row r="418" spans="1:19" x14ac:dyDescent="0.3">
      <c r="A418" s="3" t="s">
        <v>1293</v>
      </c>
      <c r="B418" s="3">
        <v>38</v>
      </c>
      <c r="C418" s="3" t="s">
        <v>35</v>
      </c>
      <c r="D418" s="3" t="s">
        <v>17</v>
      </c>
      <c r="E418" s="3" t="s">
        <v>54</v>
      </c>
      <c r="F418" s="4">
        <v>44732</v>
      </c>
      <c r="G418" s="3" t="s">
        <v>1294</v>
      </c>
      <c r="H418" s="3" t="s">
        <v>1295</v>
      </c>
      <c r="I418" s="3" t="s">
        <v>21</v>
      </c>
      <c r="J418" s="5">
        <v>33171.030088757099</v>
      </c>
      <c r="K418" s="3">
        <v>319</v>
      </c>
      <c r="L418" s="3" t="s">
        <v>46</v>
      </c>
      <c r="M418" s="4">
        <v>44756</v>
      </c>
      <c r="N418" s="3" t="s">
        <v>40</v>
      </c>
      <c r="O418" s="3" t="s">
        <v>33</v>
      </c>
      <c r="P418" s="3" t="str">
        <f>IF(Table1[[#This Row],[Billing Amount]]&lt;5000,"Low",IF(Table1[[#This Row],[Billing Amount]]&lt;=15000,"Medium","High"))</f>
        <v>High</v>
      </c>
      <c r="Q418" s="3" t="str">
        <f>IF(Table1[[#This Row],[Discharge Date]]="Yes","Discharged","Under Treatment")</f>
        <v>Under Treatment</v>
      </c>
      <c r="R418" s="3" t="str">
        <f>IF(Table1[[#This Row],[Test Results]]&gt;120,"High Risk","Normal")</f>
        <v>High Risk</v>
      </c>
      <c r="S418" s="3" t="str">
        <f>IF(Table1[[#This Row],[Age]]&lt;=18,"0-18",IF(Table1[[#This Row],[Age]]&lt;=35,"19-35",IF(Table1[[#This Row],[Age]]&lt;=50,"36-50",IF(Table1[[#This Row],[Age]]&lt;=65,"51-65","65+"))))</f>
        <v>36-50</v>
      </c>
    </row>
    <row r="419" spans="1:19" x14ac:dyDescent="0.3">
      <c r="A419" s="3" t="s">
        <v>1296</v>
      </c>
      <c r="B419" s="3">
        <v>63</v>
      </c>
      <c r="C419" s="3" t="s">
        <v>35</v>
      </c>
      <c r="D419" s="3" t="s">
        <v>59</v>
      </c>
      <c r="E419" s="3" t="s">
        <v>18</v>
      </c>
      <c r="F419" s="4">
        <v>44151</v>
      </c>
      <c r="G419" s="3" t="s">
        <v>1297</v>
      </c>
      <c r="H419" s="3" t="s">
        <v>1298</v>
      </c>
      <c r="I419" s="3" t="s">
        <v>57</v>
      </c>
      <c r="J419" s="5">
        <v>44984.241556250301</v>
      </c>
      <c r="K419" s="3">
        <v>124</v>
      </c>
      <c r="L419" s="3" t="s">
        <v>46</v>
      </c>
      <c r="M419" s="4">
        <v>44171</v>
      </c>
      <c r="N419" s="3" t="s">
        <v>23</v>
      </c>
      <c r="O419" s="3" t="s">
        <v>24</v>
      </c>
      <c r="P419" s="3" t="str">
        <f>IF(Table1[[#This Row],[Billing Amount]]&lt;5000,"Low",IF(Table1[[#This Row],[Billing Amount]]&lt;=15000,"Medium","High"))</f>
        <v>High</v>
      </c>
      <c r="Q419" s="3" t="str">
        <f>IF(Table1[[#This Row],[Discharge Date]]="Yes","Discharged","Under Treatment")</f>
        <v>Under Treatment</v>
      </c>
      <c r="R419" s="3" t="str">
        <f>IF(Table1[[#This Row],[Test Results]]&gt;120,"High Risk","Normal")</f>
        <v>High Risk</v>
      </c>
      <c r="S419" s="3" t="str">
        <f>IF(Table1[[#This Row],[Age]]&lt;=18,"0-18",IF(Table1[[#This Row],[Age]]&lt;=35,"19-35",IF(Table1[[#This Row],[Age]]&lt;=50,"36-50",IF(Table1[[#This Row],[Age]]&lt;=65,"51-65","65+"))))</f>
        <v>51-65</v>
      </c>
    </row>
    <row r="420" spans="1:19" x14ac:dyDescent="0.3">
      <c r="A420" s="3" t="s">
        <v>1299</v>
      </c>
      <c r="B420" s="3">
        <v>62</v>
      </c>
      <c r="C420" s="3" t="s">
        <v>35</v>
      </c>
      <c r="D420" s="3" t="s">
        <v>17</v>
      </c>
      <c r="E420" s="3" t="s">
        <v>27</v>
      </c>
      <c r="F420" s="4">
        <v>44113</v>
      </c>
      <c r="G420" s="3" t="s">
        <v>1300</v>
      </c>
      <c r="H420" s="3" t="s">
        <v>1301</v>
      </c>
      <c r="I420" s="3" t="s">
        <v>65</v>
      </c>
      <c r="J420" s="5">
        <v>27091.8603731937</v>
      </c>
      <c r="K420" s="3">
        <v>315</v>
      </c>
      <c r="L420" s="3" t="s">
        <v>22</v>
      </c>
      <c r="M420" s="4">
        <v>44118</v>
      </c>
      <c r="N420" s="3" t="s">
        <v>32</v>
      </c>
      <c r="O420" s="3" t="s">
        <v>33</v>
      </c>
      <c r="P420" s="3" t="str">
        <f>IF(Table1[[#This Row],[Billing Amount]]&lt;5000,"Low",IF(Table1[[#This Row],[Billing Amount]]&lt;=15000,"Medium","High"))</f>
        <v>High</v>
      </c>
      <c r="Q420" s="3" t="str">
        <f>IF(Table1[[#This Row],[Discharge Date]]="Yes","Discharged","Under Treatment")</f>
        <v>Under Treatment</v>
      </c>
      <c r="R420" s="3" t="str">
        <f>IF(Table1[[#This Row],[Test Results]]&gt;120,"High Risk","Normal")</f>
        <v>High Risk</v>
      </c>
      <c r="S420" s="3" t="str">
        <f>IF(Table1[[#This Row],[Age]]&lt;=18,"0-18",IF(Table1[[#This Row],[Age]]&lt;=35,"19-35",IF(Table1[[#This Row],[Age]]&lt;=50,"36-50",IF(Table1[[#This Row],[Age]]&lt;=65,"51-65","65+"))))</f>
        <v>51-65</v>
      </c>
    </row>
    <row r="421" spans="1:19" x14ac:dyDescent="0.3">
      <c r="A421" s="3" t="s">
        <v>1302</v>
      </c>
      <c r="B421" s="3">
        <v>80</v>
      </c>
      <c r="C421" s="3" t="s">
        <v>16</v>
      </c>
      <c r="D421" s="3" t="s">
        <v>42</v>
      </c>
      <c r="E421" s="3" t="s">
        <v>27</v>
      </c>
      <c r="F421" s="4">
        <v>45272</v>
      </c>
      <c r="G421" s="3" t="s">
        <v>1303</v>
      </c>
      <c r="H421" s="3" t="s">
        <v>1304</v>
      </c>
      <c r="I421" s="3" t="s">
        <v>57</v>
      </c>
      <c r="J421" s="5">
        <v>32387.925148602299</v>
      </c>
      <c r="K421" s="3">
        <v>264</v>
      </c>
      <c r="L421" s="3" t="s">
        <v>22</v>
      </c>
      <c r="M421" s="4">
        <v>45287</v>
      </c>
      <c r="N421" s="3" t="s">
        <v>32</v>
      </c>
      <c r="O421" s="3" t="s">
        <v>24</v>
      </c>
      <c r="P421" s="3" t="str">
        <f>IF(Table1[[#This Row],[Billing Amount]]&lt;5000,"Low",IF(Table1[[#This Row],[Billing Amount]]&lt;=15000,"Medium","High"))</f>
        <v>High</v>
      </c>
      <c r="Q421" s="3" t="str">
        <f>IF(Table1[[#This Row],[Discharge Date]]="Yes","Discharged","Under Treatment")</f>
        <v>Under Treatment</v>
      </c>
      <c r="R421" s="3" t="str">
        <f>IF(Table1[[#This Row],[Test Results]]&gt;120,"High Risk","Normal")</f>
        <v>High Risk</v>
      </c>
      <c r="S421" s="3" t="str">
        <f>IF(Table1[[#This Row],[Age]]&lt;=18,"0-18",IF(Table1[[#This Row],[Age]]&lt;=35,"19-35",IF(Table1[[#This Row],[Age]]&lt;=50,"36-50",IF(Table1[[#This Row],[Age]]&lt;=65,"51-65","65+"))))</f>
        <v>65+</v>
      </c>
    </row>
    <row r="422" spans="1:19" x14ac:dyDescent="0.3">
      <c r="A422" s="3" t="s">
        <v>1305</v>
      </c>
      <c r="B422" s="3">
        <v>25</v>
      </c>
      <c r="C422" s="3" t="s">
        <v>35</v>
      </c>
      <c r="D422" s="3" t="s">
        <v>59</v>
      </c>
      <c r="E422" s="3" t="s">
        <v>18</v>
      </c>
      <c r="F422" s="4">
        <v>44726</v>
      </c>
      <c r="G422" s="3" t="s">
        <v>1306</v>
      </c>
      <c r="H422" s="3" t="s">
        <v>1307</v>
      </c>
      <c r="I422" s="3" t="s">
        <v>65</v>
      </c>
      <c r="J422" s="5">
        <v>32905.476793801201</v>
      </c>
      <c r="K422" s="3">
        <v>289</v>
      </c>
      <c r="L422" s="3" t="s">
        <v>31</v>
      </c>
      <c r="M422" s="4">
        <v>44745</v>
      </c>
      <c r="N422" s="3" t="s">
        <v>79</v>
      </c>
      <c r="O422" s="3" t="s">
        <v>47</v>
      </c>
      <c r="P422" s="3" t="str">
        <f>IF(Table1[[#This Row],[Billing Amount]]&lt;5000,"Low",IF(Table1[[#This Row],[Billing Amount]]&lt;=15000,"Medium","High"))</f>
        <v>High</v>
      </c>
      <c r="Q422" s="3" t="str">
        <f>IF(Table1[[#This Row],[Discharge Date]]="Yes","Discharged","Under Treatment")</f>
        <v>Under Treatment</v>
      </c>
      <c r="R422" s="3" t="str">
        <f>IF(Table1[[#This Row],[Test Results]]&gt;120,"High Risk","Normal")</f>
        <v>High Risk</v>
      </c>
      <c r="S422" s="3" t="str">
        <f>IF(Table1[[#This Row],[Age]]&lt;=18,"0-18",IF(Table1[[#This Row],[Age]]&lt;=35,"19-35",IF(Table1[[#This Row],[Age]]&lt;=50,"36-50",IF(Table1[[#This Row],[Age]]&lt;=65,"51-65","65+"))))</f>
        <v>19-35</v>
      </c>
    </row>
    <row r="423" spans="1:19" x14ac:dyDescent="0.3">
      <c r="A423" s="3" t="s">
        <v>1308</v>
      </c>
      <c r="B423" s="3">
        <v>51</v>
      </c>
      <c r="C423" s="3" t="s">
        <v>16</v>
      </c>
      <c r="D423" s="3" t="s">
        <v>36</v>
      </c>
      <c r="E423" s="3" t="s">
        <v>43</v>
      </c>
      <c r="F423" s="4">
        <v>44980</v>
      </c>
      <c r="G423" s="3" t="s">
        <v>1309</v>
      </c>
      <c r="H423" s="3" t="s">
        <v>1310</v>
      </c>
      <c r="I423" s="3" t="s">
        <v>21</v>
      </c>
      <c r="J423" s="5">
        <v>1332.3384328468901</v>
      </c>
      <c r="K423" s="3">
        <v>489</v>
      </c>
      <c r="L423" s="3" t="s">
        <v>31</v>
      </c>
      <c r="M423" s="4">
        <v>45003</v>
      </c>
      <c r="N423" s="3" t="s">
        <v>40</v>
      </c>
      <c r="O423" s="3" t="s">
        <v>47</v>
      </c>
      <c r="P423" s="3" t="str">
        <f>IF(Table1[[#This Row],[Billing Amount]]&lt;5000,"Low",IF(Table1[[#This Row],[Billing Amount]]&lt;=15000,"Medium","High"))</f>
        <v>Low</v>
      </c>
      <c r="Q423" s="3" t="str">
        <f>IF(Table1[[#This Row],[Discharge Date]]="Yes","Discharged","Under Treatment")</f>
        <v>Under Treatment</v>
      </c>
      <c r="R423" s="3" t="str">
        <f>IF(Table1[[#This Row],[Test Results]]&gt;120,"High Risk","Normal")</f>
        <v>High Risk</v>
      </c>
      <c r="S423" s="3" t="str">
        <f>IF(Table1[[#This Row],[Age]]&lt;=18,"0-18",IF(Table1[[#This Row],[Age]]&lt;=35,"19-35",IF(Table1[[#This Row],[Age]]&lt;=50,"36-50",IF(Table1[[#This Row],[Age]]&lt;=65,"51-65","65+"))))</f>
        <v>51-65</v>
      </c>
    </row>
    <row r="424" spans="1:19" x14ac:dyDescent="0.3">
      <c r="A424" s="3" t="s">
        <v>1311</v>
      </c>
      <c r="B424" s="3">
        <v>46</v>
      </c>
      <c r="C424" s="3" t="s">
        <v>35</v>
      </c>
      <c r="D424" s="3" t="s">
        <v>49</v>
      </c>
      <c r="E424" s="3" t="s">
        <v>27</v>
      </c>
      <c r="F424" s="4">
        <v>45407</v>
      </c>
      <c r="G424" s="3" t="s">
        <v>1312</v>
      </c>
      <c r="H424" s="3" t="s">
        <v>1313</v>
      </c>
      <c r="I424" s="3" t="s">
        <v>39</v>
      </c>
      <c r="J424" s="5">
        <v>17702.569386018298</v>
      </c>
      <c r="K424" s="3">
        <v>385</v>
      </c>
      <c r="L424" s="3" t="s">
        <v>22</v>
      </c>
      <c r="M424" s="4">
        <v>45424</v>
      </c>
      <c r="N424" s="3" t="s">
        <v>32</v>
      </c>
      <c r="O424" s="3" t="s">
        <v>33</v>
      </c>
      <c r="P424" s="3" t="str">
        <f>IF(Table1[[#This Row],[Billing Amount]]&lt;5000,"Low",IF(Table1[[#This Row],[Billing Amount]]&lt;=15000,"Medium","High"))</f>
        <v>High</v>
      </c>
      <c r="Q424" s="3" t="str">
        <f>IF(Table1[[#This Row],[Discharge Date]]="Yes","Discharged","Under Treatment")</f>
        <v>Under Treatment</v>
      </c>
      <c r="R424" s="3" t="str">
        <f>IF(Table1[[#This Row],[Test Results]]&gt;120,"High Risk","Normal")</f>
        <v>High Risk</v>
      </c>
      <c r="S424" s="3" t="str">
        <f>IF(Table1[[#This Row],[Age]]&lt;=18,"0-18",IF(Table1[[#This Row],[Age]]&lt;=35,"19-35",IF(Table1[[#This Row],[Age]]&lt;=50,"36-50",IF(Table1[[#This Row],[Age]]&lt;=65,"51-65","65+"))))</f>
        <v>36-50</v>
      </c>
    </row>
    <row r="425" spans="1:19" x14ac:dyDescent="0.3">
      <c r="A425" s="3" t="s">
        <v>1314</v>
      </c>
      <c r="B425" s="3">
        <v>18</v>
      </c>
      <c r="C425" s="3" t="s">
        <v>35</v>
      </c>
      <c r="D425" s="3" t="s">
        <v>26</v>
      </c>
      <c r="E425" s="3" t="s">
        <v>54</v>
      </c>
      <c r="F425" s="4">
        <v>44720</v>
      </c>
      <c r="G425" s="3" t="s">
        <v>1315</v>
      </c>
      <c r="H425" s="3" t="s">
        <v>1316</v>
      </c>
      <c r="I425" s="3" t="s">
        <v>57</v>
      </c>
      <c r="J425" s="5">
        <v>33443.552486150104</v>
      </c>
      <c r="K425" s="3">
        <v>342</v>
      </c>
      <c r="L425" s="3" t="s">
        <v>31</v>
      </c>
      <c r="M425" s="4">
        <v>44734</v>
      </c>
      <c r="N425" s="3" t="s">
        <v>52</v>
      </c>
      <c r="O425" s="3" t="s">
        <v>24</v>
      </c>
      <c r="P425" s="3" t="str">
        <f>IF(Table1[[#This Row],[Billing Amount]]&lt;5000,"Low",IF(Table1[[#This Row],[Billing Amount]]&lt;=15000,"Medium","High"))</f>
        <v>High</v>
      </c>
      <c r="Q425" s="3" t="str">
        <f>IF(Table1[[#This Row],[Discharge Date]]="Yes","Discharged","Under Treatment")</f>
        <v>Under Treatment</v>
      </c>
      <c r="R425" s="3" t="str">
        <f>IF(Table1[[#This Row],[Test Results]]&gt;120,"High Risk","Normal")</f>
        <v>High Risk</v>
      </c>
      <c r="S425" s="3" t="str">
        <f>IF(Table1[[#This Row],[Age]]&lt;=18,"0-18",IF(Table1[[#This Row],[Age]]&lt;=35,"19-35",IF(Table1[[#This Row],[Age]]&lt;=50,"36-50",IF(Table1[[#This Row],[Age]]&lt;=65,"51-65","65+"))))</f>
        <v>0-18</v>
      </c>
    </row>
    <row r="426" spans="1:19" x14ac:dyDescent="0.3">
      <c r="A426" s="3" t="s">
        <v>1317</v>
      </c>
      <c r="B426" s="3">
        <v>28</v>
      </c>
      <c r="C426" s="3" t="s">
        <v>35</v>
      </c>
      <c r="D426" s="3" t="s">
        <v>17</v>
      </c>
      <c r="E426" s="3" t="s">
        <v>76</v>
      </c>
      <c r="F426" s="4">
        <v>44723</v>
      </c>
      <c r="G426" s="3" t="s">
        <v>1318</v>
      </c>
      <c r="H426" s="3" t="s">
        <v>1319</v>
      </c>
      <c r="I426" s="3" t="s">
        <v>57</v>
      </c>
      <c r="J426" s="5">
        <v>31326.726717212299</v>
      </c>
      <c r="K426" s="3">
        <v>299</v>
      </c>
      <c r="L426" s="3" t="s">
        <v>31</v>
      </c>
      <c r="M426" s="4">
        <v>44740</v>
      </c>
      <c r="N426" s="3" t="s">
        <v>23</v>
      </c>
      <c r="O426" s="3" t="s">
        <v>47</v>
      </c>
      <c r="P426" s="3" t="str">
        <f>IF(Table1[[#This Row],[Billing Amount]]&lt;5000,"Low",IF(Table1[[#This Row],[Billing Amount]]&lt;=15000,"Medium","High"))</f>
        <v>High</v>
      </c>
      <c r="Q426" s="3" t="str">
        <f>IF(Table1[[#This Row],[Discharge Date]]="Yes","Discharged","Under Treatment")</f>
        <v>Under Treatment</v>
      </c>
      <c r="R426" s="3" t="str">
        <f>IF(Table1[[#This Row],[Test Results]]&gt;120,"High Risk","Normal")</f>
        <v>High Risk</v>
      </c>
      <c r="S426" s="3" t="str">
        <f>IF(Table1[[#This Row],[Age]]&lt;=18,"0-18",IF(Table1[[#This Row],[Age]]&lt;=35,"19-35",IF(Table1[[#This Row],[Age]]&lt;=50,"36-50",IF(Table1[[#This Row],[Age]]&lt;=65,"51-65","65+"))))</f>
        <v>19-35</v>
      </c>
    </row>
    <row r="427" spans="1:19" x14ac:dyDescent="0.3">
      <c r="A427" s="3" t="s">
        <v>1320</v>
      </c>
      <c r="B427" s="3">
        <v>24</v>
      </c>
      <c r="C427" s="3" t="s">
        <v>16</v>
      </c>
      <c r="D427" s="3" t="s">
        <v>36</v>
      </c>
      <c r="E427" s="3" t="s">
        <v>54</v>
      </c>
      <c r="F427" s="4">
        <v>45370</v>
      </c>
      <c r="G427" s="3" t="s">
        <v>1321</v>
      </c>
      <c r="H427" s="3" t="s">
        <v>1322</v>
      </c>
      <c r="I427" s="3" t="s">
        <v>39</v>
      </c>
      <c r="J427" s="5">
        <v>18932.314667025501</v>
      </c>
      <c r="K427" s="3">
        <v>115</v>
      </c>
      <c r="L427" s="3" t="s">
        <v>46</v>
      </c>
      <c r="M427" s="4">
        <v>45384</v>
      </c>
      <c r="N427" s="3" t="s">
        <v>52</v>
      </c>
      <c r="O427" s="3" t="s">
        <v>33</v>
      </c>
      <c r="P427" s="3" t="str">
        <f>IF(Table1[[#This Row],[Billing Amount]]&lt;5000,"Low",IF(Table1[[#This Row],[Billing Amount]]&lt;=15000,"Medium","High"))</f>
        <v>High</v>
      </c>
      <c r="Q427" s="3" t="str">
        <f>IF(Table1[[#This Row],[Discharge Date]]="Yes","Discharged","Under Treatment")</f>
        <v>Under Treatment</v>
      </c>
      <c r="R427" s="3" t="str">
        <f>IF(Table1[[#This Row],[Test Results]]&gt;120,"High Risk","Normal")</f>
        <v>High Risk</v>
      </c>
      <c r="S427" s="3" t="str">
        <f>IF(Table1[[#This Row],[Age]]&lt;=18,"0-18",IF(Table1[[#This Row],[Age]]&lt;=35,"19-35",IF(Table1[[#This Row],[Age]]&lt;=50,"36-50",IF(Table1[[#This Row],[Age]]&lt;=65,"51-65","65+"))))</f>
        <v>19-35</v>
      </c>
    </row>
    <row r="428" spans="1:19" x14ac:dyDescent="0.3">
      <c r="A428" s="3" t="s">
        <v>1323</v>
      </c>
      <c r="B428" s="3">
        <v>55</v>
      </c>
      <c r="C428" s="3" t="s">
        <v>35</v>
      </c>
      <c r="D428" s="3" t="s">
        <v>59</v>
      </c>
      <c r="E428" s="3" t="s">
        <v>43</v>
      </c>
      <c r="F428" s="4">
        <v>45302</v>
      </c>
      <c r="G428" s="3" t="s">
        <v>1324</v>
      </c>
      <c r="H428" s="3" t="s">
        <v>1325</v>
      </c>
      <c r="I428" s="3" t="s">
        <v>21</v>
      </c>
      <c r="J428" s="5">
        <v>22063.229031651201</v>
      </c>
      <c r="K428" s="3">
        <v>147</v>
      </c>
      <c r="L428" s="3" t="s">
        <v>46</v>
      </c>
      <c r="M428" s="4">
        <v>45321</v>
      </c>
      <c r="N428" s="3" t="s">
        <v>23</v>
      </c>
      <c r="O428" s="3" t="s">
        <v>33</v>
      </c>
      <c r="P428" s="3" t="str">
        <f>IF(Table1[[#This Row],[Billing Amount]]&lt;5000,"Low",IF(Table1[[#This Row],[Billing Amount]]&lt;=15000,"Medium","High"))</f>
        <v>High</v>
      </c>
      <c r="Q428" s="3" t="str">
        <f>IF(Table1[[#This Row],[Discharge Date]]="Yes","Discharged","Under Treatment")</f>
        <v>Under Treatment</v>
      </c>
      <c r="R428" s="3" t="str">
        <f>IF(Table1[[#This Row],[Test Results]]&gt;120,"High Risk","Normal")</f>
        <v>High Risk</v>
      </c>
      <c r="S428" s="3" t="str">
        <f>IF(Table1[[#This Row],[Age]]&lt;=18,"0-18",IF(Table1[[#This Row],[Age]]&lt;=35,"19-35",IF(Table1[[#This Row],[Age]]&lt;=50,"36-50",IF(Table1[[#This Row],[Age]]&lt;=65,"51-65","65+"))))</f>
        <v>51-65</v>
      </c>
    </row>
    <row r="429" spans="1:19" x14ac:dyDescent="0.3">
      <c r="A429" s="3" t="s">
        <v>1326</v>
      </c>
      <c r="B429" s="3">
        <v>41</v>
      </c>
      <c r="C429" s="3" t="s">
        <v>35</v>
      </c>
      <c r="D429" s="3" t="s">
        <v>26</v>
      </c>
      <c r="E429" s="3" t="s">
        <v>18</v>
      </c>
      <c r="F429" s="4">
        <v>44373</v>
      </c>
      <c r="G429" s="3" t="s">
        <v>1327</v>
      </c>
      <c r="H429" s="3" t="s">
        <v>1328</v>
      </c>
      <c r="I429" s="3" t="s">
        <v>30</v>
      </c>
      <c r="J429" s="5">
        <v>20714.7067340701</v>
      </c>
      <c r="K429" s="3">
        <v>234</v>
      </c>
      <c r="L429" s="3" t="s">
        <v>22</v>
      </c>
      <c r="M429" s="4">
        <v>44398</v>
      </c>
      <c r="N429" s="3" t="s">
        <v>79</v>
      </c>
      <c r="O429" s="3" t="s">
        <v>33</v>
      </c>
      <c r="P429" s="3" t="str">
        <f>IF(Table1[[#This Row],[Billing Amount]]&lt;5000,"Low",IF(Table1[[#This Row],[Billing Amount]]&lt;=15000,"Medium","High"))</f>
        <v>High</v>
      </c>
      <c r="Q429" s="3" t="str">
        <f>IF(Table1[[#This Row],[Discharge Date]]="Yes","Discharged","Under Treatment")</f>
        <v>Under Treatment</v>
      </c>
      <c r="R429" s="3" t="str">
        <f>IF(Table1[[#This Row],[Test Results]]&gt;120,"High Risk","Normal")</f>
        <v>High Risk</v>
      </c>
      <c r="S429" s="3" t="str">
        <f>IF(Table1[[#This Row],[Age]]&lt;=18,"0-18",IF(Table1[[#This Row],[Age]]&lt;=35,"19-35",IF(Table1[[#This Row],[Age]]&lt;=50,"36-50",IF(Table1[[#This Row],[Age]]&lt;=65,"51-65","65+"))))</f>
        <v>36-50</v>
      </c>
    </row>
    <row r="430" spans="1:19" x14ac:dyDescent="0.3">
      <c r="A430" s="3" t="s">
        <v>1329</v>
      </c>
      <c r="B430" s="3">
        <v>85</v>
      </c>
      <c r="C430" s="3" t="s">
        <v>16</v>
      </c>
      <c r="D430" s="3" t="s">
        <v>42</v>
      </c>
      <c r="E430" s="3" t="s">
        <v>54</v>
      </c>
      <c r="F430" s="4">
        <v>45310</v>
      </c>
      <c r="G430" s="3" t="s">
        <v>1330</v>
      </c>
      <c r="H430" s="3" t="s">
        <v>1331</v>
      </c>
      <c r="I430" s="3" t="s">
        <v>57</v>
      </c>
      <c r="J430" s="5">
        <v>34510.884904131002</v>
      </c>
      <c r="K430" s="3">
        <v>292</v>
      </c>
      <c r="L430" s="3" t="s">
        <v>46</v>
      </c>
      <c r="M430" s="4">
        <v>45327</v>
      </c>
      <c r="N430" s="3" t="s">
        <v>32</v>
      </c>
      <c r="O430" s="3" t="s">
        <v>33</v>
      </c>
      <c r="P430" s="3" t="str">
        <f>IF(Table1[[#This Row],[Billing Amount]]&lt;5000,"Low",IF(Table1[[#This Row],[Billing Amount]]&lt;=15000,"Medium","High"))</f>
        <v>High</v>
      </c>
      <c r="Q430" s="3" t="str">
        <f>IF(Table1[[#This Row],[Discharge Date]]="Yes","Discharged","Under Treatment")</f>
        <v>Under Treatment</v>
      </c>
      <c r="R430" s="3" t="str">
        <f>IF(Table1[[#This Row],[Test Results]]&gt;120,"High Risk","Normal")</f>
        <v>High Risk</v>
      </c>
      <c r="S430" s="3" t="str">
        <f>IF(Table1[[#This Row],[Age]]&lt;=18,"0-18",IF(Table1[[#This Row],[Age]]&lt;=35,"19-35",IF(Table1[[#This Row],[Age]]&lt;=50,"36-50",IF(Table1[[#This Row],[Age]]&lt;=65,"51-65","65+"))))</f>
        <v>65+</v>
      </c>
    </row>
    <row r="431" spans="1:19" x14ac:dyDescent="0.3">
      <c r="A431" s="3" t="s">
        <v>1332</v>
      </c>
      <c r="B431" s="3">
        <v>18</v>
      </c>
      <c r="C431" s="3" t="s">
        <v>16</v>
      </c>
      <c r="D431" s="3" t="s">
        <v>103</v>
      </c>
      <c r="E431" s="3" t="s">
        <v>43</v>
      </c>
      <c r="F431" s="4">
        <v>44387</v>
      </c>
      <c r="G431" s="3" t="s">
        <v>1333</v>
      </c>
      <c r="H431" s="3" t="s">
        <v>1334</v>
      </c>
      <c r="I431" s="3" t="s">
        <v>57</v>
      </c>
      <c r="J431" s="5">
        <v>30289.7049088163</v>
      </c>
      <c r="K431" s="3">
        <v>165</v>
      </c>
      <c r="L431" s="3" t="s">
        <v>31</v>
      </c>
      <c r="M431" s="4">
        <v>44389</v>
      </c>
      <c r="N431" s="3" t="s">
        <v>23</v>
      </c>
      <c r="O431" s="3" t="s">
        <v>24</v>
      </c>
      <c r="P431" s="3" t="str">
        <f>IF(Table1[[#This Row],[Billing Amount]]&lt;5000,"Low",IF(Table1[[#This Row],[Billing Amount]]&lt;=15000,"Medium","High"))</f>
        <v>High</v>
      </c>
      <c r="Q431" s="3" t="str">
        <f>IF(Table1[[#This Row],[Discharge Date]]="Yes","Discharged","Under Treatment")</f>
        <v>Under Treatment</v>
      </c>
      <c r="R431" s="3" t="str">
        <f>IF(Table1[[#This Row],[Test Results]]&gt;120,"High Risk","Normal")</f>
        <v>High Risk</v>
      </c>
      <c r="S431" s="3" t="str">
        <f>IF(Table1[[#This Row],[Age]]&lt;=18,"0-18",IF(Table1[[#This Row],[Age]]&lt;=35,"19-35",IF(Table1[[#This Row],[Age]]&lt;=50,"36-50",IF(Table1[[#This Row],[Age]]&lt;=65,"51-65","65+"))))</f>
        <v>0-18</v>
      </c>
    </row>
    <row r="432" spans="1:19" x14ac:dyDescent="0.3">
      <c r="A432" s="3" t="s">
        <v>1335</v>
      </c>
      <c r="B432" s="3">
        <v>60</v>
      </c>
      <c r="C432" s="3" t="s">
        <v>16</v>
      </c>
      <c r="D432" s="3" t="s">
        <v>17</v>
      </c>
      <c r="E432" s="3" t="s">
        <v>43</v>
      </c>
      <c r="F432" s="4">
        <v>44037</v>
      </c>
      <c r="G432" s="3" t="s">
        <v>1336</v>
      </c>
      <c r="H432" s="3" t="s">
        <v>1337</v>
      </c>
      <c r="I432" s="3" t="s">
        <v>30</v>
      </c>
      <c r="J432" s="5">
        <v>35317.493039750603</v>
      </c>
      <c r="K432" s="3">
        <v>431</v>
      </c>
      <c r="L432" s="3" t="s">
        <v>22</v>
      </c>
      <c r="M432" s="4">
        <v>44041</v>
      </c>
      <c r="N432" s="3" t="s">
        <v>79</v>
      </c>
      <c r="O432" s="3" t="s">
        <v>24</v>
      </c>
      <c r="P432" s="3" t="str">
        <f>IF(Table1[[#This Row],[Billing Amount]]&lt;5000,"Low",IF(Table1[[#This Row],[Billing Amount]]&lt;=15000,"Medium","High"))</f>
        <v>High</v>
      </c>
      <c r="Q432" s="3" t="str">
        <f>IF(Table1[[#This Row],[Discharge Date]]="Yes","Discharged","Under Treatment")</f>
        <v>Under Treatment</v>
      </c>
      <c r="R432" s="3" t="str">
        <f>IF(Table1[[#This Row],[Test Results]]&gt;120,"High Risk","Normal")</f>
        <v>High Risk</v>
      </c>
      <c r="S432" s="3" t="str">
        <f>IF(Table1[[#This Row],[Age]]&lt;=18,"0-18",IF(Table1[[#This Row],[Age]]&lt;=35,"19-35",IF(Table1[[#This Row],[Age]]&lt;=50,"36-50",IF(Table1[[#This Row],[Age]]&lt;=65,"51-65","65+"))))</f>
        <v>51-65</v>
      </c>
    </row>
    <row r="433" spans="1:19" x14ac:dyDescent="0.3">
      <c r="A433" s="3" t="s">
        <v>1338</v>
      </c>
      <c r="B433" s="3">
        <v>22</v>
      </c>
      <c r="C433" s="3" t="s">
        <v>35</v>
      </c>
      <c r="D433" s="3" t="s">
        <v>49</v>
      </c>
      <c r="E433" s="3" t="s">
        <v>27</v>
      </c>
      <c r="F433" s="4">
        <v>43725</v>
      </c>
      <c r="G433" s="3" t="s">
        <v>1339</v>
      </c>
      <c r="H433" s="3" t="s">
        <v>1340</v>
      </c>
      <c r="I433" s="3" t="s">
        <v>65</v>
      </c>
      <c r="J433" s="5">
        <v>8033.6116547124902</v>
      </c>
      <c r="K433" s="3">
        <v>293</v>
      </c>
      <c r="L433" s="3" t="s">
        <v>46</v>
      </c>
      <c r="M433" s="4">
        <v>43739</v>
      </c>
      <c r="N433" s="3" t="s">
        <v>79</v>
      </c>
      <c r="O433" s="3" t="s">
        <v>33</v>
      </c>
      <c r="P433" s="3" t="str">
        <f>IF(Table1[[#This Row],[Billing Amount]]&lt;5000,"Low",IF(Table1[[#This Row],[Billing Amount]]&lt;=15000,"Medium","High"))</f>
        <v>Medium</v>
      </c>
      <c r="Q433" s="3" t="str">
        <f>IF(Table1[[#This Row],[Discharge Date]]="Yes","Discharged","Under Treatment")</f>
        <v>Under Treatment</v>
      </c>
      <c r="R433" s="3" t="str">
        <f>IF(Table1[[#This Row],[Test Results]]&gt;120,"High Risk","Normal")</f>
        <v>High Risk</v>
      </c>
      <c r="S433" s="3" t="str">
        <f>IF(Table1[[#This Row],[Age]]&lt;=18,"0-18",IF(Table1[[#This Row],[Age]]&lt;=35,"19-35",IF(Table1[[#This Row],[Age]]&lt;=50,"36-50",IF(Table1[[#This Row],[Age]]&lt;=65,"51-65","65+"))))</f>
        <v>19-35</v>
      </c>
    </row>
    <row r="434" spans="1:19" x14ac:dyDescent="0.3">
      <c r="A434" s="3" t="s">
        <v>1341</v>
      </c>
      <c r="B434" s="3">
        <v>65</v>
      </c>
      <c r="C434" s="3" t="s">
        <v>35</v>
      </c>
      <c r="D434" s="3" t="s">
        <v>26</v>
      </c>
      <c r="E434" s="3" t="s">
        <v>27</v>
      </c>
      <c r="F434" s="4">
        <v>43599</v>
      </c>
      <c r="G434" s="3" t="s">
        <v>1342</v>
      </c>
      <c r="H434" s="3" t="s">
        <v>1343</v>
      </c>
      <c r="I434" s="3" t="s">
        <v>30</v>
      </c>
      <c r="J434" s="5">
        <v>7391.5347454366502</v>
      </c>
      <c r="K434" s="3">
        <v>270</v>
      </c>
      <c r="L434" s="3" t="s">
        <v>46</v>
      </c>
      <c r="M434" s="4">
        <v>43605</v>
      </c>
      <c r="N434" s="3" t="s">
        <v>40</v>
      </c>
      <c r="O434" s="3" t="s">
        <v>33</v>
      </c>
      <c r="P434" s="3" t="str">
        <f>IF(Table1[[#This Row],[Billing Amount]]&lt;5000,"Low",IF(Table1[[#This Row],[Billing Amount]]&lt;=15000,"Medium","High"))</f>
        <v>Medium</v>
      </c>
      <c r="Q434" s="3" t="str">
        <f>IF(Table1[[#This Row],[Discharge Date]]="Yes","Discharged","Under Treatment")</f>
        <v>Under Treatment</v>
      </c>
      <c r="R434" s="3" t="str">
        <f>IF(Table1[[#This Row],[Test Results]]&gt;120,"High Risk","Normal")</f>
        <v>High Risk</v>
      </c>
      <c r="S434" s="3" t="str">
        <f>IF(Table1[[#This Row],[Age]]&lt;=18,"0-18",IF(Table1[[#This Row],[Age]]&lt;=35,"19-35",IF(Table1[[#This Row],[Age]]&lt;=50,"36-50",IF(Table1[[#This Row],[Age]]&lt;=65,"51-65","65+"))))</f>
        <v>51-65</v>
      </c>
    </row>
    <row r="435" spans="1:19" x14ac:dyDescent="0.3">
      <c r="A435" s="3" t="s">
        <v>1344</v>
      </c>
      <c r="B435" s="3">
        <v>32</v>
      </c>
      <c r="C435" s="3" t="s">
        <v>35</v>
      </c>
      <c r="D435" s="3" t="s">
        <v>122</v>
      </c>
      <c r="E435" s="3" t="s">
        <v>93</v>
      </c>
      <c r="F435" s="4">
        <v>43822</v>
      </c>
      <c r="G435" s="3" t="s">
        <v>1345</v>
      </c>
      <c r="H435" s="3" t="s">
        <v>1346</v>
      </c>
      <c r="I435" s="3" t="s">
        <v>39</v>
      </c>
      <c r="J435" s="5">
        <v>28743.003837889799</v>
      </c>
      <c r="K435" s="3">
        <v>493</v>
      </c>
      <c r="L435" s="3" t="s">
        <v>46</v>
      </c>
      <c r="M435" s="4">
        <v>43829</v>
      </c>
      <c r="N435" s="3" t="s">
        <v>52</v>
      </c>
      <c r="O435" s="3" t="s">
        <v>24</v>
      </c>
      <c r="P435" s="3" t="str">
        <f>IF(Table1[[#This Row],[Billing Amount]]&lt;5000,"Low",IF(Table1[[#This Row],[Billing Amount]]&lt;=15000,"Medium","High"))</f>
        <v>High</v>
      </c>
      <c r="Q435" s="3" t="str">
        <f>IF(Table1[[#This Row],[Discharge Date]]="Yes","Discharged","Under Treatment")</f>
        <v>Under Treatment</v>
      </c>
      <c r="R435" s="3" t="str">
        <f>IF(Table1[[#This Row],[Test Results]]&gt;120,"High Risk","Normal")</f>
        <v>High Risk</v>
      </c>
      <c r="S435" s="3" t="str">
        <f>IF(Table1[[#This Row],[Age]]&lt;=18,"0-18",IF(Table1[[#This Row],[Age]]&lt;=35,"19-35",IF(Table1[[#This Row],[Age]]&lt;=50,"36-50",IF(Table1[[#This Row],[Age]]&lt;=65,"51-65","65+"))))</f>
        <v>19-35</v>
      </c>
    </row>
    <row r="436" spans="1:19" x14ac:dyDescent="0.3">
      <c r="A436" s="3" t="s">
        <v>1347</v>
      </c>
      <c r="B436" s="3">
        <v>76</v>
      </c>
      <c r="C436" s="3" t="s">
        <v>16</v>
      </c>
      <c r="D436" s="3" t="s">
        <v>36</v>
      </c>
      <c r="E436" s="3" t="s">
        <v>27</v>
      </c>
      <c r="F436" s="4">
        <v>45330</v>
      </c>
      <c r="G436" s="3" t="s">
        <v>1348</v>
      </c>
      <c r="H436" s="3" t="s">
        <v>1349</v>
      </c>
      <c r="I436" s="3" t="s">
        <v>21</v>
      </c>
      <c r="J436" s="5">
        <v>47270.245739138998</v>
      </c>
      <c r="K436" s="3">
        <v>373</v>
      </c>
      <c r="L436" s="3" t="s">
        <v>46</v>
      </c>
      <c r="M436" s="4">
        <v>45338</v>
      </c>
      <c r="N436" s="3" t="s">
        <v>40</v>
      </c>
      <c r="O436" s="3" t="s">
        <v>47</v>
      </c>
      <c r="P436" s="3" t="str">
        <f>IF(Table1[[#This Row],[Billing Amount]]&lt;5000,"Low",IF(Table1[[#This Row],[Billing Amount]]&lt;=15000,"Medium","High"))</f>
        <v>High</v>
      </c>
      <c r="Q436" s="3" t="str">
        <f>IF(Table1[[#This Row],[Discharge Date]]="Yes","Discharged","Under Treatment")</f>
        <v>Under Treatment</v>
      </c>
      <c r="R436" s="3" t="str">
        <f>IF(Table1[[#This Row],[Test Results]]&gt;120,"High Risk","Normal")</f>
        <v>High Risk</v>
      </c>
      <c r="S436" s="3" t="str">
        <f>IF(Table1[[#This Row],[Age]]&lt;=18,"0-18",IF(Table1[[#This Row],[Age]]&lt;=35,"19-35",IF(Table1[[#This Row],[Age]]&lt;=50,"36-50",IF(Table1[[#This Row],[Age]]&lt;=65,"51-65","65+"))))</f>
        <v>65+</v>
      </c>
    </row>
    <row r="437" spans="1:19" x14ac:dyDescent="0.3">
      <c r="A437" s="3" t="s">
        <v>1350</v>
      </c>
      <c r="B437" s="3">
        <v>61</v>
      </c>
      <c r="C437" s="3" t="s">
        <v>35</v>
      </c>
      <c r="D437" s="3" t="s">
        <v>36</v>
      </c>
      <c r="E437" s="3" t="s">
        <v>54</v>
      </c>
      <c r="F437" s="4">
        <v>45192</v>
      </c>
      <c r="G437" s="3" t="s">
        <v>1351</v>
      </c>
      <c r="H437" s="3" t="s">
        <v>1352</v>
      </c>
      <c r="I437" s="3" t="s">
        <v>39</v>
      </c>
      <c r="J437" s="5">
        <v>37846.352206748299</v>
      </c>
      <c r="K437" s="3">
        <v>407</v>
      </c>
      <c r="L437" s="3" t="s">
        <v>31</v>
      </c>
      <c r="M437" s="4">
        <v>45193</v>
      </c>
      <c r="N437" s="3" t="s">
        <v>32</v>
      </c>
      <c r="O437" s="3" t="s">
        <v>47</v>
      </c>
      <c r="P437" s="3" t="str">
        <f>IF(Table1[[#This Row],[Billing Amount]]&lt;5000,"Low",IF(Table1[[#This Row],[Billing Amount]]&lt;=15000,"Medium","High"))</f>
        <v>High</v>
      </c>
      <c r="Q437" s="3" t="str">
        <f>IF(Table1[[#This Row],[Discharge Date]]="Yes","Discharged","Under Treatment")</f>
        <v>Under Treatment</v>
      </c>
      <c r="R437" s="3" t="str">
        <f>IF(Table1[[#This Row],[Test Results]]&gt;120,"High Risk","Normal")</f>
        <v>High Risk</v>
      </c>
      <c r="S437" s="3" t="str">
        <f>IF(Table1[[#This Row],[Age]]&lt;=18,"0-18",IF(Table1[[#This Row],[Age]]&lt;=35,"19-35",IF(Table1[[#This Row],[Age]]&lt;=50,"36-50",IF(Table1[[#This Row],[Age]]&lt;=65,"51-65","65+"))))</f>
        <v>51-65</v>
      </c>
    </row>
    <row r="438" spans="1:19" x14ac:dyDescent="0.3">
      <c r="A438" s="3" t="s">
        <v>1353</v>
      </c>
      <c r="B438" s="3">
        <v>63</v>
      </c>
      <c r="C438" s="3" t="s">
        <v>16</v>
      </c>
      <c r="D438" s="3" t="s">
        <v>49</v>
      </c>
      <c r="E438" s="3" t="s">
        <v>18</v>
      </c>
      <c r="F438" s="4">
        <v>43965</v>
      </c>
      <c r="G438" s="3" t="s">
        <v>1354</v>
      </c>
      <c r="H438" s="3" t="s">
        <v>1355</v>
      </c>
      <c r="I438" s="3" t="s">
        <v>39</v>
      </c>
      <c r="J438" s="5">
        <v>46502.765789587</v>
      </c>
      <c r="K438" s="3">
        <v>151</v>
      </c>
      <c r="L438" s="3" t="s">
        <v>46</v>
      </c>
      <c r="M438" s="4">
        <v>43971</v>
      </c>
      <c r="N438" s="3" t="s">
        <v>23</v>
      </c>
      <c r="O438" s="3" t="s">
        <v>33</v>
      </c>
      <c r="P438" s="3" t="str">
        <f>IF(Table1[[#This Row],[Billing Amount]]&lt;5000,"Low",IF(Table1[[#This Row],[Billing Amount]]&lt;=15000,"Medium","High"))</f>
        <v>High</v>
      </c>
      <c r="Q438" s="3" t="str">
        <f>IF(Table1[[#This Row],[Discharge Date]]="Yes","Discharged","Under Treatment")</f>
        <v>Under Treatment</v>
      </c>
      <c r="R438" s="3" t="str">
        <f>IF(Table1[[#This Row],[Test Results]]&gt;120,"High Risk","Normal")</f>
        <v>High Risk</v>
      </c>
      <c r="S438" s="3" t="str">
        <f>IF(Table1[[#This Row],[Age]]&lt;=18,"0-18",IF(Table1[[#This Row],[Age]]&lt;=35,"19-35",IF(Table1[[#This Row],[Age]]&lt;=50,"36-50",IF(Table1[[#This Row],[Age]]&lt;=65,"51-65","65+"))))</f>
        <v>51-65</v>
      </c>
    </row>
    <row r="439" spans="1:19" x14ac:dyDescent="0.3">
      <c r="A439" s="3" t="s">
        <v>1356</v>
      </c>
      <c r="B439" s="3">
        <v>54</v>
      </c>
      <c r="C439" s="3" t="s">
        <v>35</v>
      </c>
      <c r="D439" s="3" t="s">
        <v>103</v>
      </c>
      <c r="E439" s="3" t="s">
        <v>76</v>
      </c>
      <c r="F439" s="4">
        <v>43872</v>
      </c>
      <c r="G439" s="3" t="s">
        <v>1357</v>
      </c>
      <c r="H439" s="3" t="s">
        <v>1358</v>
      </c>
      <c r="I439" s="3" t="s">
        <v>39</v>
      </c>
      <c r="J439" s="5">
        <v>27660.285047541201</v>
      </c>
      <c r="K439" s="3">
        <v>193</v>
      </c>
      <c r="L439" s="3" t="s">
        <v>22</v>
      </c>
      <c r="M439" s="4">
        <v>43891</v>
      </c>
      <c r="N439" s="3" t="s">
        <v>79</v>
      </c>
      <c r="O439" s="3" t="s">
        <v>24</v>
      </c>
      <c r="P439" s="3" t="str">
        <f>IF(Table1[[#This Row],[Billing Amount]]&lt;5000,"Low",IF(Table1[[#This Row],[Billing Amount]]&lt;=15000,"Medium","High"))</f>
        <v>High</v>
      </c>
      <c r="Q439" s="3" t="str">
        <f>IF(Table1[[#This Row],[Discharge Date]]="Yes","Discharged","Under Treatment")</f>
        <v>Under Treatment</v>
      </c>
      <c r="R439" s="3" t="str">
        <f>IF(Table1[[#This Row],[Test Results]]&gt;120,"High Risk","Normal")</f>
        <v>High Risk</v>
      </c>
      <c r="S439" s="3" t="str">
        <f>IF(Table1[[#This Row],[Age]]&lt;=18,"0-18",IF(Table1[[#This Row],[Age]]&lt;=35,"19-35",IF(Table1[[#This Row],[Age]]&lt;=50,"36-50",IF(Table1[[#This Row],[Age]]&lt;=65,"51-65","65+"))))</f>
        <v>51-65</v>
      </c>
    </row>
    <row r="440" spans="1:19" x14ac:dyDescent="0.3">
      <c r="A440" s="3" t="s">
        <v>1359</v>
      </c>
      <c r="B440" s="3">
        <v>77</v>
      </c>
      <c r="C440" s="3" t="s">
        <v>16</v>
      </c>
      <c r="D440" s="3" t="s">
        <v>49</v>
      </c>
      <c r="E440" s="3" t="s">
        <v>76</v>
      </c>
      <c r="F440" s="4">
        <v>44452</v>
      </c>
      <c r="G440" s="3" t="s">
        <v>1360</v>
      </c>
      <c r="H440" s="3" t="s">
        <v>1361</v>
      </c>
      <c r="I440" s="3" t="s">
        <v>57</v>
      </c>
      <c r="J440" s="5">
        <v>36686.6559296173</v>
      </c>
      <c r="K440" s="3">
        <v>488</v>
      </c>
      <c r="L440" s="3" t="s">
        <v>22</v>
      </c>
      <c r="M440" s="4">
        <v>44478</v>
      </c>
      <c r="N440" s="3" t="s">
        <v>23</v>
      </c>
      <c r="O440" s="3" t="s">
        <v>24</v>
      </c>
      <c r="P440" s="3" t="str">
        <f>IF(Table1[[#This Row],[Billing Amount]]&lt;5000,"Low",IF(Table1[[#This Row],[Billing Amount]]&lt;=15000,"Medium","High"))</f>
        <v>High</v>
      </c>
      <c r="Q440" s="3" t="str">
        <f>IF(Table1[[#This Row],[Discharge Date]]="Yes","Discharged","Under Treatment")</f>
        <v>Under Treatment</v>
      </c>
      <c r="R440" s="3" t="str">
        <f>IF(Table1[[#This Row],[Test Results]]&gt;120,"High Risk","Normal")</f>
        <v>High Risk</v>
      </c>
      <c r="S440" s="3" t="str">
        <f>IF(Table1[[#This Row],[Age]]&lt;=18,"0-18",IF(Table1[[#This Row],[Age]]&lt;=35,"19-35",IF(Table1[[#This Row],[Age]]&lt;=50,"36-50",IF(Table1[[#This Row],[Age]]&lt;=65,"51-65","65+"))))</f>
        <v>65+</v>
      </c>
    </row>
    <row r="441" spans="1:19" x14ac:dyDescent="0.3">
      <c r="A441" s="3" t="s">
        <v>1362</v>
      </c>
      <c r="B441" s="3">
        <v>69</v>
      </c>
      <c r="C441" s="3" t="s">
        <v>16</v>
      </c>
      <c r="D441" s="3" t="s">
        <v>103</v>
      </c>
      <c r="E441" s="3" t="s">
        <v>93</v>
      </c>
      <c r="F441" s="4">
        <v>44194</v>
      </c>
      <c r="G441" s="3" t="s">
        <v>1363</v>
      </c>
      <c r="H441" s="3" t="s">
        <v>1364</v>
      </c>
      <c r="I441" s="3" t="s">
        <v>39</v>
      </c>
      <c r="J441" s="5">
        <v>23523.596818012698</v>
      </c>
      <c r="K441" s="3">
        <v>106</v>
      </c>
      <c r="L441" s="3" t="s">
        <v>46</v>
      </c>
      <c r="M441" s="4">
        <v>44217</v>
      </c>
      <c r="N441" s="3" t="s">
        <v>40</v>
      </c>
      <c r="O441" s="3" t="s">
        <v>33</v>
      </c>
      <c r="P441" s="3" t="str">
        <f>IF(Table1[[#This Row],[Billing Amount]]&lt;5000,"Low",IF(Table1[[#This Row],[Billing Amount]]&lt;=15000,"Medium","High"))</f>
        <v>High</v>
      </c>
      <c r="Q441" s="3" t="str">
        <f>IF(Table1[[#This Row],[Discharge Date]]="Yes","Discharged","Under Treatment")</f>
        <v>Under Treatment</v>
      </c>
      <c r="R441" s="3" t="str">
        <f>IF(Table1[[#This Row],[Test Results]]&gt;120,"High Risk","Normal")</f>
        <v>High Risk</v>
      </c>
      <c r="S441" s="3" t="str">
        <f>IF(Table1[[#This Row],[Age]]&lt;=18,"0-18",IF(Table1[[#This Row],[Age]]&lt;=35,"19-35",IF(Table1[[#This Row],[Age]]&lt;=50,"36-50",IF(Table1[[#This Row],[Age]]&lt;=65,"51-65","65+"))))</f>
        <v>65+</v>
      </c>
    </row>
    <row r="442" spans="1:19" x14ac:dyDescent="0.3">
      <c r="A442" s="3" t="s">
        <v>1365</v>
      </c>
      <c r="B442" s="3">
        <v>40</v>
      </c>
      <c r="C442" s="3" t="s">
        <v>16</v>
      </c>
      <c r="D442" s="3" t="s">
        <v>122</v>
      </c>
      <c r="E442" s="3" t="s">
        <v>93</v>
      </c>
      <c r="F442" s="4">
        <v>44543</v>
      </c>
      <c r="G442" s="3" t="s">
        <v>1366</v>
      </c>
      <c r="H442" s="3" t="s">
        <v>1367</v>
      </c>
      <c r="I442" s="3" t="s">
        <v>57</v>
      </c>
      <c r="J442" s="5">
        <v>15518.4577815678</v>
      </c>
      <c r="K442" s="3">
        <v>450</v>
      </c>
      <c r="L442" s="3" t="s">
        <v>31</v>
      </c>
      <c r="M442" s="4">
        <v>44549</v>
      </c>
      <c r="N442" s="3" t="s">
        <v>52</v>
      </c>
      <c r="O442" s="3" t="s">
        <v>47</v>
      </c>
      <c r="P442" s="3" t="str">
        <f>IF(Table1[[#This Row],[Billing Amount]]&lt;5000,"Low",IF(Table1[[#This Row],[Billing Amount]]&lt;=15000,"Medium","High"))</f>
        <v>High</v>
      </c>
      <c r="Q442" s="3" t="str">
        <f>IF(Table1[[#This Row],[Discharge Date]]="Yes","Discharged","Under Treatment")</f>
        <v>Under Treatment</v>
      </c>
      <c r="R442" s="3" t="str">
        <f>IF(Table1[[#This Row],[Test Results]]&gt;120,"High Risk","Normal")</f>
        <v>High Risk</v>
      </c>
      <c r="S442" s="3" t="str">
        <f>IF(Table1[[#This Row],[Age]]&lt;=18,"0-18",IF(Table1[[#This Row],[Age]]&lt;=35,"19-35",IF(Table1[[#This Row],[Age]]&lt;=50,"36-50",IF(Table1[[#This Row],[Age]]&lt;=65,"51-65","65+"))))</f>
        <v>36-50</v>
      </c>
    </row>
    <row r="443" spans="1:19" x14ac:dyDescent="0.3">
      <c r="A443" s="3" t="s">
        <v>1368</v>
      </c>
      <c r="B443" s="3">
        <v>23</v>
      </c>
      <c r="C443" s="3" t="s">
        <v>35</v>
      </c>
      <c r="D443" s="3" t="s">
        <v>122</v>
      </c>
      <c r="E443" s="3" t="s">
        <v>18</v>
      </c>
      <c r="F443" s="4">
        <v>43906</v>
      </c>
      <c r="G443" s="3" t="s">
        <v>1369</v>
      </c>
      <c r="H443" s="3" t="s">
        <v>1370</v>
      </c>
      <c r="I443" s="3" t="s">
        <v>21</v>
      </c>
      <c r="J443" s="5">
        <v>3925.9338406051902</v>
      </c>
      <c r="K443" s="3">
        <v>333</v>
      </c>
      <c r="L443" s="3" t="s">
        <v>31</v>
      </c>
      <c r="M443" s="4">
        <v>43912</v>
      </c>
      <c r="N443" s="3" t="s">
        <v>79</v>
      </c>
      <c r="O443" s="3" t="s">
        <v>24</v>
      </c>
      <c r="P443" s="3" t="str">
        <f>IF(Table1[[#This Row],[Billing Amount]]&lt;5000,"Low",IF(Table1[[#This Row],[Billing Amount]]&lt;=15000,"Medium","High"))</f>
        <v>Low</v>
      </c>
      <c r="Q443" s="3" t="str">
        <f>IF(Table1[[#This Row],[Discharge Date]]="Yes","Discharged","Under Treatment")</f>
        <v>Under Treatment</v>
      </c>
      <c r="R443" s="3" t="str">
        <f>IF(Table1[[#This Row],[Test Results]]&gt;120,"High Risk","Normal")</f>
        <v>High Risk</v>
      </c>
      <c r="S443" s="3" t="str">
        <f>IF(Table1[[#This Row],[Age]]&lt;=18,"0-18",IF(Table1[[#This Row],[Age]]&lt;=35,"19-35",IF(Table1[[#This Row],[Age]]&lt;=50,"36-50",IF(Table1[[#This Row],[Age]]&lt;=65,"51-65","65+"))))</f>
        <v>19-35</v>
      </c>
    </row>
    <row r="444" spans="1:19" x14ac:dyDescent="0.3">
      <c r="A444" s="3" t="s">
        <v>1371</v>
      </c>
      <c r="B444" s="3">
        <v>68</v>
      </c>
      <c r="C444" s="3" t="s">
        <v>35</v>
      </c>
      <c r="D444" s="3" t="s">
        <v>49</v>
      </c>
      <c r="E444" s="3" t="s">
        <v>93</v>
      </c>
      <c r="F444" s="4">
        <v>44124</v>
      </c>
      <c r="G444" s="3" t="s">
        <v>1372</v>
      </c>
      <c r="H444" s="3" t="s">
        <v>1373</v>
      </c>
      <c r="I444" s="3" t="s">
        <v>39</v>
      </c>
      <c r="J444" s="5">
        <v>12605.7474398212</v>
      </c>
      <c r="K444" s="3">
        <v>350</v>
      </c>
      <c r="L444" s="3" t="s">
        <v>31</v>
      </c>
      <c r="M444" s="4">
        <v>44131</v>
      </c>
      <c r="N444" s="3" t="s">
        <v>23</v>
      </c>
      <c r="O444" s="3" t="s">
        <v>33</v>
      </c>
      <c r="P444" s="3" t="str">
        <f>IF(Table1[[#This Row],[Billing Amount]]&lt;5000,"Low",IF(Table1[[#This Row],[Billing Amount]]&lt;=15000,"Medium","High"))</f>
        <v>Medium</v>
      </c>
      <c r="Q444" s="3" t="str">
        <f>IF(Table1[[#This Row],[Discharge Date]]="Yes","Discharged","Under Treatment")</f>
        <v>Under Treatment</v>
      </c>
      <c r="R444" s="3" t="str">
        <f>IF(Table1[[#This Row],[Test Results]]&gt;120,"High Risk","Normal")</f>
        <v>High Risk</v>
      </c>
      <c r="S444" s="3" t="str">
        <f>IF(Table1[[#This Row],[Age]]&lt;=18,"0-18",IF(Table1[[#This Row],[Age]]&lt;=35,"19-35",IF(Table1[[#This Row],[Age]]&lt;=50,"36-50",IF(Table1[[#This Row],[Age]]&lt;=65,"51-65","65+"))))</f>
        <v>65+</v>
      </c>
    </row>
    <row r="445" spans="1:19" x14ac:dyDescent="0.3">
      <c r="A445" s="3" t="s">
        <v>1375</v>
      </c>
      <c r="B445" s="3">
        <v>46</v>
      </c>
      <c r="C445" s="3" t="s">
        <v>35</v>
      </c>
      <c r="D445" s="3" t="s">
        <v>59</v>
      </c>
      <c r="E445" s="3" t="s">
        <v>43</v>
      </c>
      <c r="F445" s="4">
        <v>44886</v>
      </c>
      <c r="G445" s="3" t="s">
        <v>1376</v>
      </c>
      <c r="H445" s="3" t="s">
        <v>1377</v>
      </c>
      <c r="I445" s="3" t="s">
        <v>39</v>
      </c>
      <c r="J445" s="5">
        <v>18828.764128786501</v>
      </c>
      <c r="K445" s="3">
        <v>194</v>
      </c>
      <c r="L445" s="3" t="s">
        <v>46</v>
      </c>
      <c r="M445" s="4">
        <v>44887</v>
      </c>
      <c r="N445" s="3" t="s">
        <v>32</v>
      </c>
      <c r="O445" s="3" t="s">
        <v>47</v>
      </c>
      <c r="P445" s="3" t="str">
        <f>IF(Table1[[#This Row],[Billing Amount]]&lt;5000,"Low",IF(Table1[[#This Row],[Billing Amount]]&lt;=15000,"Medium","High"))</f>
        <v>High</v>
      </c>
      <c r="Q445" s="3" t="str">
        <f>IF(Table1[[#This Row],[Discharge Date]]="Yes","Discharged","Under Treatment")</f>
        <v>Under Treatment</v>
      </c>
      <c r="R445" s="3" t="str">
        <f>IF(Table1[[#This Row],[Test Results]]&gt;120,"High Risk","Normal")</f>
        <v>High Risk</v>
      </c>
      <c r="S445" s="3" t="str">
        <f>IF(Table1[[#This Row],[Age]]&lt;=18,"0-18",IF(Table1[[#This Row],[Age]]&lt;=35,"19-35",IF(Table1[[#This Row],[Age]]&lt;=50,"36-50",IF(Table1[[#This Row],[Age]]&lt;=65,"51-65","65+"))))</f>
        <v>36-50</v>
      </c>
    </row>
    <row r="446" spans="1:19" x14ac:dyDescent="0.3">
      <c r="A446" s="3" t="s">
        <v>1378</v>
      </c>
      <c r="B446" s="3">
        <v>61</v>
      </c>
      <c r="C446" s="3" t="s">
        <v>35</v>
      </c>
      <c r="D446" s="3" t="s">
        <v>103</v>
      </c>
      <c r="E446" s="3" t="s">
        <v>93</v>
      </c>
      <c r="F446" s="4">
        <v>44067</v>
      </c>
      <c r="G446" s="3" t="s">
        <v>1379</v>
      </c>
      <c r="H446" s="3" t="s">
        <v>1380</v>
      </c>
      <c r="I446" s="3" t="s">
        <v>39</v>
      </c>
      <c r="J446" s="5">
        <v>34381.688712175899</v>
      </c>
      <c r="K446" s="3">
        <v>330</v>
      </c>
      <c r="L446" s="3" t="s">
        <v>22</v>
      </c>
      <c r="M446" s="4">
        <v>44080</v>
      </c>
      <c r="N446" s="3" t="s">
        <v>79</v>
      </c>
      <c r="O446" s="3" t="s">
        <v>33</v>
      </c>
      <c r="P446" s="3" t="str">
        <f>IF(Table1[[#This Row],[Billing Amount]]&lt;5000,"Low",IF(Table1[[#This Row],[Billing Amount]]&lt;=15000,"Medium","High"))</f>
        <v>High</v>
      </c>
      <c r="Q446" s="3" t="str">
        <f>IF(Table1[[#This Row],[Discharge Date]]="Yes","Discharged","Under Treatment")</f>
        <v>Under Treatment</v>
      </c>
      <c r="R446" s="3" t="str">
        <f>IF(Table1[[#This Row],[Test Results]]&gt;120,"High Risk","Normal")</f>
        <v>High Risk</v>
      </c>
      <c r="S446" s="3" t="str">
        <f>IF(Table1[[#This Row],[Age]]&lt;=18,"0-18",IF(Table1[[#This Row],[Age]]&lt;=35,"19-35",IF(Table1[[#This Row],[Age]]&lt;=50,"36-50",IF(Table1[[#This Row],[Age]]&lt;=65,"51-65","65+"))))</f>
        <v>51-65</v>
      </c>
    </row>
    <row r="447" spans="1:19" x14ac:dyDescent="0.3">
      <c r="A447" s="3" t="s">
        <v>1381</v>
      </c>
      <c r="B447" s="3">
        <v>25</v>
      </c>
      <c r="C447" s="3" t="s">
        <v>16</v>
      </c>
      <c r="D447" s="3" t="s">
        <v>122</v>
      </c>
      <c r="E447" s="3" t="s">
        <v>93</v>
      </c>
      <c r="F447" s="4">
        <v>44604</v>
      </c>
      <c r="G447" s="3" t="s">
        <v>1382</v>
      </c>
      <c r="H447" s="3" t="s">
        <v>1383</v>
      </c>
      <c r="I447" s="3" t="s">
        <v>39</v>
      </c>
      <c r="J447" s="5">
        <v>31501.719856801301</v>
      </c>
      <c r="K447" s="3">
        <v>475</v>
      </c>
      <c r="L447" s="3" t="s">
        <v>46</v>
      </c>
      <c r="M447" s="4">
        <v>44623</v>
      </c>
      <c r="N447" s="3" t="s">
        <v>32</v>
      </c>
      <c r="O447" s="3" t="s">
        <v>33</v>
      </c>
      <c r="P447" s="3" t="str">
        <f>IF(Table1[[#This Row],[Billing Amount]]&lt;5000,"Low",IF(Table1[[#This Row],[Billing Amount]]&lt;=15000,"Medium","High"))</f>
        <v>High</v>
      </c>
      <c r="Q447" s="3" t="str">
        <f>IF(Table1[[#This Row],[Discharge Date]]="Yes","Discharged","Under Treatment")</f>
        <v>Under Treatment</v>
      </c>
      <c r="R447" s="3" t="str">
        <f>IF(Table1[[#This Row],[Test Results]]&gt;120,"High Risk","Normal")</f>
        <v>High Risk</v>
      </c>
      <c r="S447" s="3" t="str">
        <f>IF(Table1[[#This Row],[Age]]&lt;=18,"0-18",IF(Table1[[#This Row],[Age]]&lt;=35,"19-35",IF(Table1[[#This Row],[Age]]&lt;=50,"36-50",IF(Table1[[#This Row],[Age]]&lt;=65,"51-65","65+"))))</f>
        <v>19-35</v>
      </c>
    </row>
    <row r="448" spans="1:19" x14ac:dyDescent="0.3">
      <c r="A448" s="3" t="s">
        <v>1384</v>
      </c>
      <c r="B448" s="3">
        <v>75</v>
      </c>
      <c r="C448" s="3" t="s">
        <v>35</v>
      </c>
      <c r="D448" s="3" t="s">
        <v>36</v>
      </c>
      <c r="E448" s="3" t="s">
        <v>93</v>
      </c>
      <c r="F448" s="4">
        <v>45153</v>
      </c>
      <c r="G448" s="3" t="s">
        <v>1385</v>
      </c>
      <c r="H448" s="3" t="s">
        <v>1386</v>
      </c>
      <c r="I448" s="3" t="s">
        <v>30</v>
      </c>
      <c r="J448" s="5">
        <v>12098.033219920701</v>
      </c>
      <c r="K448" s="3">
        <v>387</v>
      </c>
      <c r="L448" s="3" t="s">
        <v>46</v>
      </c>
      <c r="M448" s="4">
        <v>45173</v>
      </c>
      <c r="N448" s="3" t="s">
        <v>79</v>
      </c>
      <c r="O448" s="3" t="s">
        <v>47</v>
      </c>
      <c r="P448" s="3" t="str">
        <f>IF(Table1[[#This Row],[Billing Amount]]&lt;5000,"Low",IF(Table1[[#This Row],[Billing Amount]]&lt;=15000,"Medium","High"))</f>
        <v>Medium</v>
      </c>
      <c r="Q448" s="3" t="str">
        <f>IF(Table1[[#This Row],[Discharge Date]]="Yes","Discharged","Under Treatment")</f>
        <v>Under Treatment</v>
      </c>
      <c r="R448" s="3" t="str">
        <f>IF(Table1[[#This Row],[Test Results]]&gt;120,"High Risk","Normal")</f>
        <v>High Risk</v>
      </c>
      <c r="S448" s="3" t="str">
        <f>IF(Table1[[#This Row],[Age]]&lt;=18,"0-18",IF(Table1[[#This Row],[Age]]&lt;=35,"19-35",IF(Table1[[#This Row],[Age]]&lt;=50,"36-50",IF(Table1[[#This Row],[Age]]&lt;=65,"51-65","65+"))))</f>
        <v>65+</v>
      </c>
    </row>
    <row r="449" spans="1:19" x14ac:dyDescent="0.3">
      <c r="A449" s="3" t="s">
        <v>1387</v>
      </c>
      <c r="B449" s="3">
        <v>43</v>
      </c>
      <c r="C449" s="3" t="s">
        <v>35</v>
      </c>
      <c r="D449" s="3" t="s">
        <v>122</v>
      </c>
      <c r="E449" s="3" t="s">
        <v>43</v>
      </c>
      <c r="F449" s="4">
        <v>44939</v>
      </c>
      <c r="G449" s="3" t="s">
        <v>1388</v>
      </c>
      <c r="H449" s="3" t="s">
        <v>1389</v>
      </c>
      <c r="I449" s="3" t="s">
        <v>57</v>
      </c>
      <c r="J449" s="5">
        <v>39547.3811893456</v>
      </c>
      <c r="K449" s="3">
        <v>436</v>
      </c>
      <c r="L449" s="3" t="s">
        <v>46</v>
      </c>
      <c r="M449" s="4">
        <v>44958</v>
      </c>
      <c r="N449" s="3" t="s">
        <v>23</v>
      </c>
      <c r="O449" s="3" t="s">
        <v>33</v>
      </c>
      <c r="P449" s="3" t="str">
        <f>IF(Table1[[#This Row],[Billing Amount]]&lt;5000,"Low",IF(Table1[[#This Row],[Billing Amount]]&lt;=15000,"Medium","High"))</f>
        <v>High</v>
      </c>
      <c r="Q449" s="3" t="str">
        <f>IF(Table1[[#This Row],[Discharge Date]]="Yes","Discharged","Under Treatment")</f>
        <v>Under Treatment</v>
      </c>
      <c r="R449" s="3" t="str">
        <f>IF(Table1[[#This Row],[Test Results]]&gt;120,"High Risk","Normal")</f>
        <v>High Risk</v>
      </c>
      <c r="S449" s="3" t="str">
        <f>IF(Table1[[#This Row],[Age]]&lt;=18,"0-18",IF(Table1[[#This Row],[Age]]&lt;=35,"19-35",IF(Table1[[#This Row],[Age]]&lt;=50,"36-50",IF(Table1[[#This Row],[Age]]&lt;=65,"51-65","65+"))))</f>
        <v>36-50</v>
      </c>
    </row>
    <row r="450" spans="1:19" x14ac:dyDescent="0.3">
      <c r="A450" s="3" t="s">
        <v>1390</v>
      </c>
      <c r="B450" s="3">
        <v>38</v>
      </c>
      <c r="C450" s="3" t="s">
        <v>35</v>
      </c>
      <c r="D450" s="3" t="s">
        <v>17</v>
      </c>
      <c r="E450" s="3" t="s">
        <v>27</v>
      </c>
      <c r="F450" s="4">
        <v>43949</v>
      </c>
      <c r="G450" s="3" t="s">
        <v>1391</v>
      </c>
      <c r="H450" s="3" t="s">
        <v>1392</v>
      </c>
      <c r="I450" s="3" t="s">
        <v>39</v>
      </c>
      <c r="J450" s="5">
        <v>6486.23572598591</v>
      </c>
      <c r="K450" s="3">
        <v>283</v>
      </c>
      <c r="L450" s="3" t="s">
        <v>46</v>
      </c>
      <c r="M450" s="4">
        <v>43971</v>
      </c>
      <c r="N450" s="3" t="s">
        <v>40</v>
      </c>
      <c r="O450" s="3" t="s">
        <v>47</v>
      </c>
      <c r="P450" s="3" t="str">
        <f>IF(Table1[[#This Row],[Billing Amount]]&lt;5000,"Low",IF(Table1[[#This Row],[Billing Amount]]&lt;=15000,"Medium","High"))</f>
        <v>Medium</v>
      </c>
      <c r="Q450" s="3" t="str">
        <f>IF(Table1[[#This Row],[Discharge Date]]="Yes","Discharged","Under Treatment")</f>
        <v>Under Treatment</v>
      </c>
      <c r="R450" s="3" t="str">
        <f>IF(Table1[[#This Row],[Test Results]]&gt;120,"High Risk","Normal")</f>
        <v>High Risk</v>
      </c>
      <c r="S450" s="3" t="str">
        <f>IF(Table1[[#This Row],[Age]]&lt;=18,"0-18",IF(Table1[[#This Row],[Age]]&lt;=35,"19-35",IF(Table1[[#This Row],[Age]]&lt;=50,"36-50",IF(Table1[[#This Row],[Age]]&lt;=65,"51-65","65+"))))</f>
        <v>36-50</v>
      </c>
    </row>
    <row r="451" spans="1:19" x14ac:dyDescent="0.3">
      <c r="A451" s="3" t="s">
        <v>1393</v>
      </c>
      <c r="B451" s="3">
        <v>28</v>
      </c>
      <c r="C451" s="3" t="s">
        <v>16</v>
      </c>
      <c r="D451" s="3" t="s">
        <v>49</v>
      </c>
      <c r="E451" s="3" t="s">
        <v>93</v>
      </c>
      <c r="F451" s="4">
        <v>44855</v>
      </c>
      <c r="G451" s="3" t="s">
        <v>1394</v>
      </c>
      <c r="H451" s="3" t="s">
        <v>1395</v>
      </c>
      <c r="I451" s="3" t="s">
        <v>30</v>
      </c>
      <c r="J451" s="5">
        <v>46657.686081891399</v>
      </c>
      <c r="K451" s="3">
        <v>265</v>
      </c>
      <c r="L451" s="3" t="s">
        <v>22</v>
      </c>
      <c r="M451" s="4">
        <v>44856</v>
      </c>
      <c r="N451" s="3" t="s">
        <v>52</v>
      </c>
      <c r="O451" s="3" t="s">
        <v>33</v>
      </c>
      <c r="P451" s="3" t="str">
        <f>IF(Table1[[#This Row],[Billing Amount]]&lt;5000,"Low",IF(Table1[[#This Row],[Billing Amount]]&lt;=15000,"Medium","High"))</f>
        <v>High</v>
      </c>
      <c r="Q451" s="3" t="str">
        <f>IF(Table1[[#This Row],[Discharge Date]]="Yes","Discharged","Under Treatment")</f>
        <v>Under Treatment</v>
      </c>
      <c r="R451" s="3" t="str">
        <f>IF(Table1[[#This Row],[Test Results]]&gt;120,"High Risk","Normal")</f>
        <v>High Risk</v>
      </c>
      <c r="S451" s="3" t="str">
        <f>IF(Table1[[#This Row],[Age]]&lt;=18,"0-18",IF(Table1[[#This Row],[Age]]&lt;=35,"19-35",IF(Table1[[#This Row],[Age]]&lt;=50,"36-50",IF(Table1[[#This Row],[Age]]&lt;=65,"51-65","65+"))))</f>
        <v>19-35</v>
      </c>
    </row>
    <row r="452" spans="1:19" x14ac:dyDescent="0.3">
      <c r="A452" s="3" t="s">
        <v>1396</v>
      </c>
      <c r="B452" s="3">
        <v>80</v>
      </c>
      <c r="C452" s="3" t="s">
        <v>16</v>
      </c>
      <c r="D452" s="3" t="s">
        <v>42</v>
      </c>
      <c r="E452" s="3" t="s">
        <v>76</v>
      </c>
      <c r="F452" s="4">
        <v>44910</v>
      </c>
      <c r="G452" s="3" t="s">
        <v>1397</v>
      </c>
      <c r="H452" s="3" t="s">
        <v>1398</v>
      </c>
      <c r="I452" s="3" t="s">
        <v>39</v>
      </c>
      <c r="J452" s="5">
        <v>31709.465028472401</v>
      </c>
      <c r="K452" s="3">
        <v>168</v>
      </c>
      <c r="L452" s="3" t="s">
        <v>22</v>
      </c>
      <c r="M452" s="4">
        <v>44920</v>
      </c>
      <c r="N452" s="3" t="s">
        <v>23</v>
      </c>
      <c r="O452" s="3" t="s">
        <v>47</v>
      </c>
      <c r="P452" s="3" t="str">
        <f>IF(Table1[[#This Row],[Billing Amount]]&lt;5000,"Low",IF(Table1[[#This Row],[Billing Amount]]&lt;=15000,"Medium","High"))</f>
        <v>High</v>
      </c>
      <c r="Q452" s="3" t="str">
        <f>IF(Table1[[#This Row],[Discharge Date]]="Yes","Discharged","Under Treatment")</f>
        <v>Under Treatment</v>
      </c>
      <c r="R452" s="3" t="str">
        <f>IF(Table1[[#This Row],[Test Results]]&gt;120,"High Risk","Normal")</f>
        <v>High Risk</v>
      </c>
      <c r="S452" s="3" t="str">
        <f>IF(Table1[[#This Row],[Age]]&lt;=18,"0-18",IF(Table1[[#This Row],[Age]]&lt;=35,"19-35",IF(Table1[[#This Row],[Age]]&lt;=50,"36-50",IF(Table1[[#This Row],[Age]]&lt;=65,"51-65","65+"))))</f>
        <v>65+</v>
      </c>
    </row>
    <row r="453" spans="1:19" x14ac:dyDescent="0.3">
      <c r="A453" s="3" t="s">
        <v>1399</v>
      </c>
      <c r="B453" s="3">
        <v>75</v>
      </c>
      <c r="C453" s="3" t="s">
        <v>35</v>
      </c>
      <c r="D453" s="3" t="s">
        <v>59</v>
      </c>
      <c r="E453" s="3" t="s">
        <v>18</v>
      </c>
      <c r="F453" s="4">
        <v>43787</v>
      </c>
      <c r="G453" s="3" t="s">
        <v>1400</v>
      </c>
      <c r="H453" s="3" t="s">
        <v>1401</v>
      </c>
      <c r="I453" s="3" t="s">
        <v>21</v>
      </c>
      <c r="J453" s="5">
        <v>29995.428563873302</v>
      </c>
      <c r="K453" s="3">
        <v>433</v>
      </c>
      <c r="L453" s="3" t="s">
        <v>31</v>
      </c>
      <c r="M453" s="4">
        <v>43810</v>
      </c>
      <c r="N453" s="3" t="s">
        <v>23</v>
      </c>
      <c r="O453" s="3" t="s">
        <v>47</v>
      </c>
      <c r="P453" s="3" t="str">
        <f>IF(Table1[[#This Row],[Billing Amount]]&lt;5000,"Low",IF(Table1[[#This Row],[Billing Amount]]&lt;=15000,"Medium","High"))</f>
        <v>High</v>
      </c>
      <c r="Q453" s="3" t="str">
        <f>IF(Table1[[#This Row],[Discharge Date]]="Yes","Discharged","Under Treatment")</f>
        <v>Under Treatment</v>
      </c>
      <c r="R453" s="3" t="str">
        <f>IF(Table1[[#This Row],[Test Results]]&gt;120,"High Risk","Normal")</f>
        <v>High Risk</v>
      </c>
      <c r="S453" s="3" t="str">
        <f>IF(Table1[[#This Row],[Age]]&lt;=18,"0-18",IF(Table1[[#This Row],[Age]]&lt;=35,"19-35",IF(Table1[[#This Row],[Age]]&lt;=50,"36-50",IF(Table1[[#This Row],[Age]]&lt;=65,"51-65","65+"))))</f>
        <v>65+</v>
      </c>
    </row>
    <row r="454" spans="1:19" x14ac:dyDescent="0.3">
      <c r="A454" s="3" t="s">
        <v>1402</v>
      </c>
      <c r="B454" s="3">
        <v>27</v>
      </c>
      <c r="C454" s="3" t="s">
        <v>16</v>
      </c>
      <c r="D454" s="3" t="s">
        <v>26</v>
      </c>
      <c r="E454" s="3" t="s">
        <v>43</v>
      </c>
      <c r="F454" s="4">
        <v>44044</v>
      </c>
      <c r="G454" s="3" t="s">
        <v>1403</v>
      </c>
      <c r="H454" s="3" t="s">
        <v>1404</v>
      </c>
      <c r="I454" s="3" t="s">
        <v>21</v>
      </c>
      <c r="J454" s="5">
        <v>48965.175802785299</v>
      </c>
      <c r="K454" s="3">
        <v>251</v>
      </c>
      <c r="L454" s="3" t="s">
        <v>31</v>
      </c>
      <c r="M454" s="4">
        <v>44069</v>
      </c>
      <c r="N454" s="3" t="s">
        <v>40</v>
      </c>
      <c r="O454" s="3" t="s">
        <v>47</v>
      </c>
      <c r="P454" s="3" t="str">
        <f>IF(Table1[[#This Row],[Billing Amount]]&lt;5000,"Low",IF(Table1[[#This Row],[Billing Amount]]&lt;=15000,"Medium","High"))</f>
        <v>High</v>
      </c>
      <c r="Q454" s="3" t="str">
        <f>IF(Table1[[#This Row],[Discharge Date]]="Yes","Discharged","Under Treatment")</f>
        <v>Under Treatment</v>
      </c>
      <c r="R454" s="3" t="str">
        <f>IF(Table1[[#This Row],[Test Results]]&gt;120,"High Risk","Normal")</f>
        <v>High Risk</v>
      </c>
      <c r="S454" s="3" t="str">
        <f>IF(Table1[[#This Row],[Age]]&lt;=18,"0-18",IF(Table1[[#This Row],[Age]]&lt;=35,"19-35",IF(Table1[[#This Row],[Age]]&lt;=50,"36-50",IF(Table1[[#This Row],[Age]]&lt;=65,"51-65","65+"))))</f>
        <v>19-35</v>
      </c>
    </row>
    <row r="455" spans="1:19" x14ac:dyDescent="0.3">
      <c r="A455" s="3" t="s">
        <v>1405</v>
      </c>
      <c r="B455" s="3">
        <v>19</v>
      </c>
      <c r="C455" s="3" t="s">
        <v>35</v>
      </c>
      <c r="D455" s="3" t="s">
        <v>17</v>
      </c>
      <c r="E455" s="3" t="s">
        <v>54</v>
      </c>
      <c r="F455" s="4">
        <v>43907</v>
      </c>
      <c r="G455" s="3" t="s">
        <v>1406</v>
      </c>
      <c r="H455" s="3" t="s">
        <v>1407</v>
      </c>
      <c r="I455" s="3" t="s">
        <v>30</v>
      </c>
      <c r="J455" s="5">
        <v>16920.161533782099</v>
      </c>
      <c r="K455" s="3">
        <v>206</v>
      </c>
      <c r="L455" s="3" t="s">
        <v>31</v>
      </c>
      <c r="M455" s="4">
        <v>43931</v>
      </c>
      <c r="N455" s="3" t="s">
        <v>79</v>
      </c>
      <c r="O455" s="3" t="s">
        <v>47</v>
      </c>
      <c r="P455" s="3" t="str">
        <f>IF(Table1[[#This Row],[Billing Amount]]&lt;5000,"Low",IF(Table1[[#This Row],[Billing Amount]]&lt;=15000,"Medium","High"))</f>
        <v>High</v>
      </c>
      <c r="Q455" s="3" t="str">
        <f>IF(Table1[[#This Row],[Discharge Date]]="Yes","Discharged","Under Treatment")</f>
        <v>Under Treatment</v>
      </c>
      <c r="R455" s="3" t="str">
        <f>IF(Table1[[#This Row],[Test Results]]&gt;120,"High Risk","Normal")</f>
        <v>High Risk</v>
      </c>
      <c r="S455" s="3" t="str">
        <f>IF(Table1[[#This Row],[Age]]&lt;=18,"0-18",IF(Table1[[#This Row],[Age]]&lt;=35,"19-35",IF(Table1[[#This Row],[Age]]&lt;=50,"36-50",IF(Table1[[#This Row],[Age]]&lt;=65,"51-65","65+"))))</f>
        <v>19-35</v>
      </c>
    </row>
    <row r="456" spans="1:19" x14ac:dyDescent="0.3">
      <c r="A456" s="3" t="s">
        <v>1408</v>
      </c>
      <c r="B456" s="3">
        <v>58</v>
      </c>
      <c r="C456" s="3" t="s">
        <v>16</v>
      </c>
      <c r="D456" s="3" t="s">
        <v>49</v>
      </c>
      <c r="E456" s="3" t="s">
        <v>93</v>
      </c>
      <c r="F456" s="4">
        <v>44788</v>
      </c>
      <c r="G456" s="3" t="s">
        <v>1409</v>
      </c>
      <c r="H456" s="3" t="s">
        <v>1410</v>
      </c>
      <c r="I456" s="3" t="s">
        <v>39</v>
      </c>
      <c r="J456" s="5">
        <v>49861.874237561402</v>
      </c>
      <c r="K456" s="3">
        <v>207</v>
      </c>
      <c r="L456" s="3" t="s">
        <v>31</v>
      </c>
      <c r="M456" s="4">
        <v>44805</v>
      </c>
      <c r="N456" s="3" t="s">
        <v>32</v>
      </c>
      <c r="O456" s="3" t="s">
        <v>47</v>
      </c>
      <c r="P456" s="3" t="str">
        <f>IF(Table1[[#This Row],[Billing Amount]]&lt;5000,"Low",IF(Table1[[#This Row],[Billing Amount]]&lt;=15000,"Medium","High"))</f>
        <v>High</v>
      </c>
      <c r="Q456" s="3" t="str">
        <f>IF(Table1[[#This Row],[Discharge Date]]="Yes","Discharged","Under Treatment")</f>
        <v>Under Treatment</v>
      </c>
      <c r="R456" s="3" t="str">
        <f>IF(Table1[[#This Row],[Test Results]]&gt;120,"High Risk","Normal")</f>
        <v>High Risk</v>
      </c>
      <c r="S456" s="3" t="str">
        <f>IF(Table1[[#This Row],[Age]]&lt;=18,"0-18",IF(Table1[[#This Row],[Age]]&lt;=35,"19-35",IF(Table1[[#This Row],[Age]]&lt;=50,"36-50",IF(Table1[[#This Row],[Age]]&lt;=65,"51-65","65+"))))</f>
        <v>51-65</v>
      </c>
    </row>
    <row r="457" spans="1:19" x14ac:dyDescent="0.3">
      <c r="A457" s="3" t="s">
        <v>1411</v>
      </c>
      <c r="B457" s="3">
        <v>57</v>
      </c>
      <c r="C457" s="3" t="s">
        <v>16</v>
      </c>
      <c r="D457" s="3" t="s">
        <v>49</v>
      </c>
      <c r="E457" s="3" t="s">
        <v>18</v>
      </c>
      <c r="F457" s="4">
        <v>45061</v>
      </c>
      <c r="G457" s="3" t="s">
        <v>1412</v>
      </c>
      <c r="H457" s="3" t="s">
        <v>1413</v>
      </c>
      <c r="I457" s="3" t="s">
        <v>21</v>
      </c>
      <c r="J457" s="5">
        <v>36287.385064260699</v>
      </c>
      <c r="K457" s="3">
        <v>263</v>
      </c>
      <c r="L457" s="3" t="s">
        <v>46</v>
      </c>
      <c r="M457" s="4">
        <v>45065</v>
      </c>
      <c r="N457" s="3" t="s">
        <v>79</v>
      </c>
      <c r="O457" s="3" t="s">
        <v>33</v>
      </c>
      <c r="P457" s="3" t="str">
        <f>IF(Table1[[#This Row],[Billing Amount]]&lt;5000,"Low",IF(Table1[[#This Row],[Billing Amount]]&lt;=15000,"Medium","High"))</f>
        <v>High</v>
      </c>
      <c r="Q457" s="3" t="str">
        <f>IF(Table1[[#This Row],[Discharge Date]]="Yes","Discharged","Under Treatment")</f>
        <v>Under Treatment</v>
      </c>
      <c r="R457" s="3" t="str">
        <f>IF(Table1[[#This Row],[Test Results]]&gt;120,"High Risk","Normal")</f>
        <v>High Risk</v>
      </c>
      <c r="S457" s="3" t="str">
        <f>IF(Table1[[#This Row],[Age]]&lt;=18,"0-18",IF(Table1[[#This Row],[Age]]&lt;=35,"19-35",IF(Table1[[#This Row],[Age]]&lt;=50,"36-50",IF(Table1[[#This Row],[Age]]&lt;=65,"51-65","65+"))))</f>
        <v>51-65</v>
      </c>
    </row>
    <row r="458" spans="1:19" x14ac:dyDescent="0.3">
      <c r="A458" s="3" t="s">
        <v>1414</v>
      </c>
      <c r="B458" s="3">
        <v>62</v>
      </c>
      <c r="C458" s="3" t="s">
        <v>16</v>
      </c>
      <c r="D458" s="3" t="s">
        <v>103</v>
      </c>
      <c r="E458" s="3" t="s">
        <v>76</v>
      </c>
      <c r="F458" s="4">
        <v>45228</v>
      </c>
      <c r="G458" s="3" t="s">
        <v>1415</v>
      </c>
      <c r="H458" s="3" t="s">
        <v>1416</v>
      </c>
      <c r="I458" s="3" t="s">
        <v>39</v>
      </c>
      <c r="J458" s="5">
        <v>22030.693351067799</v>
      </c>
      <c r="K458" s="3">
        <v>132</v>
      </c>
      <c r="L458" s="3" t="s">
        <v>22</v>
      </c>
      <c r="M458" s="4">
        <v>45244</v>
      </c>
      <c r="N458" s="3" t="s">
        <v>79</v>
      </c>
      <c r="O458" s="3" t="s">
        <v>24</v>
      </c>
      <c r="P458" s="3" t="str">
        <f>IF(Table1[[#This Row],[Billing Amount]]&lt;5000,"Low",IF(Table1[[#This Row],[Billing Amount]]&lt;=15000,"Medium","High"))</f>
        <v>High</v>
      </c>
      <c r="Q458" s="3" t="str">
        <f>IF(Table1[[#This Row],[Discharge Date]]="Yes","Discharged","Under Treatment")</f>
        <v>Under Treatment</v>
      </c>
      <c r="R458" s="3" t="str">
        <f>IF(Table1[[#This Row],[Test Results]]&gt;120,"High Risk","Normal")</f>
        <v>High Risk</v>
      </c>
      <c r="S458" s="3" t="str">
        <f>IF(Table1[[#This Row],[Age]]&lt;=18,"0-18",IF(Table1[[#This Row],[Age]]&lt;=35,"19-35",IF(Table1[[#This Row],[Age]]&lt;=50,"36-50",IF(Table1[[#This Row],[Age]]&lt;=65,"51-65","65+"))))</f>
        <v>51-65</v>
      </c>
    </row>
    <row r="459" spans="1:19" x14ac:dyDescent="0.3">
      <c r="A459" s="3" t="s">
        <v>1417</v>
      </c>
      <c r="B459" s="3">
        <v>71</v>
      </c>
      <c r="C459" s="3" t="s">
        <v>16</v>
      </c>
      <c r="D459" s="3" t="s">
        <v>59</v>
      </c>
      <c r="E459" s="3" t="s">
        <v>43</v>
      </c>
      <c r="F459" s="4">
        <v>45300</v>
      </c>
      <c r="G459" s="3" t="s">
        <v>1418</v>
      </c>
      <c r="H459" s="3" t="s">
        <v>1419</v>
      </c>
      <c r="I459" s="3" t="s">
        <v>57</v>
      </c>
      <c r="J459" s="5">
        <v>45665.850891878501</v>
      </c>
      <c r="K459" s="3">
        <v>387</v>
      </c>
      <c r="L459" s="3" t="s">
        <v>46</v>
      </c>
      <c r="M459" s="4">
        <v>45311</v>
      </c>
      <c r="N459" s="3" t="s">
        <v>52</v>
      </c>
      <c r="O459" s="3" t="s">
        <v>33</v>
      </c>
      <c r="P459" s="3" t="str">
        <f>IF(Table1[[#This Row],[Billing Amount]]&lt;5000,"Low",IF(Table1[[#This Row],[Billing Amount]]&lt;=15000,"Medium","High"))</f>
        <v>High</v>
      </c>
      <c r="Q459" s="3" t="str">
        <f>IF(Table1[[#This Row],[Discharge Date]]="Yes","Discharged","Under Treatment")</f>
        <v>Under Treatment</v>
      </c>
      <c r="R459" s="3" t="str">
        <f>IF(Table1[[#This Row],[Test Results]]&gt;120,"High Risk","Normal")</f>
        <v>High Risk</v>
      </c>
      <c r="S459" s="3" t="str">
        <f>IF(Table1[[#This Row],[Age]]&lt;=18,"0-18",IF(Table1[[#This Row],[Age]]&lt;=35,"19-35",IF(Table1[[#This Row],[Age]]&lt;=50,"36-50",IF(Table1[[#This Row],[Age]]&lt;=65,"51-65","65+"))))</f>
        <v>65+</v>
      </c>
    </row>
    <row r="460" spans="1:19" x14ac:dyDescent="0.3">
      <c r="A460" s="3" t="s">
        <v>1420</v>
      </c>
      <c r="B460" s="3">
        <v>84</v>
      </c>
      <c r="C460" s="3" t="s">
        <v>35</v>
      </c>
      <c r="D460" s="3" t="s">
        <v>122</v>
      </c>
      <c r="E460" s="3" t="s">
        <v>93</v>
      </c>
      <c r="F460" s="4">
        <v>43763</v>
      </c>
      <c r="G460" s="3" t="s">
        <v>1421</v>
      </c>
      <c r="H460" s="3" t="s">
        <v>1422</v>
      </c>
      <c r="I460" s="3" t="s">
        <v>65</v>
      </c>
      <c r="J460" s="5">
        <v>28401.556931871601</v>
      </c>
      <c r="K460" s="3">
        <v>377</v>
      </c>
      <c r="L460" s="3" t="s">
        <v>46</v>
      </c>
      <c r="M460" s="4">
        <v>43784</v>
      </c>
      <c r="N460" s="3" t="s">
        <v>32</v>
      </c>
      <c r="O460" s="3" t="s">
        <v>33</v>
      </c>
      <c r="P460" s="3" t="str">
        <f>IF(Table1[[#This Row],[Billing Amount]]&lt;5000,"Low",IF(Table1[[#This Row],[Billing Amount]]&lt;=15000,"Medium","High"))</f>
        <v>High</v>
      </c>
      <c r="Q460" s="3" t="str">
        <f>IF(Table1[[#This Row],[Discharge Date]]="Yes","Discharged","Under Treatment")</f>
        <v>Under Treatment</v>
      </c>
      <c r="R460" s="3" t="str">
        <f>IF(Table1[[#This Row],[Test Results]]&gt;120,"High Risk","Normal")</f>
        <v>High Risk</v>
      </c>
      <c r="S460" s="3" t="str">
        <f>IF(Table1[[#This Row],[Age]]&lt;=18,"0-18",IF(Table1[[#This Row],[Age]]&lt;=35,"19-35",IF(Table1[[#This Row],[Age]]&lt;=50,"36-50",IF(Table1[[#This Row],[Age]]&lt;=65,"51-65","65+"))))</f>
        <v>65+</v>
      </c>
    </row>
    <row r="461" spans="1:19" x14ac:dyDescent="0.3">
      <c r="A461" s="3" t="s">
        <v>1423</v>
      </c>
      <c r="B461" s="3">
        <v>72</v>
      </c>
      <c r="C461" s="3" t="s">
        <v>35</v>
      </c>
      <c r="D461" s="3" t="s">
        <v>59</v>
      </c>
      <c r="E461" s="3" t="s">
        <v>54</v>
      </c>
      <c r="F461" s="4">
        <v>44544</v>
      </c>
      <c r="G461" s="3" t="s">
        <v>1424</v>
      </c>
      <c r="H461" s="3" t="s">
        <v>1425</v>
      </c>
      <c r="I461" s="3" t="s">
        <v>39</v>
      </c>
      <c r="J461" s="5">
        <v>47454.594675132299</v>
      </c>
      <c r="K461" s="3">
        <v>293</v>
      </c>
      <c r="L461" s="3" t="s">
        <v>31</v>
      </c>
      <c r="M461" s="4">
        <v>44554</v>
      </c>
      <c r="N461" s="3" t="s">
        <v>40</v>
      </c>
      <c r="O461" s="3" t="s">
        <v>47</v>
      </c>
      <c r="P461" s="3" t="str">
        <f>IF(Table1[[#This Row],[Billing Amount]]&lt;5000,"Low",IF(Table1[[#This Row],[Billing Amount]]&lt;=15000,"Medium","High"))</f>
        <v>High</v>
      </c>
      <c r="Q461" s="3" t="str">
        <f>IF(Table1[[#This Row],[Discharge Date]]="Yes","Discharged","Under Treatment")</f>
        <v>Under Treatment</v>
      </c>
      <c r="R461" s="3" t="str">
        <f>IF(Table1[[#This Row],[Test Results]]&gt;120,"High Risk","Normal")</f>
        <v>High Risk</v>
      </c>
      <c r="S461" s="3" t="str">
        <f>IF(Table1[[#This Row],[Age]]&lt;=18,"0-18",IF(Table1[[#This Row],[Age]]&lt;=35,"19-35",IF(Table1[[#This Row],[Age]]&lt;=50,"36-50",IF(Table1[[#This Row],[Age]]&lt;=65,"51-65","65+"))))</f>
        <v>65+</v>
      </c>
    </row>
    <row r="462" spans="1:19" x14ac:dyDescent="0.3">
      <c r="A462" s="3" t="s">
        <v>1426</v>
      </c>
      <c r="B462" s="3">
        <v>33</v>
      </c>
      <c r="C462" s="3" t="s">
        <v>35</v>
      </c>
      <c r="D462" s="3" t="s">
        <v>36</v>
      </c>
      <c r="E462" s="3" t="s">
        <v>43</v>
      </c>
      <c r="F462" s="4">
        <v>45076</v>
      </c>
      <c r="G462" s="3" t="s">
        <v>1427</v>
      </c>
      <c r="H462" s="3" t="s">
        <v>1428</v>
      </c>
      <c r="I462" s="3" t="s">
        <v>65</v>
      </c>
      <c r="J462" s="5">
        <v>22257.6093737339</v>
      </c>
      <c r="K462" s="3">
        <v>243</v>
      </c>
      <c r="L462" s="3" t="s">
        <v>22</v>
      </c>
      <c r="M462" s="4">
        <v>45078</v>
      </c>
      <c r="N462" s="3" t="s">
        <v>32</v>
      </c>
      <c r="O462" s="3" t="s">
        <v>47</v>
      </c>
      <c r="P462" s="3" t="str">
        <f>IF(Table1[[#This Row],[Billing Amount]]&lt;5000,"Low",IF(Table1[[#This Row],[Billing Amount]]&lt;=15000,"Medium","High"))</f>
        <v>High</v>
      </c>
      <c r="Q462" s="3" t="str">
        <f>IF(Table1[[#This Row],[Discharge Date]]="Yes","Discharged","Under Treatment")</f>
        <v>Under Treatment</v>
      </c>
      <c r="R462" s="3" t="str">
        <f>IF(Table1[[#This Row],[Test Results]]&gt;120,"High Risk","Normal")</f>
        <v>High Risk</v>
      </c>
      <c r="S462" s="3" t="str">
        <f>IF(Table1[[#This Row],[Age]]&lt;=18,"0-18",IF(Table1[[#This Row],[Age]]&lt;=35,"19-35",IF(Table1[[#This Row],[Age]]&lt;=50,"36-50",IF(Table1[[#This Row],[Age]]&lt;=65,"51-65","65+"))))</f>
        <v>19-35</v>
      </c>
    </row>
    <row r="463" spans="1:19" x14ac:dyDescent="0.3">
      <c r="A463" s="3" t="s">
        <v>1429</v>
      </c>
      <c r="B463" s="3">
        <v>80</v>
      </c>
      <c r="C463" s="3" t="s">
        <v>35</v>
      </c>
      <c r="D463" s="3" t="s">
        <v>59</v>
      </c>
      <c r="E463" s="3" t="s">
        <v>93</v>
      </c>
      <c r="F463" s="4">
        <v>43703</v>
      </c>
      <c r="G463" s="3" t="s">
        <v>1430</v>
      </c>
      <c r="H463" s="3" t="s">
        <v>1431</v>
      </c>
      <c r="I463" s="3" t="s">
        <v>21</v>
      </c>
      <c r="J463" s="5">
        <v>30324.065977730599</v>
      </c>
      <c r="K463" s="3">
        <v>159</v>
      </c>
      <c r="L463" s="3" t="s">
        <v>22</v>
      </c>
      <c r="M463" s="4">
        <v>43723</v>
      </c>
      <c r="N463" s="3" t="s">
        <v>52</v>
      </c>
      <c r="O463" s="3" t="s">
        <v>47</v>
      </c>
      <c r="P463" s="3" t="str">
        <f>IF(Table1[[#This Row],[Billing Amount]]&lt;5000,"Low",IF(Table1[[#This Row],[Billing Amount]]&lt;=15000,"Medium","High"))</f>
        <v>High</v>
      </c>
      <c r="Q463" s="3" t="str">
        <f>IF(Table1[[#This Row],[Discharge Date]]="Yes","Discharged","Under Treatment")</f>
        <v>Under Treatment</v>
      </c>
      <c r="R463" s="3" t="str">
        <f>IF(Table1[[#This Row],[Test Results]]&gt;120,"High Risk","Normal")</f>
        <v>High Risk</v>
      </c>
      <c r="S463" s="3" t="str">
        <f>IF(Table1[[#This Row],[Age]]&lt;=18,"0-18",IF(Table1[[#This Row],[Age]]&lt;=35,"19-35",IF(Table1[[#This Row],[Age]]&lt;=50,"36-50",IF(Table1[[#This Row],[Age]]&lt;=65,"51-65","65+"))))</f>
        <v>65+</v>
      </c>
    </row>
    <row r="464" spans="1:19" x14ac:dyDescent="0.3">
      <c r="A464" s="3" t="s">
        <v>1432</v>
      </c>
      <c r="B464" s="3">
        <v>24</v>
      </c>
      <c r="C464" s="3" t="s">
        <v>35</v>
      </c>
      <c r="D464" s="3" t="s">
        <v>122</v>
      </c>
      <c r="E464" s="3" t="s">
        <v>93</v>
      </c>
      <c r="F464" s="4">
        <v>43785</v>
      </c>
      <c r="G464" s="3" t="s">
        <v>1433</v>
      </c>
      <c r="H464" s="3" t="s">
        <v>1434</v>
      </c>
      <c r="I464" s="3" t="s">
        <v>30</v>
      </c>
      <c r="J464" s="5">
        <v>10053.9245846758</v>
      </c>
      <c r="K464" s="3">
        <v>371</v>
      </c>
      <c r="L464" s="3" t="s">
        <v>31</v>
      </c>
      <c r="M464" s="4">
        <v>43801</v>
      </c>
      <c r="N464" s="3" t="s">
        <v>40</v>
      </c>
      <c r="O464" s="3" t="s">
        <v>47</v>
      </c>
      <c r="P464" s="3" t="str">
        <f>IF(Table1[[#This Row],[Billing Amount]]&lt;5000,"Low",IF(Table1[[#This Row],[Billing Amount]]&lt;=15000,"Medium","High"))</f>
        <v>Medium</v>
      </c>
      <c r="Q464" s="3" t="str">
        <f>IF(Table1[[#This Row],[Discharge Date]]="Yes","Discharged","Under Treatment")</f>
        <v>Under Treatment</v>
      </c>
      <c r="R464" s="3" t="str">
        <f>IF(Table1[[#This Row],[Test Results]]&gt;120,"High Risk","Normal")</f>
        <v>High Risk</v>
      </c>
      <c r="S464" s="3" t="str">
        <f>IF(Table1[[#This Row],[Age]]&lt;=18,"0-18",IF(Table1[[#This Row],[Age]]&lt;=35,"19-35",IF(Table1[[#This Row],[Age]]&lt;=50,"36-50",IF(Table1[[#This Row],[Age]]&lt;=65,"51-65","65+"))))</f>
        <v>19-35</v>
      </c>
    </row>
    <row r="465" spans="1:19" x14ac:dyDescent="0.3">
      <c r="A465" s="3" t="s">
        <v>1435</v>
      </c>
      <c r="B465" s="3">
        <v>44</v>
      </c>
      <c r="C465" s="3" t="s">
        <v>35</v>
      </c>
      <c r="D465" s="3" t="s">
        <v>36</v>
      </c>
      <c r="E465" s="3" t="s">
        <v>93</v>
      </c>
      <c r="F465" s="4">
        <v>44674</v>
      </c>
      <c r="G465" s="3" t="s">
        <v>1436</v>
      </c>
      <c r="H465" s="3" t="s">
        <v>1437</v>
      </c>
      <c r="I465" s="3" t="s">
        <v>30</v>
      </c>
      <c r="J465" s="5">
        <v>9823.3034328471695</v>
      </c>
      <c r="K465" s="3">
        <v>304</v>
      </c>
      <c r="L465" s="3" t="s">
        <v>46</v>
      </c>
      <c r="M465" s="4">
        <v>44700</v>
      </c>
      <c r="N465" s="3" t="s">
        <v>79</v>
      </c>
      <c r="O465" s="3" t="s">
        <v>24</v>
      </c>
      <c r="P465" s="3" t="str">
        <f>IF(Table1[[#This Row],[Billing Amount]]&lt;5000,"Low",IF(Table1[[#This Row],[Billing Amount]]&lt;=15000,"Medium","High"))</f>
        <v>Medium</v>
      </c>
      <c r="Q465" s="3" t="str">
        <f>IF(Table1[[#This Row],[Discharge Date]]="Yes","Discharged","Under Treatment")</f>
        <v>Under Treatment</v>
      </c>
      <c r="R465" s="3" t="str">
        <f>IF(Table1[[#This Row],[Test Results]]&gt;120,"High Risk","Normal")</f>
        <v>High Risk</v>
      </c>
      <c r="S465" s="3" t="str">
        <f>IF(Table1[[#This Row],[Age]]&lt;=18,"0-18",IF(Table1[[#This Row],[Age]]&lt;=35,"19-35",IF(Table1[[#This Row],[Age]]&lt;=50,"36-50",IF(Table1[[#This Row],[Age]]&lt;=65,"51-65","65+"))))</f>
        <v>36-50</v>
      </c>
    </row>
    <row r="466" spans="1:19" x14ac:dyDescent="0.3">
      <c r="A466" s="3" t="s">
        <v>1438</v>
      </c>
      <c r="B466" s="3">
        <v>83</v>
      </c>
      <c r="C466" s="3" t="s">
        <v>16</v>
      </c>
      <c r="D466" s="3" t="s">
        <v>103</v>
      </c>
      <c r="E466" s="3" t="s">
        <v>27</v>
      </c>
      <c r="F466" s="4">
        <v>44853</v>
      </c>
      <c r="G466" s="3" t="s">
        <v>1439</v>
      </c>
      <c r="H466" s="3" t="s">
        <v>1440</v>
      </c>
      <c r="I466" s="3" t="s">
        <v>21</v>
      </c>
      <c r="J466" s="5">
        <v>17855.801067762801</v>
      </c>
      <c r="K466" s="3">
        <v>349</v>
      </c>
      <c r="L466" s="3" t="s">
        <v>31</v>
      </c>
      <c r="M466" s="4">
        <v>44875</v>
      </c>
      <c r="N466" s="3" t="s">
        <v>32</v>
      </c>
      <c r="O466" s="3" t="s">
        <v>33</v>
      </c>
      <c r="P466" s="3" t="str">
        <f>IF(Table1[[#This Row],[Billing Amount]]&lt;5000,"Low",IF(Table1[[#This Row],[Billing Amount]]&lt;=15000,"Medium","High"))</f>
        <v>High</v>
      </c>
      <c r="Q466" s="3" t="str">
        <f>IF(Table1[[#This Row],[Discharge Date]]="Yes","Discharged","Under Treatment")</f>
        <v>Under Treatment</v>
      </c>
      <c r="R466" s="3" t="str">
        <f>IF(Table1[[#This Row],[Test Results]]&gt;120,"High Risk","Normal")</f>
        <v>High Risk</v>
      </c>
      <c r="S466" s="3" t="str">
        <f>IF(Table1[[#This Row],[Age]]&lt;=18,"0-18",IF(Table1[[#This Row],[Age]]&lt;=35,"19-35",IF(Table1[[#This Row],[Age]]&lt;=50,"36-50",IF(Table1[[#This Row],[Age]]&lt;=65,"51-65","65+"))))</f>
        <v>65+</v>
      </c>
    </row>
    <row r="467" spans="1:19" x14ac:dyDescent="0.3">
      <c r="A467" s="3" t="s">
        <v>1441</v>
      </c>
      <c r="B467" s="3">
        <v>80</v>
      </c>
      <c r="C467" s="3" t="s">
        <v>16</v>
      </c>
      <c r="D467" s="3" t="s">
        <v>122</v>
      </c>
      <c r="E467" s="3" t="s">
        <v>93</v>
      </c>
      <c r="F467" s="4">
        <v>44597</v>
      </c>
      <c r="G467" s="3" t="s">
        <v>1442</v>
      </c>
      <c r="H467" s="3" t="s">
        <v>1443</v>
      </c>
      <c r="I467" s="3" t="s">
        <v>65</v>
      </c>
      <c r="J467" s="5">
        <v>40178.463294369503</v>
      </c>
      <c r="K467" s="3">
        <v>396</v>
      </c>
      <c r="L467" s="3" t="s">
        <v>46</v>
      </c>
      <c r="M467" s="4">
        <v>44610</v>
      </c>
      <c r="N467" s="3" t="s">
        <v>52</v>
      </c>
      <c r="O467" s="3" t="s">
        <v>33</v>
      </c>
      <c r="P467" s="3" t="str">
        <f>IF(Table1[[#This Row],[Billing Amount]]&lt;5000,"Low",IF(Table1[[#This Row],[Billing Amount]]&lt;=15000,"Medium","High"))</f>
        <v>High</v>
      </c>
      <c r="Q467" s="3" t="str">
        <f>IF(Table1[[#This Row],[Discharge Date]]="Yes","Discharged","Under Treatment")</f>
        <v>Under Treatment</v>
      </c>
      <c r="R467" s="3" t="str">
        <f>IF(Table1[[#This Row],[Test Results]]&gt;120,"High Risk","Normal")</f>
        <v>High Risk</v>
      </c>
      <c r="S467" s="3" t="str">
        <f>IF(Table1[[#This Row],[Age]]&lt;=18,"0-18",IF(Table1[[#This Row],[Age]]&lt;=35,"19-35",IF(Table1[[#This Row],[Age]]&lt;=50,"36-50",IF(Table1[[#This Row],[Age]]&lt;=65,"51-65","65+"))))</f>
        <v>65+</v>
      </c>
    </row>
    <row r="468" spans="1:19" x14ac:dyDescent="0.3">
      <c r="A468" s="3" t="s">
        <v>1444</v>
      </c>
      <c r="B468" s="3">
        <v>41</v>
      </c>
      <c r="C468" s="3" t="s">
        <v>35</v>
      </c>
      <c r="D468" s="3" t="s">
        <v>103</v>
      </c>
      <c r="E468" s="3" t="s">
        <v>18</v>
      </c>
      <c r="F468" s="4">
        <v>43678</v>
      </c>
      <c r="G468" s="3" t="s">
        <v>1445</v>
      </c>
      <c r="H468" s="3" t="s">
        <v>1446</v>
      </c>
      <c r="I468" s="3" t="s">
        <v>65</v>
      </c>
      <c r="J468" s="5">
        <v>24690.222176680199</v>
      </c>
      <c r="K468" s="3">
        <v>320</v>
      </c>
      <c r="L468" s="3" t="s">
        <v>31</v>
      </c>
      <c r="M468" s="4">
        <v>43686</v>
      </c>
      <c r="N468" s="3" t="s">
        <v>32</v>
      </c>
      <c r="O468" s="3" t="s">
        <v>47</v>
      </c>
      <c r="P468" s="3" t="str">
        <f>IF(Table1[[#This Row],[Billing Amount]]&lt;5000,"Low",IF(Table1[[#This Row],[Billing Amount]]&lt;=15000,"Medium","High"))</f>
        <v>High</v>
      </c>
      <c r="Q468" s="3" t="str">
        <f>IF(Table1[[#This Row],[Discharge Date]]="Yes","Discharged","Under Treatment")</f>
        <v>Under Treatment</v>
      </c>
      <c r="R468" s="3" t="str">
        <f>IF(Table1[[#This Row],[Test Results]]&gt;120,"High Risk","Normal")</f>
        <v>High Risk</v>
      </c>
      <c r="S468" s="3" t="str">
        <f>IF(Table1[[#This Row],[Age]]&lt;=18,"0-18",IF(Table1[[#This Row],[Age]]&lt;=35,"19-35",IF(Table1[[#This Row],[Age]]&lt;=50,"36-50",IF(Table1[[#This Row],[Age]]&lt;=65,"51-65","65+"))))</f>
        <v>36-50</v>
      </c>
    </row>
    <row r="469" spans="1:19" x14ac:dyDescent="0.3">
      <c r="A469" s="3" t="s">
        <v>1447</v>
      </c>
      <c r="B469" s="3">
        <v>39</v>
      </c>
      <c r="C469" s="3" t="s">
        <v>16</v>
      </c>
      <c r="D469" s="3" t="s">
        <v>122</v>
      </c>
      <c r="E469" s="3" t="s">
        <v>93</v>
      </c>
      <c r="F469" s="4">
        <v>44366</v>
      </c>
      <c r="G469" s="3" t="s">
        <v>1448</v>
      </c>
      <c r="H469" s="3" t="s">
        <v>1449</v>
      </c>
      <c r="I469" s="3" t="s">
        <v>57</v>
      </c>
      <c r="J469" s="5">
        <v>21862.0563570798</v>
      </c>
      <c r="K469" s="3">
        <v>497</v>
      </c>
      <c r="L469" s="3" t="s">
        <v>46</v>
      </c>
      <c r="M469" s="4">
        <v>44393</v>
      </c>
      <c r="N469" s="3" t="s">
        <v>40</v>
      </c>
      <c r="O469" s="3" t="s">
        <v>24</v>
      </c>
      <c r="P469" s="3" t="str">
        <f>IF(Table1[[#This Row],[Billing Amount]]&lt;5000,"Low",IF(Table1[[#This Row],[Billing Amount]]&lt;=15000,"Medium","High"))</f>
        <v>High</v>
      </c>
      <c r="Q469" s="3" t="str">
        <f>IF(Table1[[#This Row],[Discharge Date]]="Yes","Discharged","Under Treatment")</f>
        <v>Under Treatment</v>
      </c>
      <c r="R469" s="3" t="str">
        <f>IF(Table1[[#This Row],[Test Results]]&gt;120,"High Risk","Normal")</f>
        <v>High Risk</v>
      </c>
      <c r="S469" s="3" t="str">
        <f>IF(Table1[[#This Row],[Age]]&lt;=18,"0-18",IF(Table1[[#This Row],[Age]]&lt;=35,"19-35",IF(Table1[[#This Row],[Age]]&lt;=50,"36-50",IF(Table1[[#This Row],[Age]]&lt;=65,"51-65","65+"))))</f>
        <v>36-50</v>
      </c>
    </row>
    <row r="470" spans="1:19" x14ac:dyDescent="0.3">
      <c r="A470" s="3" t="s">
        <v>1450</v>
      </c>
      <c r="B470" s="3">
        <v>55</v>
      </c>
      <c r="C470" s="3" t="s">
        <v>16</v>
      </c>
      <c r="D470" s="3" t="s">
        <v>122</v>
      </c>
      <c r="E470" s="3" t="s">
        <v>54</v>
      </c>
      <c r="F470" s="4">
        <v>44010</v>
      </c>
      <c r="G470" s="3" t="s">
        <v>1451</v>
      </c>
      <c r="H470" s="3" t="s">
        <v>1452</v>
      </c>
      <c r="I470" s="3" t="s">
        <v>39</v>
      </c>
      <c r="J470" s="5">
        <v>29790.846838576999</v>
      </c>
      <c r="K470" s="3">
        <v>142</v>
      </c>
      <c r="L470" s="3" t="s">
        <v>22</v>
      </c>
      <c r="M470" s="4">
        <v>44036</v>
      </c>
      <c r="N470" s="3" t="s">
        <v>32</v>
      </c>
      <c r="O470" s="3" t="s">
        <v>24</v>
      </c>
      <c r="P470" s="3" t="str">
        <f>IF(Table1[[#This Row],[Billing Amount]]&lt;5000,"Low",IF(Table1[[#This Row],[Billing Amount]]&lt;=15000,"Medium","High"))</f>
        <v>High</v>
      </c>
      <c r="Q470" s="3" t="str">
        <f>IF(Table1[[#This Row],[Discharge Date]]="Yes","Discharged","Under Treatment")</f>
        <v>Under Treatment</v>
      </c>
      <c r="R470" s="3" t="str">
        <f>IF(Table1[[#This Row],[Test Results]]&gt;120,"High Risk","Normal")</f>
        <v>High Risk</v>
      </c>
      <c r="S470" s="3" t="str">
        <f>IF(Table1[[#This Row],[Age]]&lt;=18,"0-18",IF(Table1[[#This Row],[Age]]&lt;=35,"19-35",IF(Table1[[#This Row],[Age]]&lt;=50,"36-50",IF(Table1[[#This Row],[Age]]&lt;=65,"51-65","65+"))))</f>
        <v>51-65</v>
      </c>
    </row>
    <row r="471" spans="1:19" x14ac:dyDescent="0.3">
      <c r="A471" s="3" t="s">
        <v>1454</v>
      </c>
      <c r="B471" s="3">
        <v>34</v>
      </c>
      <c r="C471" s="3" t="s">
        <v>35</v>
      </c>
      <c r="D471" s="3" t="s">
        <v>36</v>
      </c>
      <c r="E471" s="3" t="s">
        <v>54</v>
      </c>
      <c r="F471" s="4">
        <v>44759</v>
      </c>
      <c r="G471" s="3" t="s">
        <v>1455</v>
      </c>
      <c r="H471" s="3" t="s">
        <v>1456</v>
      </c>
      <c r="I471" s="3" t="s">
        <v>39</v>
      </c>
      <c r="J471" s="5">
        <v>20453.317499341199</v>
      </c>
      <c r="K471" s="3">
        <v>445</v>
      </c>
      <c r="L471" s="3" t="s">
        <v>22</v>
      </c>
      <c r="M471" s="4">
        <v>44765</v>
      </c>
      <c r="N471" s="3" t="s">
        <v>23</v>
      </c>
      <c r="O471" s="3" t="s">
        <v>33</v>
      </c>
      <c r="P471" s="3" t="str">
        <f>IF(Table1[[#This Row],[Billing Amount]]&lt;5000,"Low",IF(Table1[[#This Row],[Billing Amount]]&lt;=15000,"Medium","High"))</f>
        <v>High</v>
      </c>
      <c r="Q471" s="3" t="str">
        <f>IF(Table1[[#This Row],[Discharge Date]]="Yes","Discharged","Under Treatment")</f>
        <v>Under Treatment</v>
      </c>
      <c r="R471" s="3" t="str">
        <f>IF(Table1[[#This Row],[Test Results]]&gt;120,"High Risk","Normal")</f>
        <v>High Risk</v>
      </c>
      <c r="S471" s="3" t="str">
        <f>IF(Table1[[#This Row],[Age]]&lt;=18,"0-18",IF(Table1[[#This Row],[Age]]&lt;=35,"19-35",IF(Table1[[#This Row],[Age]]&lt;=50,"36-50",IF(Table1[[#This Row],[Age]]&lt;=65,"51-65","65+"))))</f>
        <v>19-35</v>
      </c>
    </row>
    <row r="472" spans="1:19" x14ac:dyDescent="0.3">
      <c r="A472" s="3" t="s">
        <v>1457</v>
      </c>
      <c r="B472" s="3">
        <v>27</v>
      </c>
      <c r="C472" s="3" t="s">
        <v>35</v>
      </c>
      <c r="D472" s="3" t="s">
        <v>42</v>
      </c>
      <c r="E472" s="3" t="s">
        <v>76</v>
      </c>
      <c r="F472" s="4">
        <v>44338</v>
      </c>
      <c r="G472" s="3" t="s">
        <v>1458</v>
      </c>
      <c r="H472" s="3" t="s">
        <v>1459</v>
      </c>
      <c r="I472" s="3" t="s">
        <v>65</v>
      </c>
      <c r="J472" s="5">
        <v>6827.6979545313998</v>
      </c>
      <c r="K472" s="3">
        <v>119</v>
      </c>
      <c r="L472" s="3" t="s">
        <v>22</v>
      </c>
      <c r="M472" s="4">
        <v>44356</v>
      </c>
      <c r="N472" s="3" t="s">
        <v>23</v>
      </c>
      <c r="O472" s="3" t="s">
        <v>24</v>
      </c>
      <c r="P472" s="3" t="str">
        <f>IF(Table1[[#This Row],[Billing Amount]]&lt;5000,"Low",IF(Table1[[#This Row],[Billing Amount]]&lt;=15000,"Medium","High"))</f>
        <v>Medium</v>
      </c>
      <c r="Q472" s="3" t="str">
        <f>IF(Table1[[#This Row],[Discharge Date]]="Yes","Discharged","Under Treatment")</f>
        <v>Under Treatment</v>
      </c>
      <c r="R472" s="3" t="str">
        <f>IF(Table1[[#This Row],[Test Results]]&gt;120,"High Risk","Normal")</f>
        <v>High Risk</v>
      </c>
      <c r="S472" s="3" t="str">
        <f>IF(Table1[[#This Row],[Age]]&lt;=18,"0-18",IF(Table1[[#This Row],[Age]]&lt;=35,"19-35",IF(Table1[[#This Row],[Age]]&lt;=50,"36-50",IF(Table1[[#This Row],[Age]]&lt;=65,"51-65","65+"))))</f>
        <v>19-35</v>
      </c>
    </row>
    <row r="473" spans="1:19" x14ac:dyDescent="0.3">
      <c r="A473" s="3" t="s">
        <v>1460</v>
      </c>
      <c r="B473" s="3">
        <v>56</v>
      </c>
      <c r="C473" s="3" t="s">
        <v>35</v>
      </c>
      <c r="D473" s="3" t="s">
        <v>42</v>
      </c>
      <c r="E473" s="3" t="s">
        <v>43</v>
      </c>
      <c r="F473" s="4">
        <v>44789</v>
      </c>
      <c r="G473" s="3" t="s">
        <v>1461</v>
      </c>
      <c r="H473" s="3" t="s">
        <v>1462</v>
      </c>
      <c r="I473" s="3" t="s">
        <v>65</v>
      </c>
      <c r="J473" s="5">
        <v>7557.5991499684496</v>
      </c>
      <c r="K473" s="3">
        <v>264</v>
      </c>
      <c r="L473" s="3" t="s">
        <v>22</v>
      </c>
      <c r="M473" s="4">
        <v>44808</v>
      </c>
      <c r="N473" s="3" t="s">
        <v>40</v>
      </c>
      <c r="O473" s="3" t="s">
        <v>33</v>
      </c>
      <c r="P473" s="3" t="str">
        <f>IF(Table1[[#This Row],[Billing Amount]]&lt;5000,"Low",IF(Table1[[#This Row],[Billing Amount]]&lt;=15000,"Medium","High"))</f>
        <v>Medium</v>
      </c>
      <c r="Q473" s="3" t="str">
        <f>IF(Table1[[#This Row],[Discharge Date]]="Yes","Discharged","Under Treatment")</f>
        <v>Under Treatment</v>
      </c>
      <c r="R473" s="3" t="str">
        <f>IF(Table1[[#This Row],[Test Results]]&gt;120,"High Risk","Normal")</f>
        <v>High Risk</v>
      </c>
      <c r="S473" s="3" t="str">
        <f>IF(Table1[[#This Row],[Age]]&lt;=18,"0-18",IF(Table1[[#This Row],[Age]]&lt;=35,"19-35",IF(Table1[[#This Row],[Age]]&lt;=50,"36-50",IF(Table1[[#This Row],[Age]]&lt;=65,"51-65","65+"))))</f>
        <v>51-65</v>
      </c>
    </row>
    <row r="474" spans="1:19" x14ac:dyDescent="0.3">
      <c r="A474" s="3" t="s">
        <v>1463</v>
      </c>
      <c r="B474" s="3">
        <v>60</v>
      </c>
      <c r="C474" s="3" t="s">
        <v>35</v>
      </c>
      <c r="D474" s="3" t="s">
        <v>26</v>
      </c>
      <c r="E474" s="3" t="s">
        <v>18</v>
      </c>
      <c r="F474" s="4">
        <v>44286</v>
      </c>
      <c r="G474" s="3" t="s">
        <v>1464</v>
      </c>
      <c r="H474" s="3" t="s">
        <v>1465</v>
      </c>
      <c r="I474" s="3" t="s">
        <v>39</v>
      </c>
      <c r="J474" s="5">
        <v>15364.4847852978</v>
      </c>
      <c r="K474" s="3">
        <v>181</v>
      </c>
      <c r="L474" s="3" t="s">
        <v>31</v>
      </c>
      <c r="M474" s="4">
        <v>44304</v>
      </c>
      <c r="N474" s="3" t="s">
        <v>32</v>
      </c>
      <c r="O474" s="3" t="s">
        <v>47</v>
      </c>
      <c r="P474" s="3" t="str">
        <f>IF(Table1[[#This Row],[Billing Amount]]&lt;5000,"Low",IF(Table1[[#This Row],[Billing Amount]]&lt;=15000,"Medium","High"))</f>
        <v>High</v>
      </c>
      <c r="Q474" s="3" t="str">
        <f>IF(Table1[[#This Row],[Discharge Date]]="Yes","Discharged","Under Treatment")</f>
        <v>Under Treatment</v>
      </c>
      <c r="R474" s="3" t="str">
        <f>IF(Table1[[#This Row],[Test Results]]&gt;120,"High Risk","Normal")</f>
        <v>High Risk</v>
      </c>
      <c r="S474" s="3" t="str">
        <f>IF(Table1[[#This Row],[Age]]&lt;=18,"0-18",IF(Table1[[#This Row],[Age]]&lt;=35,"19-35",IF(Table1[[#This Row],[Age]]&lt;=50,"36-50",IF(Table1[[#This Row],[Age]]&lt;=65,"51-65","65+"))))</f>
        <v>51-65</v>
      </c>
    </row>
    <row r="475" spans="1:19" x14ac:dyDescent="0.3">
      <c r="A475" s="3" t="s">
        <v>1466</v>
      </c>
      <c r="B475" s="3">
        <v>71</v>
      </c>
      <c r="C475" s="3" t="s">
        <v>35</v>
      </c>
      <c r="D475" s="3" t="s">
        <v>122</v>
      </c>
      <c r="E475" s="3" t="s">
        <v>27</v>
      </c>
      <c r="F475" s="4">
        <v>44445</v>
      </c>
      <c r="G475" s="3" t="s">
        <v>1467</v>
      </c>
      <c r="H475" s="3" t="s">
        <v>1468</v>
      </c>
      <c r="I475" s="3" t="s">
        <v>39</v>
      </c>
      <c r="J475" s="5">
        <v>6664.2169167173297</v>
      </c>
      <c r="K475" s="3">
        <v>228</v>
      </c>
      <c r="L475" s="3" t="s">
        <v>46</v>
      </c>
      <c r="M475" s="4">
        <v>44456</v>
      </c>
      <c r="N475" s="3" t="s">
        <v>79</v>
      </c>
      <c r="O475" s="3" t="s">
        <v>47</v>
      </c>
      <c r="P475" s="3" t="str">
        <f>IF(Table1[[#This Row],[Billing Amount]]&lt;5000,"Low",IF(Table1[[#This Row],[Billing Amount]]&lt;=15000,"Medium","High"))</f>
        <v>Medium</v>
      </c>
      <c r="Q475" s="3" t="str">
        <f>IF(Table1[[#This Row],[Discharge Date]]="Yes","Discharged","Under Treatment")</f>
        <v>Under Treatment</v>
      </c>
      <c r="R475" s="3" t="str">
        <f>IF(Table1[[#This Row],[Test Results]]&gt;120,"High Risk","Normal")</f>
        <v>High Risk</v>
      </c>
      <c r="S475" s="3" t="str">
        <f>IF(Table1[[#This Row],[Age]]&lt;=18,"0-18",IF(Table1[[#This Row],[Age]]&lt;=35,"19-35",IF(Table1[[#This Row],[Age]]&lt;=50,"36-50",IF(Table1[[#This Row],[Age]]&lt;=65,"51-65","65+"))))</f>
        <v>65+</v>
      </c>
    </row>
    <row r="476" spans="1:19" x14ac:dyDescent="0.3">
      <c r="A476" s="3" t="s">
        <v>1469</v>
      </c>
      <c r="B476" s="3">
        <v>20</v>
      </c>
      <c r="C476" s="3" t="s">
        <v>16</v>
      </c>
      <c r="D476" s="3" t="s">
        <v>59</v>
      </c>
      <c r="E476" s="3" t="s">
        <v>43</v>
      </c>
      <c r="F476" s="4">
        <v>45164</v>
      </c>
      <c r="G476" s="3" t="s">
        <v>1470</v>
      </c>
      <c r="H476" s="3" t="s">
        <v>1471</v>
      </c>
      <c r="I476" s="3" t="s">
        <v>65</v>
      </c>
      <c r="J476" s="5">
        <v>7235.1906901877001</v>
      </c>
      <c r="K476" s="3">
        <v>197</v>
      </c>
      <c r="L476" s="3" t="s">
        <v>22</v>
      </c>
      <c r="M476" s="4">
        <v>45165</v>
      </c>
      <c r="N476" s="3" t="s">
        <v>52</v>
      </c>
      <c r="O476" s="3" t="s">
        <v>33</v>
      </c>
      <c r="P476" s="3" t="str">
        <f>IF(Table1[[#This Row],[Billing Amount]]&lt;5000,"Low",IF(Table1[[#This Row],[Billing Amount]]&lt;=15000,"Medium","High"))</f>
        <v>Medium</v>
      </c>
      <c r="Q476" s="3" t="str">
        <f>IF(Table1[[#This Row],[Discharge Date]]="Yes","Discharged","Under Treatment")</f>
        <v>Under Treatment</v>
      </c>
      <c r="R476" s="3" t="str">
        <f>IF(Table1[[#This Row],[Test Results]]&gt;120,"High Risk","Normal")</f>
        <v>High Risk</v>
      </c>
      <c r="S476" s="3" t="str">
        <f>IF(Table1[[#This Row],[Age]]&lt;=18,"0-18",IF(Table1[[#This Row],[Age]]&lt;=35,"19-35",IF(Table1[[#This Row],[Age]]&lt;=50,"36-50",IF(Table1[[#This Row],[Age]]&lt;=65,"51-65","65+"))))</f>
        <v>19-35</v>
      </c>
    </row>
    <row r="477" spans="1:19" x14ac:dyDescent="0.3">
      <c r="A477" s="3" t="s">
        <v>1472</v>
      </c>
      <c r="B477" s="3">
        <v>75</v>
      </c>
      <c r="C477" s="3" t="s">
        <v>16</v>
      </c>
      <c r="D477" s="3" t="s">
        <v>26</v>
      </c>
      <c r="E477" s="3" t="s">
        <v>54</v>
      </c>
      <c r="F477" s="4">
        <v>43796</v>
      </c>
      <c r="G477" s="3" t="s">
        <v>1473</v>
      </c>
      <c r="H477" s="3" t="s">
        <v>906</v>
      </c>
      <c r="I477" s="3" t="s">
        <v>39</v>
      </c>
      <c r="J477" s="5">
        <v>20336.4929220005</v>
      </c>
      <c r="K477" s="3">
        <v>316</v>
      </c>
      <c r="L477" s="3" t="s">
        <v>31</v>
      </c>
      <c r="M477" s="4">
        <v>43806</v>
      </c>
      <c r="N477" s="3" t="s">
        <v>52</v>
      </c>
      <c r="O477" s="3" t="s">
        <v>24</v>
      </c>
      <c r="P477" s="3" t="str">
        <f>IF(Table1[[#This Row],[Billing Amount]]&lt;5000,"Low",IF(Table1[[#This Row],[Billing Amount]]&lt;=15000,"Medium","High"))</f>
        <v>High</v>
      </c>
      <c r="Q477" s="3" t="str">
        <f>IF(Table1[[#This Row],[Discharge Date]]="Yes","Discharged","Under Treatment")</f>
        <v>Under Treatment</v>
      </c>
      <c r="R477" s="3" t="str">
        <f>IF(Table1[[#This Row],[Test Results]]&gt;120,"High Risk","Normal")</f>
        <v>High Risk</v>
      </c>
      <c r="S477" s="3" t="str">
        <f>IF(Table1[[#This Row],[Age]]&lt;=18,"0-18",IF(Table1[[#This Row],[Age]]&lt;=35,"19-35",IF(Table1[[#This Row],[Age]]&lt;=50,"36-50",IF(Table1[[#This Row],[Age]]&lt;=65,"51-65","65+"))))</f>
        <v>65+</v>
      </c>
    </row>
    <row r="478" spans="1:19" x14ac:dyDescent="0.3">
      <c r="A478" s="3" t="s">
        <v>1474</v>
      </c>
      <c r="B478" s="3">
        <v>32</v>
      </c>
      <c r="C478" s="3" t="s">
        <v>35</v>
      </c>
      <c r="D478" s="3" t="s">
        <v>26</v>
      </c>
      <c r="E478" s="3" t="s">
        <v>27</v>
      </c>
      <c r="F478" s="4">
        <v>44992</v>
      </c>
      <c r="G478" s="3" t="s">
        <v>1475</v>
      </c>
      <c r="H478" s="3" t="s">
        <v>1476</v>
      </c>
      <c r="I478" s="3" t="s">
        <v>57</v>
      </c>
      <c r="J478" s="5">
        <v>38668.694588676401</v>
      </c>
      <c r="K478" s="3">
        <v>462</v>
      </c>
      <c r="L478" s="3" t="s">
        <v>22</v>
      </c>
      <c r="M478" s="4">
        <v>44997</v>
      </c>
      <c r="N478" s="3" t="s">
        <v>79</v>
      </c>
      <c r="O478" s="3" t="s">
        <v>24</v>
      </c>
      <c r="P478" s="3" t="str">
        <f>IF(Table1[[#This Row],[Billing Amount]]&lt;5000,"Low",IF(Table1[[#This Row],[Billing Amount]]&lt;=15000,"Medium","High"))</f>
        <v>High</v>
      </c>
      <c r="Q478" s="3" t="str">
        <f>IF(Table1[[#This Row],[Discharge Date]]="Yes","Discharged","Under Treatment")</f>
        <v>Under Treatment</v>
      </c>
      <c r="R478" s="3" t="str">
        <f>IF(Table1[[#This Row],[Test Results]]&gt;120,"High Risk","Normal")</f>
        <v>High Risk</v>
      </c>
      <c r="S478" s="3" t="str">
        <f>IF(Table1[[#This Row],[Age]]&lt;=18,"0-18",IF(Table1[[#This Row],[Age]]&lt;=35,"19-35",IF(Table1[[#This Row],[Age]]&lt;=50,"36-50",IF(Table1[[#This Row],[Age]]&lt;=65,"51-65","65+"))))</f>
        <v>19-35</v>
      </c>
    </row>
    <row r="479" spans="1:19" x14ac:dyDescent="0.3">
      <c r="A479" s="3" t="s">
        <v>1477</v>
      </c>
      <c r="B479" s="3">
        <v>49</v>
      </c>
      <c r="C479" s="3" t="s">
        <v>16</v>
      </c>
      <c r="D479" s="3" t="s">
        <v>122</v>
      </c>
      <c r="E479" s="3" t="s">
        <v>18</v>
      </c>
      <c r="F479" s="4">
        <v>43933</v>
      </c>
      <c r="G479" s="3" t="s">
        <v>1478</v>
      </c>
      <c r="H479" s="3" t="s">
        <v>1479</v>
      </c>
      <c r="I479" s="3" t="s">
        <v>65</v>
      </c>
      <c r="J479" s="5">
        <v>44411.124527080799</v>
      </c>
      <c r="K479" s="3">
        <v>103</v>
      </c>
      <c r="L479" s="3" t="s">
        <v>22</v>
      </c>
      <c r="M479" s="4">
        <v>43955</v>
      </c>
      <c r="N479" s="3" t="s">
        <v>40</v>
      </c>
      <c r="O479" s="3" t="s">
        <v>24</v>
      </c>
      <c r="P479" s="3" t="str">
        <f>IF(Table1[[#This Row],[Billing Amount]]&lt;5000,"Low",IF(Table1[[#This Row],[Billing Amount]]&lt;=15000,"Medium","High"))</f>
        <v>High</v>
      </c>
      <c r="Q479" s="3" t="str">
        <f>IF(Table1[[#This Row],[Discharge Date]]="Yes","Discharged","Under Treatment")</f>
        <v>Under Treatment</v>
      </c>
      <c r="R479" s="3" t="str">
        <f>IF(Table1[[#This Row],[Test Results]]&gt;120,"High Risk","Normal")</f>
        <v>High Risk</v>
      </c>
      <c r="S479" s="3" t="str">
        <f>IF(Table1[[#This Row],[Age]]&lt;=18,"0-18",IF(Table1[[#This Row],[Age]]&lt;=35,"19-35",IF(Table1[[#This Row],[Age]]&lt;=50,"36-50",IF(Table1[[#This Row],[Age]]&lt;=65,"51-65","65+"))))</f>
        <v>36-50</v>
      </c>
    </row>
    <row r="480" spans="1:19" x14ac:dyDescent="0.3">
      <c r="A480" s="3" t="s">
        <v>1480</v>
      </c>
      <c r="B480" s="3">
        <v>69</v>
      </c>
      <c r="C480" s="3" t="s">
        <v>16</v>
      </c>
      <c r="D480" s="3" t="s">
        <v>59</v>
      </c>
      <c r="E480" s="3" t="s">
        <v>76</v>
      </c>
      <c r="F480" s="4">
        <v>45408</v>
      </c>
      <c r="G480" s="3" t="s">
        <v>1481</v>
      </c>
      <c r="H480" s="3" t="s">
        <v>1482</v>
      </c>
      <c r="I480" s="3" t="s">
        <v>39</v>
      </c>
      <c r="J480" s="5">
        <v>7902.4204827991898</v>
      </c>
      <c r="K480" s="3">
        <v>419</v>
      </c>
      <c r="L480" s="3" t="s">
        <v>31</v>
      </c>
      <c r="M480" s="4">
        <v>45436</v>
      </c>
      <c r="N480" s="3" t="s">
        <v>32</v>
      </c>
      <c r="O480" s="3" t="s">
        <v>47</v>
      </c>
      <c r="P480" s="3" t="str">
        <f>IF(Table1[[#This Row],[Billing Amount]]&lt;5000,"Low",IF(Table1[[#This Row],[Billing Amount]]&lt;=15000,"Medium","High"))</f>
        <v>Medium</v>
      </c>
      <c r="Q480" s="3" t="str">
        <f>IF(Table1[[#This Row],[Discharge Date]]="Yes","Discharged","Under Treatment")</f>
        <v>Under Treatment</v>
      </c>
      <c r="R480" s="3" t="str">
        <f>IF(Table1[[#This Row],[Test Results]]&gt;120,"High Risk","Normal")</f>
        <v>High Risk</v>
      </c>
      <c r="S480" s="3" t="str">
        <f>IF(Table1[[#This Row],[Age]]&lt;=18,"0-18",IF(Table1[[#This Row],[Age]]&lt;=35,"19-35",IF(Table1[[#This Row],[Age]]&lt;=50,"36-50",IF(Table1[[#This Row],[Age]]&lt;=65,"51-65","65+"))))</f>
        <v>65+</v>
      </c>
    </row>
    <row r="481" spans="1:19" x14ac:dyDescent="0.3">
      <c r="A481" s="3" t="s">
        <v>1483</v>
      </c>
      <c r="B481" s="3">
        <v>51</v>
      </c>
      <c r="C481" s="3" t="s">
        <v>35</v>
      </c>
      <c r="D481" s="3" t="s">
        <v>26</v>
      </c>
      <c r="E481" s="3" t="s">
        <v>76</v>
      </c>
      <c r="F481" s="4">
        <v>45106</v>
      </c>
      <c r="G481" s="3" t="s">
        <v>1484</v>
      </c>
      <c r="H481" s="3" t="s">
        <v>1485</v>
      </c>
      <c r="I481" s="3" t="s">
        <v>30</v>
      </c>
      <c r="J481" s="5">
        <v>46245.583952296503</v>
      </c>
      <c r="K481" s="3">
        <v>455</v>
      </c>
      <c r="L481" s="3" t="s">
        <v>22</v>
      </c>
      <c r="M481" s="4">
        <v>45114</v>
      </c>
      <c r="N481" s="3" t="s">
        <v>23</v>
      </c>
      <c r="O481" s="3" t="s">
        <v>47</v>
      </c>
      <c r="P481" s="3" t="str">
        <f>IF(Table1[[#This Row],[Billing Amount]]&lt;5000,"Low",IF(Table1[[#This Row],[Billing Amount]]&lt;=15000,"Medium","High"))</f>
        <v>High</v>
      </c>
      <c r="Q481" s="3" t="str">
        <f>IF(Table1[[#This Row],[Discharge Date]]="Yes","Discharged","Under Treatment")</f>
        <v>Under Treatment</v>
      </c>
      <c r="R481" s="3" t="str">
        <f>IF(Table1[[#This Row],[Test Results]]&gt;120,"High Risk","Normal")</f>
        <v>High Risk</v>
      </c>
      <c r="S481" s="3" t="str">
        <f>IF(Table1[[#This Row],[Age]]&lt;=18,"0-18",IF(Table1[[#This Row],[Age]]&lt;=35,"19-35",IF(Table1[[#This Row],[Age]]&lt;=50,"36-50",IF(Table1[[#This Row],[Age]]&lt;=65,"51-65","65+"))))</f>
        <v>51-65</v>
      </c>
    </row>
    <row r="482" spans="1:19" x14ac:dyDescent="0.3">
      <c r="A482" s="3" t="s">
        <v>1487</v>
      </c>
      <c r="B482" s="3">
        <v>38</v>
      </c>
      <c r="C482" s="3" t="s">
        <v>35</v>
      </c>
      <c r="D482" s="3" t="s">
        <v>122</v>
      </c>
      <c r="E482" s="3" t="s">
        <v>93</v>
      </c>
      <c r="F482" s="4">
        <v>44717</v>
      </c>
      <c r="G482" s="3" t="s">
        <v>1488</v>
      </c>
      <c r="H482" s="3" t="s">
        <v>1489</v>
      </c>
      <c r="I482" s="3" t="s">
        <v>30</v>
      </c>
      <c r="J482" s="5">
        <v>20914.947408227701</v>
      </c>
      <c r="K482" s="3">
        <v>276</v>
      </c>
      <c r="L482" s="3" t="s">
        <v>46</v>
      </c>
      <c r="M482" s="4">
        <v>44727</v>
      </c>
      <c r="N482" s="3" t="s">
        <v>23</v>
      </c>
      <c r="O482" s="3" t="s">
        <v>24</v>
      </c>
      <c r="P482" s="3" t="str">
        <f>IF(Table1[[#This Row],[Billing Amount]]&lt;5000,"Low",IF(Table1[[#This Row],[Billing Amount]]&lt;=15000,"Medium","High"))</f>
        <v>High</v>
      </c>
      <c r="Q482" s="3" t="str">
        <f>IF(Table1[[#This Row],[Discharge Date]]="Yes","Discharged","Under Treatment")</f>
        <v>Under Treatment</v>
      </c>
      <c r="R482" s="3" t="str">
        <f>IF(Table1[[#This Row],[Test Results]]&gt;120,"High Risk","Normal")</f>
        <v>High Risk</v>
      </c>
      <c r="S482" s="3" t="str">
        <f>IF(Table1[[#This Row],[Age]]&lt;=18,"0-18",IF(Table1[[#This Row],[Age]]&lt;=35,"19-35",IF(Table1[[#This Row],[Age]]&lt;=50,"36-50",IF(Table1[[#This Row],[Age]]&lt;=65,"51-65","65+"))))</f>
        <v>36-50</v>
      </c>
    </row>
    <row r="483" spans="1:19" x14ac:dyDescent="0.3">
      <c r="A483" s="3" t="s">
        <v>1490</v>
      </c>
      <c r="B483" s="3">
        <v>27</v>
      </c>
      <c r="C483" s="3" t="s">
        <v>16</v>
      </c>
      <c r="D483" s="3" t="s">
        <v>17</v>
      </c>
      <c r="E483" s="3" t="s">
        <v>18</v>
      </c>
      <c r="F483" s="4">
        <v>44506</v>
      </c>
      <c r="G483" s="3" t="s">
        <v>1491</v>
      </c>
      <c r="H483" s="3" t="s">
        <v>1492</v>
      </c>
      <c r="I483" s="3" t="s">
        <v>57</v>
      </c>
      <c r="J483" s="5">
        <v>10965.6957491788</v>
      </c>
      <c r="K483" s="3">
        <v>298</v>
      </c>
      <c r="L483" s="3" t="s">
        <v>46</v>
      </c>
      <c r="M483" s="4">
        <v>44507</v>
      </c>
      <c r="N483" s="3" t="s">
        <v>52</v>
      </c>
      <c r="O483" s="3" t="s">
        <v>24</v>
      </c>
      <c r="P483" s="3" t="str">
        <f>IF(Table1[[#This Row],[Billing Amount]]&lt;5000,"Low",IF(Table1[[#This Row],[Billing Amount]]&lt;=15000,"Medium","High"))</f>
        <v>Medium</v>
      </c>
      <c r="Q483" s="3" t="str">
        <f>IF(Table1[[#This Row],[Discharge Date]]="Yes","Discharged","Under Treatment")</f>
        <v>Under Treatment</v>
      </c>
      <c r="R483" s="3" t="str">
        <f>IF(Table1[[#This Row],[Test Results]]&gt;120,"High Risk","Normal")</f>
        <v>High Risk</v>
      </c>
      <c r="S483" s="3" t="str">
        <f>IF(Table1[[#This Row],[Age]]&lt;=18,"0-18",IF(Table1[[#This Row],[Age]]&lt;=35,"19-35",IF(Table1[[#This Row],[Age]]&lt;=50,"36-50",IF(Table1[[#This Row],[Age]]&lt;=65,"51-65","65+"))))</f>
        <v>19-35</v>
      </c>
    </row>
    <row r="484" spans="1:19" x14ac:dyDescent="0.3">
      <c r="A484" s="3" t="s">
        <v>1493</v>
      </c>
      <c r="B484" s="3">
        <v>36</v>
      </c>
      <c r="C484" s="3" t="s">
        <v>16</v>
      </c>
      <c r="D484" s="3" t="s">
        <v>17</v>
      </c>
      <c r="E484" s="3" t="s">
        <v>18</v>
      </c>
      <c r="F484" s="4">
        <v>44398</v>
      </c>
      <c r="G484" s="3" t="s">
        <v>1494</v>
      </c>
      <c r="H484" s="3" t="s">
        <v>1495</v>
      </c>
      <c r="I484" s="3" t="s">
        <v>39</v>
      </c>
      <c r="J484" s="5">
        <v>27507.042983304102</v>
      </c>
      <c r="K484" s="3">
        <v>286</v>
      </c>
      <c r="L484" s="3" t="s">
        <v>31</v>
      </c>
      <c r="M484" s="4">
        <v>44408</v>
      </c>
      <c r="N484" s="3" t="s">
        <v>32</v>
      </c>
      <c r="O484" s="3" t="s">
        <v>24</v>
      </c>
      <c r="P484" s="3" t="str">
        <f>IF(Table1[[#This Row],[Billing Amount]]&lt;5000,"Low",IF(Table1[[#This Row],[Billing Amount]]&lt;=15000,"Medium","High"))</f>
        <v>High</v>
      </c>
      <c r="Q484" s="3" t="str">
        <f>IF(Table1[[#This Row],[Discharge Date]]="Yes","Discharged","Under Treatment")</f>
        <v>Under Treatment</v>
      </c>
      <c r="R484" s="3" t="str">
        <f>IF(Table1[[#This Row],[Test Results]]&gt;120,"High Risk","Normal")</f>
        <v>High Risk</v>
      </c>
      <c r="S484" s="3" t="str">
        <f>IF(Table1[[#This Row],[Age]]&lt;=18,"0-18",IF(Table1[[#This Row],[Age]]&lt;=35,"19-35",IF(Table1[[#This Row],[Age]]&lt;=50,"36-50",IF(Table1[[#This Row],[Age]]&lt;=65,"51-65","65+"))))</f>
        <v>36-50</v>
      </c>
    </row>
    <row r="485" spans="1:19" x14ac:dyDescent="0.3">
      <c r="A485" s="3" t="s">
        <v>1496</v>
      </c>
      <c r="B485" s="3">
        <v>41</v>
      </c>
      <c r="C485" s="3" t="s">
        <v>16</v>
      </c>
      <c r="D485" s="3" t="s">
        <v>36</v>
      </c>
      <c r="E485" s="3" t="s">
        <v>18</v>
      </c>
      <c r="F485" s="4">
        <v>43792</v>
      </c>
      <c r="G485" s="3" t="s">
        <v>1497</v>
      </c>
      <c r="H485" s="3" t="s">
        <v>1498</v>
      </c>
      <c r="I485" s="3" t="s">
        <v>57</v>
      </c>
      <c r="J485" s="5">
        <v>12678.096227641499</v>
      </c>
      <c r="K485" s="3">
        <v>141</v>
      </c>
      <c r="L485" s="3" t="s">
        <v>22</v>
      </c>
      <c r="M485" s="4">
        <v>43805</v>
      </c>
      <c r="N485" s="3" t="s">
        <v>52</v>
      </c>
      <c r="O485" s="3" t="s">
        <v>24</v>
      </c>
      <c r="P485" s="3" t="str">
        <f>IF(Table1[[#This Row],[Billing Amount]]&lt;5000,"Low",IF(Table1[[#This Row],[Billing Amount]]&lt;=15000,"Medium","High"))</f>
        <v>Medium</v>
      </c>
      <c r="Q485" s="3" t="str">
        <f>IF(Table1[[#This Row],[Discharge Date]]="Yes","Discharged","Under Treatment")</f>
        <v>Under Treatment</v>
      </c>
      <c r="R485" s="3" t="str">
        <f>IF(Table1[[#This Row],[Test Results]]&gt;120,"High Risk","Normal")</f>
        <v>High Risk</v>
      </c>
      <c r="S485" s="3" t="str">
        <f>IF(Table1[[#This Row],[Age]]&lt;=18,"0-18",IF(Table1[[#This Row],[Age]]&lt;=35,"19-35",IF(Table1[[#This Row],[Age]]&lt;=50,"36-50",IF(Table1[[#This Row],[Age]]&lt;=65,"51-65","65+"))))</f>
        <v>36-50</v>
      </c>
    </row>
    <row r="486" spans="1:19" x14ac:dyDescent="0.3">
      <c r="A486" s="3" t="s">
        <v>1499</v>
      </c>
      <c r="B486" s="3">
        <v>33</v>
      </c>
      <c r="C486" s="3" t="s">
        <v>16</v>
      </c>
      <c r="D486" s="3" t="s">
        <v>59</v>
      </c>
      <c r="E486" s="3" t="s">
        <v>54</v>
      </c>
      <c r="F486" s="4">
        <v>43615</v>
      </c>
      <c r="G486" s="3" t="s">
        <v>1500</v>
      </c>
      <c r="H486" s="3" t="s">
        <v>1501</v>
      </c>
      <c r="I486" s="3" t="s">
        <v>39</v>
      </c>
      <c r="J486" s="5">
        <v>38395.529957277096</v>
      </c>
      <c r="K486" s="3">
        <v>215</v>
      </c>
      <c r="L486" s="3" t="s">
        <v>31</v>
      </c>
      <c r="M486" s="4">
        <v>43645</v>
      </c>
      <c r="N486" s="3" t="s">
        <v>32</v>
      </c>
      <c r="O486" s="3" t="s">
        <v>33</v>
      </c>
      <c r="P486" s="3" t="str">
        <f>IF(Table1[[#This Row],[Billing Amount]]&lt;5000,"Low",IF(Table1[[#This Row],[Billing Amount]]&lt;=15000,"Medium","High"))</f>
        <v>High</v>
      </c>
      <c r="Q486" s="3" t="str">
        <f>IF(Table1[[#This Row],[Discharge Date]]="Yes","Discharged","Under Treatment")</f>
        <v>Under Treatment</v>
      </c>
      <c r="R486" s="3" t="str">
        <f>IF(Table1[[#This Row],[Test Results]]&gt;120,"High Risk","Normal")</f>
        <v>High Risk</v>
      </c>
      <c r="S486" s="3" t="str">
        <f>IF(Table1[[#This Row],[Age]]&lt;=18,"0-18",IF(Table1[[#This Row],[Age]]&lt;=35,"19-35",IF(Table1[[#This Row],[Age]]&lt;=50,"36-50",IF(Table1[[#This Row],[Age]]&lt;=65,"51-65","65+"))))</f>
        <v>19-35</v>
      </c>
    </row>
    <row r="487" spans="1:19" x14ac:dyDescent="0.3">
      <c r="A487" s="3" t="s">
        <v>1502</v>
      </c>
      <c r="B487" s="3">
        <v>56</v>
      </c>
      <c r="C487" s="3" t="s">
        <v>35</v>
      </c>
      <c r="D487" s="3" t="s">
        <v>59</v>
      </c>
      <c r="E487" s="3" t="s">
        <v>54</v>
      </c>
      <c r="F487" s="4">
        <v>45374</v>
      </c>
      <c r="G487" s="3" t="s">
        <v>1503</v>
      </c>
      <c r="H487" s="3" t="s">
        <v>1504</v>
      </c>
      <c r="I487" s="3" t="s">
        <v>30</v>
      </c>
      <c r="J487" s="5">
        <v>28510.807215450001</v>
      </c>
      <c r="K487" s="3">
        <v>185</v>
      </c>
      <c r="L487" s="3" t="s">
        <v>31</v>
      </c>
      <c r="M487" s="4">
        <v>45396</v>
      </c>
      <c r="N487" s="3" t="s">
        <v>79</v>
      </c>
      <c r="O487" s="3" t="s">
        <v>33</v>
      </c>
      <c r="P487" s="3" t="str">
        <f>IF(Table1[[#This Row],[Billing Amount]]&lt;5000,"Low",IF(Table1[[#This Row],[Billing Amount]]&lt;=15000,"Medium","High"))</f>
        <v>High</v>
      </c>
      <c r="Q487" s="3" t="str">
        <f>IF(Table1[[#This Row],[Discharge Date]]="Yes","Discharged","Under Treatment")</f>
        <v>Under Treatment</v>
      </c>
      <c r="R487" s="3" t="str">
        <f>IF(Table1[[#This Row],[Test Results]]&gt;120,"High Risk","Normal")</f>
        <v>High Risk</v>
      </c>
      <c r="S487" s="3" t="str">
        <f>IF(Table1[[#This Row],[Age]]&lt;=18,"0-18",IF(Table1[[#This Row],[Age]]&lt;=35,"19-35",IF(Table1[[#This Row],[Age]]&lt;=50,"36-50",IF(Table1[[#This Row],[Age]]&lt;=65,"51-65","65+"))))</f>
        <v>51-65</v>
      </c>
    </row>
    <row r="488" spans="1:19" x14ac:dyDescent="0.3">
      <c r="A488" s="3" t="s">
        <v>1505</v>
      </c>
      <c r="B488" s="3">
        <v>25</v>
      </c>
      <c r="C488" s="3" t="s">
        <v>16</v>
      </c>
      <c r="D488" s="3" t="s">
        <v>42</v>
      </c>
      <c r="E488" s="3" t="s">
        <v>27</v>
      </c>
      <c r="F488" s="4">
        <v>43639</v>
      </c>
      <c r="G488" s="3" t="s">
        <v>1506</v>
      </c>
      <c r="H488" s="3" t="s">
        <v>1507</v>
      </c>
      <c r="I488" s="3" t="s">
        <v>30</v>
      </c>
      <c r="J488" s="5">
        <v>43400.666588542001</v>
      </c>
      <c r="K488" s="3">
        <v>300</v>
      </c>
      <c r="L488" s="3" t="s">
        <v>31</v>
      </c>
      <c r="M488" s="4">
        <v>43658</v>
      </c>
      <c r="N488" s="3" t="s">
        <v>40</v>
      </c>
      <c r="O488" s="3" t="s">
        <v>47</v>
      </c>
      <c r="P488" s="3" t="str">
        <f>IF(Table1[[#This Row],[Billing Amount]]&lt;5000,"Low",IF(Table1[[#This Row],[Billing Amount]]&lt;=15000,"Medium","High"))</f>
        <v>High</v>
      </c>
      <c r="Q488" s="3" t="str">
        <f>IF(Table1[[#This Row],[Discharge Date]]="Yes","Discharged","Under Treatment")</f>
        <v>Under Treatment</v>
      </c>
      <c r="R488" s="3" t="str">
        <f>IF(Table1[[#This Row],[Test Results]]&gt;120,"High Risk","Normal")</f>
        <v>High Risk</v>
      </c>
      <c r="S488" s="3" t="str">
        <f>IF(Table1[[#This Row],[Age]]&lt;=18,"0-18",IF(Table1[[#This Row],[Age]]&lt;=35,"19-35",IF(Table1[[#This Row],[Age]]&lt;=50,"36-50",IF(Table1[[#This Row],[Age]]&lt;=65,"51-65","65+"))))</f>
        <v>19-35</v>
      </c>
    </row>
    <row r="489" spans="1:19" x14ac:dyDescent="0.3">
      <c r="A489" s="3" t="s">
        <v>1508</v>
      </c>
      <c r="B489" s="3">
        <v>21</v>
      </c>
      <c r="C489" s="3" t="s">
        <v>35</v>
      </c>
      <c r="D489" s="3" t="s">
        <v>122</v>
      </c>
      <c r="E489" s="3" t="s">
        <v>54</v>
      </c>
      <c r="F489" s="4">
        <v>44591</v>
      </c>
      <c r="G489" s="3" t="s">
        <v>1509</v>
      </c>
      <c r="H489" s="3" t="s">
        <v>1510</v>
      </c>
      <c r="I489" s="3" t="s">
        <v>39</v>
      </c>
      <c r="J489" s="5">
        <v>46890.4260126925</v>
      </c>
      <c r="K489" s="3">
        <v>307</v>
      </c>
      <c r="L489" s="3" t="s">
        <v>46</v>
      </c>
      <c r="M489" s="4">
        <v>44618</v>
      </c>
      <c r="N489" s="3" t="s">
        <v>40</v>
      </c>
      <c r="O489" s="3" t="s">
        <v>47</v>
      </c>
      <c r="P489" s="3" t="str">
        <f>IF(Table1[[#This Row],[Billing Amount]]&lt;5000,"Low",IF(Table1[[#This Row],[Billing Amount]]&lt;=15000,"Medium","High"))</f>
        <v>High</v>
      </c>
      <c r="Q489" s="3" t="str">
        <f>IF(Table1[[#This Row],[Discharge Date]]="Yes","Discharged","Under Treatment")</f>
        <v>Under Treatment</v>
      </c>
      <c r="R489" s="3" t="str">
        <f>IF(Table1[[#This Row],[Test Results]]&gt;120,"High Risk","Normal")</f>
        <v>High Risk</v>
      </c>
      <c r="S489" s="3" t="str">
        <f>IF(Table1[[#This Row],[Age]]&lt;=18,"0-18",IF(Table1[[#This Row],[Age]]&lt;=35,"19-35",IF(Table1[[#This Row],[Age]]&lt;=50,"36-50",IF(Table1[[#This Row],[Age]]&lt;=65,"51-65","65+"))))</f>
        <v>19-35</v>
      </c>
    </row>
    <row r="490" spans="1:19" x14ac:dyDescent="0.3">
      <c r="A490" s="3" t="s">
        <v>1511</v>
      </c>
      <c r="B490" s="3">
        <v>57</v>
      </c>
      <c r="C490" s="3" t="s">
        <v>16</v>
      </c>
      <c r="D490" s="3" t="s">
        <v>17</v>
      </c>
      <c r="E490" s="3" t="s">
        <v>18</v>
      </c>
      <c r="F490" s="4">
        <v>44877</v>
      </c>
      <c r="G490" s="3" t="s">
        <v>1512</v>
      </c>
      <c r="H490" s="3" t="s">
        <v>1513</v>
      </c>
      <c r="I490" s="3" t="s">
        <v>65</v>
      </c>
      <c r="J490" s="5">
        <v>48491.643210085102</v>
      </c>
      <c r="K490" s="3">
        <v>129</v>
      </c>
      <c r="L490" s="3" t="s">
        <v>46</v>
      </c>
      <c r="M490" s="4">
        <v>44887</v>
      </c>
      <c r="N490" s="3" t="s">
        <v>52</v>
      </c>
      <c r="O490" s="3" t="s">
        <v>24</v>
      </c>
      <c r="P490" s="3" t="str">
        <f>IF(Table1[[#This Row],[Billing Amount]]&lt;5000,"Low",IF(Table1[[#This Row],[Billing Amount]]&lt;=15000,"Medium","High"))</f>
        <v>High</v>
      </c>
      <c r="Q490" s="3" t="str">
        <f>IF(Table1[[#This Row],[Discharge Date]]="Yes","Discharged","Under Treatment")</f>
        <v>Under Treatment</v>
      </c>
      <c r="R490" s="3" t="str">
        <f>IF(Table1[[#This Row],[Test Results]]&gt;120,"High Risk","Normal")</f>
        <v>High Risk</v>
      </c>
      <c r="S490" s="3" t="str">
        <f>IF(Table1[[#This Row],[Age]]&lt;=18,"0-18",IF(Table1[[#This Row],[Age]]&lt;=35,"19-35",IF(Table1[[#This Row],[Age]]&lt;=50,"36-50",IF(Table1[[#This Row],[Age]]&lt;=65,"51-65","65+"))))</f>
        <v>51-65</v>
      </c>
    </row>
    <row r="491" spans="1:19" x14ac:dyDescent="0.3">
      <c r="A491" s="3" t="s">
        <v>1514</v>
      </c>
      <c r="B491" s="3">
        <v>39</v>
      </c>
      <c r="C491" s="3" t="s">
        <v>35</v>
      </c>
      <c r="D491" s="3" t="s">
        <v>42</v>
      </c>
      <c r="E491" s="3" t="s">
        <v>18</v>
      </c>
      <c r="F491" s="4">
        <v>44187</v>
      </c>
      <c r="G491" s="3" t="s">
        <v>1515</v>
      </c>
      <c r="H491" s="3" t="s">
        <v>1516</v>
      </c>
      <c r="I491" s="3" t="s">
        <v>21</v>
      </c>
      <c r="J491" s="5">
        <v>13643.730851835</v>
      </c>
      <c r="K491" s="3">
        <v>380</v>
      </c>
      <c r="L491" s="3" t="s">
        <v>46</v>
      </c>
      <c r="M491" s="4">
        <v>44192</v>
      </c>
      <c r="N491" s="3" t="s">
        <v>79</v>
      </c>
      <c r="O491" s="3" t="s">
        <v>24</v>
      </c>
      <c r="P491" s="3" t="str">
        <f>IF(Table1[[#This Row],[Billing Amount]]&lt;5000,"Low",IF(Table1[[#This Row],[Billing Amount]]&lt;=15000,"Medium","High"))</f>
        <v>Medium</v>
      </c>
      <c r="Q491" s="3" t="str">
        <f>IF(Table1[[#This Row],[Discharge Date]]="Yes","Discharged","Under Treatment")</f>
        <v>Under Treatment</v>
      </c>
      <c r="R491" s="3" t="str">
        <f>IF(Table1[[#This Row],[Test Results]]&gt;120,"High Risk","Normal")</f>
        <v>High Risk</v>
      </c>
      <c r="S491" s="3" t="str">
        <f>IF(Table1[[#This Row],[Age]]&lt;=18,"0-18",IF(Table1[[#This Row],[Age]]&lt;=35,"19-35",IF(Table1[[#This Row],[Age]]&lt;=50,"36-50",IF(Table1[[#This Row],[Age]]&lt;=65,"51-65","65+"))))</f>
        <v>36-50</v>
      </c>
    </row>
    <row r="492" spans="1:19" x14ac:dyDescent="0.3">
      <c r="A492" s="3" t="s">
        <v>1517</v>
      </c>
      <c r="B492" s="3">
        <v>51</v>
      </c>
      <c r="C492" s="3" t="s">
        <v>35</v>
      </c>
      <c r="D492" s="3" t="s">
        <v>36</v>
      </c>
      <c r="E492" s="3" t="s">
        <v>43</v>
      </c>
      <c r="F492" s="4">
        <v>44703</v>
      </c>
      <c r="G492" s="3" t="s">
        <v>1518</v>
      </c>
      <c r="H492" s="3" t="s">
        <v>1519</v>
      </c>
      <c r="I492" s="3" t="s">
        <v>65</v>
      </c>
      <c r="J492" s="5">
        <v>5415.2835101442097</v>
      </c>
      <c r="K492" s="3">
        <v>209</v>
      </c>
      <c r="L492" s="3" t="s">
        <v>31</v>
      </c>
      <c r="M492" s="4">
        <v>44720</v>
      </c>
      <c r="N492" s="3" t="s">
        <v>40</v>
      </c>
      <c r="O492" s="3" t="s">
        <v>33</v>
      </c>
      <c r="P492" s="3" t="str">
        <f>IF(Table1[[#This Row],[Billing Amount]]&lt;5000,"Low",IF(Table1[[#This Row],[Billing Amount]]&lt;=15000,"Medium","High"))</f>
        <v>Medium</v>
      </c>
      <c r="Q492" s="3" t="str">
        <f>IF(Table1[[#This Row],[Discharge Date]]="Yes","Discharged","Under Treatment")</f>
        <v>Under Treatment</v>
      </c>
      <c r="R492" s="3" t="str">
        <f>IF(Table1[[#This Row],[Test Results]]&gt;120,"High Risk","Normal")</f>
        <v>High Risk</v>
      </c>
      <c r="S492" s="3" t="str">
        <f>IF(Table1[[#This Row],[Age]]&lt;=18,"0-18",IF(Table1[[#This Row],[Age]]&lt;=35,"19-35",IF(Table1[[#This Row],[Age]]&lt;=50,"36-50",IF(Table1[[#This Row],[Age]]&lt;=65,"51-65","65+"))))</f>
        <v>51-65</v>
      </c>
    </row>
    <row r="493" spans="1:19" x14ac:dyDescent="0.3">
      <c r="A493" s="3" t="s">
        <v>1520</v>
      </c>
      <c r="B493" s="3">
        <v>31</v>
      </c>
      <c r="C493" s="3" t="s">
        <v>16</v>
      </c>
      <c r="D493" s="3" t="s">
        <v>103</v>
      </c>
      <c r="E493" s="3" t="s">
        <v>76</v>
      </c>
      <c r="F493" s="4">
        <v>44282</v>
      </c>
      <c r="G493" s="3" t="s">
        <v>1521</v>
      </c>
      <c r="H493" s="3" t="s">
        <v>1522</v>
      </c>
      <c r="I493" s="3" t="s">
        <v>39</v>
      </c>
      <c r="J493" s="5">
        <v>44008.050211624999</v>
      </c>
      <c r="K493" s="3">
        <v>392</v>
      </c>
      <c r="L493" s="3" t="s">
        <v>46</v>
      </c>
      <c r="M493" s="4">
        <v>44309</v>
      </c>
      <c r="N493" s="3" t="s">
        <v>79</v>
      </c>
      <c r="O493" s="3" t="s">
        <v>47</v>
      </c>
      <c r="P493" s="3" t="str">
        <f>IF(Table1[[#This Row],[Billing Amount]]&lt;5000,"Low",IF(Table1[[#This Row],[Billing Amount]]&lt;=15000,"Medium","High"))</f>
        <v>High</v>
      </c>
      <c r="Q493" s="3" t="str">
        <f>IF(Table1[[#This Row],[Discharge Date]]="Yes","Discharged","Under Treatment")</f>
        <v>Under Treatment</v>
      </c>
      <c r="R493" s="3" t="str">
        <f>IF(Table1[[#This Row],[Test Results]]&gt;120,"High Risk","Normal")</f>
        <v>High Risk</v>
      </c>
      <c r="S493" s="3" t="str">
        <f>IF(Table1[[#This Row],[Age]]&lt;=18,"0-18",IF(Table1[[#This Row],[Age]]&lt;=35,"19-35",IF(Table1[[#This Row],[Age]]&lt;=50,"36-50",IF(Table1[[#This Row],[Age]]&lt;=65,"51-65","65+"))))</f>
        <v>19-35</v>
      </c>
    </row>
    <row r="494" spans="1:19" x14ac:dyDescent="0.3">
      <c r="A494" s="3" t="s">
        <v>1523</v>
      </c>
      <c r="B494" s="3">
        <v>76</v>
      </c>
      <c r="C494" s="3" t="s">
        <v>16</v>
      </c>
      <c r="D494" s="3" t="s">
        <v>42</v>
      </c>
      <c r="E494" s="3" t="s">
        <v>43</v>
      </c>
      <c r="F494" s="4">
        <v>44757</v>
      </c>
      <c r="G494" s="3" t="s">
        <v>1524</v>
      </c>
      <c r="H494" s="3" t="s">
        <v>1525</v>
      </c>
      <c r="I494" s="3" t="s">
        <v>21</v>
      </c>
      <c r="J494" s="5">
        <v>45242.856992781599</v>
      </c>
      <c r="K494" s="3">
        <v>174</v>
      </c>
      <c r="L494" s="3" t="s">
        <v>31</v>
      </c>
      <c r="M494" s="4">
        <v>44761</v>
      </c>
      <c r="N494" s="3" t="s">
        <v>52</v>
      </c>
      <c r="O494" s="3" t="s">
        <v>47</v>
      </c>
      <c r="P494" s="3" t="str">
        <f>IF(Table1[[#This Row],[Billing Amount]]&lt;5000,"Low",IF(Table1[[#This Row],[Billing Amount]]&lt;=15000,"Medium","High"))</f>
        <v>High</v>
      </c>
      <c r="Q494" s="3" t="str">
        <f>IF(Table1[[#This Row],[Discharge Date]]="Yes","Discharged","Under Treatment")</f>
        <v>Under Treatment</v>
      </c>
      <c r="R494" s="3" t="str">
        <f>IF(Table1[[#This Row],[Test Results]]&gt;120,"High Risk","Normal")</f>
        <v>High Risk</v>
      </c>
      <c r="S494" s="3" t="str">
        <f>IF(Table1[[#This Row],[Age]]&lt;=18,"0-18",IF(Table1[[#This Row],[Age]]&lt;=35,"19-35",IF(Table1[[#This Row],[Age]]&lt;=50,"36-50",IF(Table1[[#This Row],[Age]]&lt;=65,"51-65","65+"))))</f>
        <v>65+</v>
      </c>
    </row>
    <row r="495" spans="1:19" x14ac:dyDescent="0.3">
      <c r="A495" s="3" t="s">
        <v>1526</v>
      </c>
      <c r="B495" s="3">
        <v>59</v>
      </c>
      <c r="C495" s="3" t="s">
        <v>16</v>
      </c>
      <c r="D495" s="3" t="s">
        <v>26</v>
      </c>
      <c r="E495" s="3" t="s">
        <v>54</v>
      </c>
      <c r="F495" s="4">
        <v>44718</v>
      </c>
      <c r="G495" s="3" t="s">
        <v>1527</v>
      </c>
      <c r="H495" s="3" t="s">
        <v>1528</v>
      </c>
      <c r="I495" s="3" t="s">
        <v>39</v>
      </c>
      <c r="J495" s="5">
        <v>13550.1244871951</v>
      </c>
      <c r="K495" s="3">
        <v>250</v>
      </c>
      <c r="L495" s="3" t="s">
        <v>46</v>
      </c>
      <c r="M495" s="4">
        <v>44742</v>
      </c>
      <c r="N495" s="3" t="s">
        <v>23</v>
      </c>
      <c r="O495" s="3" t="s">
        <v>24</v>
      </c>
      <c r="P495" s="3" t="str">
        <f>IF(Table1[[#This Row],[Billing Amount]]&lt;5000,"Low",IF(Table1[[#This Row],[Billing Amount]]&lt;=15000,"Medium","High"))</f>
        <v>Medium</v>
      </c>
      <c r="Q495" s="3" t="str">
        <f>IF(Table1[[#This Row],[Discharge Date]]="Yes","Discharged","Under Treatment")</f>
        <v>Under Treatment</v>
      </c>
      <c r="R495" s="3" t="str">
        <f>IF(Table1[[#This Row],[Test Results]]&gt;120,"High Risk","Normal")</f>
        <v>High Risk</v>
      </c>
      <c r="S495" s="3" t="str">
        <f>IF(Table1[[#This Row],[Age]]&lt;=18,"0-18",IF(Table1[[#This Row],[Age]]&lt;=35,"19-35",IF(Table1[[#This Row],[Age]]&lt;=50,"36-50",IF(Table1[[#This Row],[Age]]&lt;=65,"51-65","65+"))))</f>
        <v>51-65</v>
      </c>
    </row>
    <row r="496" spans="1:19" x14ac:dyDescent="0.3">
      <c r="A496" s="3" t="s">
        <v>1529</v>
      </c>
      <c r="B496" s="3">
        <v>28</v>
      </c>
      <c r="C496" s="3" t="s">
        <v>16</v>
      </c>
      <c r="D496" s="3" t="s">
        <v>26</v>
      </c>
      <c r="E496" s="3" t="s">
        <v>93</v>
      </c>
      <c r="F496" s="4">
        <v>43974</v>
      </c>
      <c r="G496" s="3" t="s">
        <v>1530</v>
      </c>
      <c r="H496" s="3" t="s">
        <v>1531</v>
      </c>
      <c r="I496" s="3" t="s">
        <v>57</v>
      </c>
      <c r="J496" s="5">
        <v>48890.447816029802</v>
      </c>
      <c r="K496" s="3">
        <v>324</v>
      </c>
      <c r="L496" s="3" t="s">
        <v>46</v>
      </c>
      <c r="M496" s="4">
        <v>43994</v>
      </c>
      <c r="N496" s="3" t="s">
        <v>52</v>
      </c>
      <c r="O496" s="3" t="s">
        <v>47</v>
      </c>
      <c r="P496" s="3" t="str">
        <f>IF(Table1[[#This Row],[Billing Amount]]&lt;5000,"Low",IF(Table1[[#This Row],[Billing Amount]]&lt;=15000,"Medium","High"))</f>
        <v>High</v>
      </c>
      <c r="Q496" s="3" t="str">
        <f>IF(Table1[[#This Row],[Discharge Date]]="Yes","Discharged","Under Treatment")</f>
        <v>Under Treatment</v>
      </c>
      <c r="R496" s="3" t="str">
        <f>IF(Table1[[#This Row],[Test Results]]&gt;120,"High Risk","Normal")</f>
        <v>High Risk</v>
      </c>
      <c r="S496" s="3" t="str">
        <f>IF(Table1[[#This Row],[Age]]&lt;=18,"0-18",IF(Table1[[#This Row],[Age]]&lt;=35,"19-35",IF(Table1[[#This Row],[Age]]&lt;=50,"36-50",IF(Table1[[#This Row],[Age]]&lt;=65,"51-65","65+"))))</f>
        <v>19-35</v>
      </c>
    </row>
    <row r="497" spans="1:19" x14ac:dyDescent="0.3">
      <c r="A497" s="3" t="s">
        <v>1532</v>
      </c>
      <c r="B497" s="3">
        <v>63</v>
      </c>
      <c r="C497" s="3" t="s">
        <v>16</v>
      </c>
      <c r="D497" s="3" t="s">
        <v>36</v>
      </c>
      <c r="E497" s="3" t="s">
        <v>27</v>
      </c>
      <c r="F497" s="4">
        <v>44767</v>
      </c>
      <c r="G497" s="3" t="s">
        <v>1533</v>
      </c>
      <c r="H497" s="3" t="s">
        <v>1534</v>
      </c>
      <c r="I497" s="3" t="s">
        <v>30</v>
      </c>
      <c r="J497" s="5">
        <v>17159.581531514199</v>
      </c>
      <c r="K497" s="3">
        <v>330</v>
      </c>
      <c r="L497" s="3" t="s">
        <v>31</v>
      </c>
      <c r="M497" s="4">
        <v>44795</v>
      </c>
      <c r="N497" s="3" t="s">
        <v>32</v>
      </c>
      <c r="O497" s="3" t="s">
        <v>24</v>
      </c>
      <c r="P497" s="3" t="str">
        <f>IF(Table1[[#This Row],[Billing Amount]]&lt;5000,"Low",IF(Table1[[#This Row],[Billing Amount]]&lt;=15000,"Medium","High"))</f>
        <v>High</v>
      </c>
      <c r="Q497" s="3" t="str">
        <f>IF(Table1[[#This Row],[Discharge Date]]="Yes","Discharged","Under Treatment")</f>
        <v>Under Treatment</v>
      </c>
      <c r="R497" s="3" t="str">
        <f>IF(Table1[[#This Row],[Test Results]]&gt;120,"High Risk","Normal")</f>
        <v>High Risk</v>
      </c>
      <c r="S497" s="3" t="str">
        <f>IF(Table1[[#This Row],[Age]]&lt;=18,"0-18",IF(Table1[[#This Row],[Age]]&lt;=35,"19-35",IF(Table1[[#This Row],[Age]]&lt;=50,"36-50",IF(Table1[[#This Row],[Age]]&lt;=65,"51-65","65+"))))</f>
        <v>51-65</v>
      </c>
    </row>
    <row r="498" spans="1:19" x14ac:dyDescent="0.3">
      <c r="A498" s="3" t="s">
        <v>1535</v>
      </c>
      <c r="B498" s="3">
        <v>24</v>
      </c>
      <c r="C498" s="3" t="s">
        <v>16</v>
      </c>
      <c r="D498" s="3" t="s">
        <v>36</v>
      </c>
      <c r="E498" s="3" t="s">
        <v>93</v>
      </c>
      <c r="F498" s="4">
        <v>44287</v>
      </c>
      <c r="G498" s="3" t="s">
        <v>1536</v>
      </c>
      <c r="H498" s="3" t="s">
        <v>445</v>
      </c>
      <c r="I498" s="3" t="s">
        <v>65</v>
      </c>
      <c r="J498" s="5">
        <v>7192.6281782379501</v>
      </c>
      <c r="K498" s="3">
        <v>443</v>
      </c>
      <c r="L498" s="3" t="s">
        <v>31</v>
      </c>
      <c r="M498" s="4">
        <v>44305</v>
      </c>
      <c r="N498" s="3" t="s">
        <v>52</v>
      </c>
      <c r="O498" s="3" t="s">
        <v>47</v>
      </c>
      <c r="P498" s="3" t="str">
        <f>IF(Table1[[#This Row],[Billing Amount]]&lt;5000,"Low",IF(Table1[[#This Row],[Billing Amount]]&lt;=15000,"Medium","High"))</f>
        <v>Medium</v>
      </c>
      <c r="Q498" s="3" t="str">
        <f>IF(Table1[[#This Row],[Discharge Date]]="Yes","Discharged","Under Treatment")</f>
        <v>Under Treatment</v>
      </c>
      <c r="R498" s="3" t="str">
        <f>IF(Table1[[#This Row],[Test Results]]&gt;120,"High Risk","Normal")</f>
        <v>High Risk</v>
      </c>
      <c r="S498" s="3" t="str">
        <f>IF(Table1[[#This Row],[Age]]&lt;=18,"0-18",IF(Table1[[#This Row],[Age]]&lt;=35,"19-35",IF(Table1[[#This Row],[Age]]&lt;=50,"36-50",IF(Table1[[#This Row],[Age]]&lt;=65,"51-65","65+"))))</f>
        <v>19-35</v>
      </c>
    </row>
    <row r="499" spans="1:19" x14ac:dyDescent="0.3">
      <c r="A499" s="3" t="s">
        <v>1537</v>
      </c>
      <c r="B499" s="3">
        <v>81</v>
      </c>
      <c r="C499" s="3" t="s">
        <v>16</v>
      </c>
      <c r="D499" s="3" t="s">
        <v>103</v>
      </c>
      <c r="E499" s="3" t="s">
        <v>93</v>
      </c>
      <c r="F499" s="4">
        <v>44032</v>
      </c>
      <c r="G499" s="3" t="s">
        <v>1538</v>
      </c>
      <c r="H499" s="3" t="s">
        <v>1539</v>
      </c>
      <c r="I499" s="3" t="s">
        <v>30</v>
      </c>
      <c r="J499" s="5">
        <v>44982.852472054903</v>
      </c>
      <c r="K499" s="3">
        <v>121</v>
      </c>
      <c r="L499" s="3" t="s">
        <v>46</v>
      </c>
      <c r="M499" s="4">
        <v>44041</v>
      </c>
      <c r="N499" s="3" t="s">
        <v>79</v>
      </c>
      <c r="O499" s="3" t="s">
        <v>24</v>
      </c>
      <c r="P499" s="3" t="str">
        <f>IF(Table1[[#This Row],[Billing Amount]]&lt;5000,"Low",IF(Table1[[#This Row],[Billing Amount]]&lt;=15000,"Medium","High"))</f>
        <v>High</v>
      </c>
      <c r="Q499" s="3" t="str">
        <f>IF(Table1[[#This Row],[Discharge Date]]="Yes","Discharged","Under Treatment")</f>
        <v>Under Treatment</v>
      </c>
      <c r="R499" s="3" t="str">
        <f>IF(Table1[[#This Row],[Test Results]]&gt;120,"High Risk","Normal")</f>
        <v>High Risk</v>
      </c>
      <c r="S499" s="3" t="str">
        <f>IF(Table1[[#This Row],[Age]]&lt;=18,"0-18",IF(Table1[[#This Row],[Age]]&lt;=35,"19-35",IF(Table1[[#This Row],[Age]]&lt;=50,"36-50",IF(Table1[[#This Row],[Age]]&lt;=65,"51-65","65+"))))</f>
        <v>65+</v>
      </c>
    </row>
    <row r="500" spans="1:19" x14ac:dyDescent="0.3">
      <c r="A500" s="3" t="s">
        <v>1540</v>
      </c>
      <c r="B500" s="3">
        <v>74</v>
      </c>
      <c r="C500" s="3" t="s">
        <v>16</v>
      </c>
      <c r="D500" s="3" t="s">
        <v>26</v>
      </c>
      <c r="E500" s="3" t="s">
        <v>43</v>
      </c>
      <c r="F500" s="4">
        <v>43889</v>
      </c>
      <c r="G500" s="3" t="s">
        <v>1541</v>
      </c>
      <c r="H500" s="3" t="s">
        <v>1542</v>
      </c>
      <c r="I500" s="3" t="s">
        <v>30</v>
      </c>
      <c r="J500" s="5">
        <v>16004.4690772289</v>
      </c>
      <c r="K500" s="3">
        <v>254</v>
      </c>
      <c r="L500" s="3" t="s">
        <v>31</v>
      </c>
      <c r="M500" s="4">
        <v>43918</v>
      </c>
      <c r="N500" s="3" t="s">
        <v>32</v>
      </c>
      <c r="O500" s="3" t="s">
        <v>33</v>
      </c>
      <c r="P500" s="3" t="str">
        <f>IF(Table1[[#This Row],[Billing Amount]]&lt;5000,"Low",IF(Table1[[#This Row],[Billing Amount]]&lt;=15000,"Medium","High"))</f>
        <v>High</v>
      </c>
      <c r="Q500" s="3" t="str">
        <f>IF(Table1[[#This Row],[Discharge Date]]="Yes","Discharged","Under Treatment")</f>
        <v>Under Treatment</v>
      </c>
      <c r="R500" s="3" t="str">
        <f>IF(Table1[[#This Row],[Test Results]]&gt;120,"High Risk","Normal")</f>
        <v>High Risk</v>
      </c>
      <c r="S500" s="3" t="str">
        <f>IF(Table1[[#This Row],[Age]]&lt;=18,"0-18",IF(Table1[[#This Row],[Age]]&lt;=35,"19-35",IF(Table1[[#This Row],[Age]]&lt;=50,"36-50",IF(Table1[[#This Row],[Age]]&lt;=65,"51-65","65+"))))</f>
        <v>65+</v>
      </c>
    </row>
    <row r="501" spans="1:19" x14ac:dyDescent="0.3">
      <c r="A501" s="3" t="s">
        <v>1543</v>
      </c>
      <c r="B501" s="3">
        <v>28</v>
      </c>
      <c r="C501" s="3" t="s">
        <v>16</v>
      </c>
      <c r="D501" s="3" t="s">
        <v>49</v>
      </c>
      <c r="E501" s="3" t="s">
        <v>18</v>
      </c>
      <c r="F501" s="4">
        <v>45168</v>
      </c>
      <c r="G501" s="3" t="s">
        <v>1544</v>
      </c>
      <c r="H501" s="3" t="s">
        <v>1545</v>
      </c>
      <c r="I501" s="3" t="s">
        <v>57</v>
      </c>
      <c r="J501" s="5">
        <v>7320.0426170861601</v>
      </c>
      <c r="K501" s="3">
        <v>458</v>
      </c>
      <c r="L501" s="3" t="s">
        <v>46</v>
      </c>
      <c r="M501" s="4">
        <v>45186</v>
      </c>
      <c r="N501" s="3" t="s">
        <v>32</v>
      </c>
      <c r="O501" s="3" t="s">
        <v>24</v>
      </c>
      <c r="P501" s="3" t="str">
        <f>IF(Table1[[#This Row],[Billing Amount]]&lt;5000,"Low",IF(Table1[[#This Row],[Billing Amount]]&lt;=15000,"Medium","High"))</f>
        <v>Medium</v>
      </c>
      <c r="Q501" s="3" t="str">
        <f>IF(Table1[[#This Row],[Discharge Date]]="Yes","Discharged","Under Treatment")</f>
        <v>Under Treatment</v>
      </c>
      <c r="R501" s="3" t="str">
        <f>IF(Table1[[#This Row],[Test Results]]&gt;120,"High Risk","Normal")</f>
        <v>High Risk</v>
      </c>
      <c r="S501" s="3" t="str">
        <f>IF(Table1[[#This Row],[Age]]&lt;=18,"0-18",IF(Table1[[#This Row],[Age]]&lt;=35,"19-35",IF(Table1[[#This Row],[Age]]&lt;=50,"36-50",IF(Table1[[#This Row],[Age]]&lt;=65,"51-65","65+"))))</f>
        <v>19-35</v>
      </c>
    </row>
    <row r="502" spans="1:19" x14ac:dyDescent="0.3">
      <c r="A502" s="3" t="s">
        <v>1546</v>
      </c>
      <c r="B502" s="3">
        <v>27</v>
      </c>
      <c r="C502" s="3" t="s">
        <v>16</v>
      </c>
      <c r="D502" s="3" t="s">
        <v>59</v>
      </c>
      <c r="E502" s="3" t="s">
        <v>27</v>
      </c>
      <c r="F502" s="4">
        <v>44039</v>
      </c>
      <c r="G502" s="3" t="s">
        <v>1547</v>
      </c>
      <c r="H502" s="3" t="s">
        <v>1548</v>
      </c>
      <c r="I502" s="3" t="s">
        <v>21</v>
      </c>
      <c r="J502" s="5">
        <v>28329.824069378799</v>
      </c>
      <c r="K502" s="3">
        <v>470</v>
      </c>
      <c r="L502" s="3" t="s">
        <v>31</v>
      </c>
      <c r="M502" s="4">
        <v>44067</v>
      </c>
      <c r="N502" s="3" t="s">
        <v>40</v>
      </c>
      <c r="O502" s="3" t="s">
        <v>24</v>
      </c>
      <c r="P502" s="3" t="str">
        <f>IF(Table1[[#This Row],[Billing Amount]]&lt;5000,"Low",IF(Table1[[#This Row],[Billing Amount]]&lt;=15000,"Medium","High"))</f>
        <v>High</v>
      </c>
      <c r="Q502" s="3" t="str">
        <f>IF(Table1[[#This Row],[Discharge Date]]="Yes","Discharged","Under Treatment")</f>
        <v>Under Treatment</v>
      </c>
      <c r="R502" s="3" t="str">
        <f>IF(Table1[[#This Row],[Test Results]]&gt;120,"High Risk","Normal")</f>
        <v>High Risk</v>
      </c>
      <c r="S502" s="3" t="str">
        <f>IF(Table1[[#This Row],[Age]]&lt;=18,"0-18",IF(Table1[[#This Row],[Age]]&lt;=35,"19-35",IF(Table1[[#This Row],[Age]]&lt;=50,"36-50",IF(Table1[[#This Row],[Age]]&lt;=65,"51-65","65+"))))</f>
        <v>19-35</v>
      </c>
    </row>
    <row r="503" spans="1:19" x14ac:dyDescent="0.3">
      <c r="A503" s="3" t="s">
        <v>1549</v>
      </c>
      <c r="B503" s="3">
        <v>24</v>
      </c>
      <c r="C503" s="3" t="s">
        <v>16</v>
      </c>
      <c r="D503" s="3" t="s">
        <v>59</v>
      </c>
      <c r="E503" s="3" t="s">
        <v>43</v>
      </c>
      <c r="F503" s="4">
        <v>44283</v>
      </c>
      <c r="G503" s="3" t="s">
        <v>1550</v>
      </c>
      <c r="H503" s="3" t="s">
        <v>1551</v>
      </c>
      <c r="I503" s="3" t="s">
        <v>57</v>
      </c>
      <c r="J503" s="5">
        <v>24130.516754629301</v>
      </c>
      <c r="K503" s="3">
        <v>214</v>
      </c>
      <c r="L503" s="3" t="s">
        <v>22</v>
      </c>
      <c r="M503" s="4">
        <v>44291</v>
      </c>
      <c r="N503" s="3" t="s">
        <v>23</v>
      </c>
      <c r="O503" s="3" t="s">
        <v>33</v>
      </c>
      <c r="P503" s="3" t="str">
        <f>IF(Table1[[#This Row],[Billing Amount]]&lt;5000,"Low",IF(Table1[[#This Row],[Billing Amount]]&lt;=15000,"Medium","High"))</f>
        <v>High</v>
      </c>
      <c r="Q503" s="3" t="str">
        <f>IF(Table1[[#This Row],[Discharge Date]]="Yes","Discharged","Under Treatment")</f>
        <v>Under Treatment</v>
      </c>
      <c r="R503" s="3" t="str">
        <f>IF(Table1[[#This Row],[Test Results]]&gt;120,"High Risk","Normal")</f>
        <v>High Risk</v>
      </c>
      <c r="S503" s="3" t="str">
        <f>IF(Table1[[#This Row],[Age]]&lt;=18,"0-18",IF(Table1[[#This Row],[Age]]&lt;=35,"19-35",IF(Table1[[#This Row],[Age]]&lt;=50,"36-50",IF(Table1[[#This Row],[Age]]&lt;=65,"51-65","65+"))))</f>
        <v>19-35</v>
      </c>
    </row>
    <row r="504" spans="1:19" x14ac:dyDescent="0.3">
      <c r="A504" s="3" t="s">
        <v>1552</v>
      </c>
      <c r="B504" s="3">
        <v>63</v>
      </c>
      <c r="C504" s="3" t="s">
        <v>16</v>
      </c>
      <c r="D504" s="3" t="s">
        <v>36</v>
      </c>
      <c r="E504" s="3" t="s">
        <v>43</v>
      </c>
      <c r="F504" s="4">
        <v>44689</v>
      </c>
      <c r="G504" s="3" t="s">
        <v>1553</v>
      </c>
      <c r="H504" s="3" t="s">
        <v>1554</v>
      </c>
      <c r="I504" s="3" t="s">
        <v>65</v>
      </c>
      <c r="J504" s="5">
        <v>22361.147596566199</v>
      </c>
      <c r="K504" s="3">
        <v>445</v>
      </c>
      <c r="L504" s="3" t="s">
        <v>31</v>
      </c>
      <c r="M504" s="4">
        <v>44691</v>
      </c>
      <c r="N504" s="3" t="s">
        <v>23</v>
      </c>
      <c r="O504" s="3" t="s">
        <v>24</v>
      </c>
      <c r="P504" s="3" t="str">
        <f>IF(Table1[[#This Row],[Billing Amount]]&lt;5000,"Low",IF(Table1[[#This Row],[Billing Amount]]&lt;=15000,"Medium","High"))</f>
        <v>High</v>
      </c>
      <c r="Q504" s="3" t="str">
        <f>IF(Table1[[#This Row],[Discharge Date]]="Yes","Discharged","Under Treatment")</f>
        <v>Under Treatment</v>
      </c>
      <c r="R504" s="3" t="str">
        <f>IF(Table1[[#This Row],[Test Results]]&gt;120,"High Risk","Normal")</f>
        <v>High Risk</v>
      </c>
      <c r="S504" s="3" t="str">
        <f>IF(Table1[[#This Row],[Age]]&lt;=18,"0-18",IF(Table1[[#This Row],[Age]]&lt;=35,"19-35",IF(Table1[[#This Row],[Age]]&lt;=50,"36-50",IF(Table1[[#This Row],[Age]]&lt;=65,"51-65","65+"))))</f>
        <v>51-65</v>
      </c>
    </row>
    <row r="505" spans="1:19" x14ac:dyDescent="0.3">
      <c r="A505" s="3" t="s">
        <v>1555</v>
      </c>
      <c r="B505" s="3">
        <v>35</v>
      </c>
      <c r="C505" s="3" t="s">
        <v>35</v>
      </c>
      <c r="D505" s="3" t="s">
        <v>49</v>
      </c>
      <c r="E505" s="3" t="s">
        <v>93</v>
      </c>
      <c r="F505" s="4">
        <v>45230</v>
      </c>
      <c r="G505" s="3" t="s">
        <v>1556</v>
      </c>
      <c r="H505" s="3" t="s">
        <v>1557</v>
      </c>
      <c r="I505" s="3" t="s">
        <v>39</v>
      </c>
      <c r="J505" s="5">
        <v>30986.932516935402</v>
      </c>
      <c r="K505" s="3">
        <v>346</v>
      </c>
      <c r="L505" s="3" t="s">
        <v>22</v>
      </c>
      <c r="M505" s="4">
        <v>45251</v>
      </c>
      <c r="N505" s="3" t="s">
        <v>23</v>
      </c>
      <c r="O505" s="3" t="s">
        <v>47</v>
      </c>
      <c r="P505" s="3" t="str">
        <f>IF(Table1[[#This Row],[Billing Amount]]&lt;5000,"Low",IF(Table1[[#This Row],[Billing Amount]]&lt;=15000,"Medium","High"))</f>
        <v>High</v>
      </c>
      <c r="Q505" s="3" t="str">
        <f>IF(Table1[[#This Row],[Discharge Date]]="Yes","Discharged","Under Treatment")</f>
        <v>Under Treatment</v>
      </c>
      <c r="R505" s="3" t="str">
        <f>IF(Table1[[#This Row],[Test Results]]&gt;120,"High Risk","Normal")</f>
        <v>High Risk</v>
      </c>
      <c r="S505" s="3" t="str">
        <f>IF(Table1[[#This Row],[Age]]&lt;=18,"0-18",IF(Table1[[#This Row],[Age]]&lt;=35,"19-35",IF(Table1[[#This Row],[Age]]&lt;=50,"36-50",IF(Table1[[#This Row],[Age]]&lt;=65,"51-65","65+"))))</f>
        <v>19-35</v>
      </c>
    </row>
    <row r="506" spans="1:19" x14ac:dyDescent="0.3">
      <c r="A506" s="3" t="s">
        <v>1558</v>
      </c>
      <c r="B506" s="3">
        <v>80</v>
      </c>
      <c r="C506" s="3" t="s">
        <v>35</v>
      </c>
      <c r="D506" s="3" t="s">
        <v>103</v>
      </c>
      <c r="E506" s="3" t="s">
        <v>27</v>
      </c>
      <c r="F506" s="4">
        <v>44539</v>
      </c>
      <c r="G506" s="3" t="s">
        <v>1559</v>
      </c>
      <c r="H506" s="3" t="s">
        <v>1560</v>
      </c>
      <c r="I506" s="3" t="s">
        <v>30</v>
      </c>
      <c r="J506" s="5">
        <v>11086.7304763579</v>
      </c>
      <c r="K506" s="3">
        <v>482</v>
      </c>
      <c r="L506" s="3" t="s">
        <v>22</v>
      </c>
      <c r="M506" s="4">
        <v>44542</v>
      </c>
      <c r="N506" s="3" t="s">
        <v>79</v>
      </c>
      <c r="O506" s="3" t="s">
        <v>33</v>
      </c>
      <c r="P506" s="3" t="str">
        <f>IF(Table1[[#This Row],[Billing Amount]]&lt;5000,"Low",IF(Table1[[#This Row],[Billing Amount]]&lt;=15000,"Medium","High"))</f>
        <v>Medium</v>
      </c>
      <c r="Q506" s="3" t="str">
        <f>IF(Table1[[#This Row],[Discharge Date]]="Yes","Discharged","Under Treatment")</f>
        <v>Under Treatment</v>
      </c>
      <c r="R506" s="3" t="str">
        <f>IF(Table1[[#This Row],[Test Results]]&gt;120,"High Risk","Normal")</f>
        <v>High Risk</v>
      </c>
      <c r="S506" s="3" t="str">
        <f>IF(Table1[[#This Row],[Age]]&lt;=18,"0-18",IF(Table1[[#This Row],[Age]]&lt;=35,"19-35",IF(Table1[[#This Row],[Age]]&lt;=50,"36-50",IF(Table1[[#This Row],[Age]]&lt;=65,"51-65","65+"))))</f>
        <v>65+</v>
      </c>
    </row>
    <row r="507" spans="1:19" x14ac:dyDescent="0.3">
      <c r="A507" s="3" t="s">
        <v>1561</v>
      </c>
      <c r="B507" s="3">
        <v>31</v>
      </c>
      <c r="C507" s="3" t="s">
        <v>16</v>
      </c>
      <c r="D507" s="3" t="s">
        <v>122</v>
      </c>
      <c r="E507" s="3" t="s">
        <v>27</v>
      </c>
      <c r="F507" s="4">
        <v>45301</v>
      </c>
      <c r="G507" s="3" t="s">
        <v>1562</v>
      </c>
      <c r="H507" s="3" t="s">
        <v>1563</v>
      </c>
      <c r="I507" s="3" t="s">
        <v>30</v>
      </c>
      <c r="J507" s="5">
        <v>28483.876936659799</v>
      </c>
      <c r="K507" s="3">
        <v>265</v>
      </c>
      <c r="L507" s="3" t="s">
        <v>22</v>
      </c>
      <c r="M507" s="4">
        <v>45324</v>
      </c>
      <c r="N507" s="3" t="s">
        <v>79</v>
      </c>
      <c r="O507" s="3" t="s">
        <v>47</v>
      </c>
      <c r="P507" s="3" t="str">
        <f>IF(Table1[[#This Row],[Billing Amount]]&lt;5000,"Low",IF(Table1[[#This Row],[Billing Amount]]&lt;=15000,"Medium","High"))</f>
        <v>High</v>
      </c>
      <c r="Q507" s="3" t="str">
        <f>IF(Table1[[#This Row],[Discharge Date]]="Yes","Discharged","Under Treatment")</f>
        <v>Under Treatment</v>
      </c>
      <c r="R507" s="3" t="str">
        <f>IF(Table1[[#This Row],[Test Results]]&gt;120,"High Risk","Normal")</f>
        <v>High Risk</v>
      </c>
      <c r="S507" s="3" t="str">
        <f>IF(Table1[[#This Row],[Age]]&lt;=18,"0-18",IF(Table1[[#This Row],[Age]]&lt;=35,"19-35",IF(Table1[[#This Row],[Age]]&lt;=50,"36-50",IF(Table1[[#This Row],[Age]]&lt;=65,"51-65","65+"))))</f>
        <v>19-35</v>
      </c>
    </row>
    <row r="508" spans="1:19" x14ac:dyDescent="0.3">
      <c r="A508" s="3" t="s">
        <v>1564</v>
      </c>
      <c r="B508" s="3">
        <v>82</v>
      </c>
      <c r="C508" s="3" t="s">
        <v>16</v>
      </c>
      <c r="D508" s="3" t="s">
        <v>49</v>
      </c>
      <c r="E508" s="3" t="s">
        <v>54</v>
      </c>
      <c r="F508" s="4">
        <v>44566</v>
      </c>
      <c r="G508" s="3" t="s">
        <v>1565</v>
      </c>
      <c r="H508" s="3" t="s">
        <v>1566</v>
      </c>
      <c r="I508" s="3" t="s">
        <v>30</v>
      </c>
      <c r="J508" s="5">
        <v>27878.850837775899</v>
      </c>
      <c r="K508" s="3">
        <v>472</v>
      </c>
      <c r="L508" s="3" t="s">
        <v>46</v>
      </c>
      <c r="M508" s="4">
        <v>44572</v>
      </c>
      <c r="N508" s="3" t="s">
        <v>32</v>
      </c>
      <c r="O508" s="3" t="s">
        <v>24</v>
      </c>
      <c r="P508" s="3" t="str">
        <f>IF(Table1[[#This Row],[Billing Amount]]&lt;5000,"Low",IF(Table1[[#This Row],[Billing Amount]]&lt;=15000,"Medium","High"))</f>
        <v>High</v>
      </c>
      <c r="Q508" s="3" t="str">
        <f>IF(Table1[[#This Row],[Discharge Date]]="Yes","Discharged","Under Treatment")</f>
        <v>Under Treatment</v>
      </c>
      <c r="R508" s="3" t="str">
        <f>IF(Table1[[#This Row],[Test Results]]&gt;120,"High Risk","Normal")</f>
        <v>High Risk</v>
      </c>
      <c r="S508" s="3" t="str">
        <f>IF(Table1[[#This Row],[Age]]&lt;=18,"0-18",IF(Table1[[#This Row],[Age]]&lt;=35,"19-35",IF(Table1[[#This Row],[Age]]&lt;=50,"36-50",IF(Table1[[#This Row],[Age]]&lt;=65,"51-65","65+"))))</f>
        <v>65+</v>
      </c>
    </row>
    <row r="509" spans="1:19" x14ac:dyDescent="0.3">
      <c r="A509" s="3" t="s">
        <v>1567</v>
      </c>
      <c r="B509" s="3">
        <v>77</v>
      </c>
      <c r="C509" s="3" t="s">
        <v>35</v>
      </c>
      <c r="D509" s="3" t="s">
        <v>42</v>
      </c>
      <c r="E509" s="3" t="s">
        <v>93</v>
      </c>
      <c r="F509" s="4">
        <v>44882</v>
      </c>
      <c r="G509" s="3" t="s">
        <v>1568</v>
      </c>
      <c r="H509" s="3" t="s">
        <v>1569</v>
      </c>
      <c r="I509" s="3" t="s">
        <v>39</v>
      </c>
      <c r="J509" s="5">
        <v>30575.764602708899</v>
      </c>
      <c r="K509" s="3">
        <v>116</v>
      </c>
      <c r="L509" s="3" t="s">
        <v>22</v>
      </c>
      <c r="M509" s="4">
        <v>44910</v>
      </c>
      <c r="N509" s="3" t="s">
        <v>23</v>
      </c>
      <c r="O509" s="3" t="s">
        <v>47</v>
      </c>
      <c r="P509" s="3" t="str">
        <f>IF(Table1[[#This Row],[Billing Amount]]&lt;5000,"Low",IF(Table1[[#This Row],[Billing Amount]]&lt;=15000,"Medium","High"))</f>
        <v>High</v>
      </c>
      <c r="Q509" s="3" t="str">
        <f>IF(Table1[[#This Row],[Discharge Date]]="Yes","Discharged","Under Treatment")</f>
        <v>Under Treatment</v>
      </c>
      <c r="R509" s="3" t="str">
        <f>IF(Table1[[#This Row],[Test Results]]&gt;120,"High Risk","Normal")</f>
        <v>High Risk</v>
      </c>
      <c r="S509" s="3" t="str">
        <f>IF(Table1[[#This Row],[Age]]&lt;=18,"0-18",IF(Table1[[#This Row],[Age]]&lt;=35,"19-35",IF(Table1[[#This Row],[Age]]&lt;=50,"36-50",IF(Table1[[#This Row],[Age]]&lt;=65,"51-65","65+"))))</f>
        <v>65+</v>
      </c>
    </row>
    <row r="510" spans="1:19" x14ac:dyDescent="0.3">
      <c r="A510" s="3" t="s">
        <v>1570</v>
      </c>
      <c r="B510" s="3">
        <v>70</v>
      </c>
      <c r="C510" s="3" t="s">
        <v>35</v>
      </c>
      <c r="D510" s="3" t="s">
        <v>26</v>
      </c>
      <c r="E510" s="3" t="s">
        <v>43</v>
      </c>
      <c r="F510" s="4">
        <v>43941</v>
      </c>
      <c r="G510" s="3" t="s">
        <v>1571</v>
      </c>
      <c r="H510" s="3" t="s">
        <v>1572</v>
      </c>
      <c r="I510" s="3" t="s">
        <v>30</v>
      </c>
      <c r="J510" s="5">
        <v>7422.7252599488202</v>
      </c>
      <c r="K510" s="3">
        <v>496</v>
      </c>
      <c r="L510" s="3" t="s">
        <v>46</v>
      </c>
      <c r="M510" s="4">
        <v>43944</v>
      </c>
      <c r="N510" s="3" t="s">
        <v>79</v>
      </c>
      <c r="O510" s="3" t="s">
        <v>47</v>
      </c>
      <c r="P510" s="3" t="str">
        <f>IF(Table1[[#This Row],[Billing Amount]]&lt;5000,"Low",IF(Table1[[#This Row],[Billing Amount]]&lt;=15000,"Medium","High"))</f>
        <v>Medium</v>
      </c>
      <c r="Q510" s="3" t="str">
        <f>IF(Table1[[#This Row],[Discharge Date]]="Yes","Discharged","Under Treatment")</f>
        <v>Under Treatment</v>
      </c>
      <c r="R510" s="3" t="str">
        <f>IF(Table1[[#This Row],[Test Results]]&gt;120,"High Risk","Normal")</f>
        <v>High Risk</v>
      </c>
      <c r="S510" s="3" t="str">
        <f>IF(Table1[[#This Row],[Age]]&lt;=18,"0-18",IF(Table1[[#This Row],[Age]]&lt;=35,"19-35",IF(Table1[[#This Row],[Age]]&lt;=50,"36-50",IF(Table1[[#This Row],[Age]]&lt;=65,"51-65","65+"))))</f>
        <v>65+</v>
      </c>
    </row>
    <row r="511" spans="1:19" x14ac:dyDescent="0.3">
      <c r="A511" s="3" t="s">
        <v>1573</v>
      </c>
      <c r="B511" s="3">
        <v>29</v>
      </c>
      <c r="C511" s="3" t="s">
        <v>16</v>
      </c>
      <c r="D511" s="3" t="s">
        <v>42</v>
      </c>
      <c r="E511" s="3" t="s">
        <v>54</v>
      </c>
      <c r="F511" s="4">
        <v>44657</v>
      </c>
      <c r="G511" s="3" t="s">
        <v>1574</v>
      </c>
      <c r="H511" s="3" t="s">
        <v>1575</v>
      </c>
      <c r="I511" s="3" t="s">
        <v>57</v>
      </c>
      <c r="J511" s="5">
        <v>48574.8324380657</v>
      </c>
      <c r="K511" s="3">
        <v>448</v>
      </c>
      <c r="L511" s="3" t="s">
        <v>46</v>
      </c>
      <c r="M511" s="4">
        <v>44681</v>
      </c>
      <c r="N511" s="3" t="s">
        <v>52</v>
      </c>
      <c r="O511" s="3" t="s">
        <v>33</v>
      </c>
      <c r="P511" s="3" t="str">
        <f>IF(Table1[[#This Row],[Billing Amount]]&lt;5000,"Low",IF(Table1[[#This Row],[Billing Amount]]&lt;=15000,"Medium","High"))</f>
        <v>High</v>
      </c>
      <c r="Q511" s="3" t="str">
        <f>IF(Table1[[#This Row],[Discharge Date]]="Yes","Discharged","Under Treatment")</f>
        <v>Under Treatment</v>
      </c>
      <c r="R511" s="3" t="str">
        <f>IF(Table1[[#This Row],[Test Results]]&gt;120,"High Risk","Normal")</f>
        <v>High Risk</v>
      </c>
      <c r="S511" s="3" t="str">
        <f>IF(Table1[[#This Row],[Age]]&lt;=18,"0-18",IF(Table1[[#This Row],[Age]]&lt;=35,"19-35",IF(Table1[[#This Row],[Age]]&lt;=50,"36-50",IF(Table1[[#This Row],[Age]]&lt;=65,"51-65","65+"))))</f>
        <v>19-35</v>
      </c>
    </row>
    <row r="512" spans="1:19" x14ac:dyDescent="0.3">
      <c r="A512" s="3" t="s">
        <v>1576</v>
      </c>
      <c r="B512" s="3">
        <v>70</v>
      </c>
      <c r="C512" s="3" t="s">
        <v>16</v>
      </c>
      <c r="D512" s="3" t="s">
        <v>49</v>
      </c>
      <c r="E512" s="3" t="s">
        <v>27</v>
      </c>
      <c r="F512" s="4">
        <v>43897</v>
      </c>
      <c r="G512" s="3" t="s">
        <v>1577</v>
      </c>
      <c r="H512" s="3" t="s">
        <v>1578</v>
      </c>
      <c r="I512" s="3" t="s">
        <v>57</v>
      </c>
      <c r="J512" s="5">
        <v>7409.3365463680202</v>
      </c>
      <c r="K512" s="3">
        <v>418</v>
      </c>
      <c r="L512" s="3" t="s">
        <v>46</v>
      </c>
      <c r="M512" s="4">
        <v>43919</v>
      </c>
      <c r="N512" s="3" t="s">
        <v>40</v>
      </c>
      <c r="O512" s="3" t="s">
        <v>24</v>
      </c>
      <c r="P512" s="3" t="str">
        <f>IF(Table1[[#This Row],[Billing Amount]]&lt;5000,"Low",IF(Table1[[#This Row],[Billing Amount]]&lt;=15000,"Medium","High"))</f>
        <v>Medium</v>
      </c>
      <c r="Q512" s="3" t="str">
        <f>IF(Table1[[#This Row],[Discharge Date]]="Yes","Discharged","Under Treatment")</f>
        <v>Under Treatment</v>
      </c>
      <c r="R512" s="3" t="str">
        <f>IF(Table1[[#This Row],[Test Results]]&gt;120,"High Risk","Normal")</f>
        <v>High Risk</v>
      </c>
      <c r="S512" s="3" t="str">
        <f>IF(Table1[[#This Row],[Age]]&lt;=18,"0-18",IF(Table1[[#This Row],[Age]]&lt;=35,"19-35",IF(Table1[[#This Row],[Age]]&lt;=50,"36-50",IF(Table1[[#This Row],[Age]]&lt;=65,"51-65","65+"))))</f>
        <v>65+</v>
      </c>
    </row>
    <row r="513" spans="1:19" x14ac:dyDescent="0.3">
      <c r="A513" s="3" t="s">
        <v>1579</v>
      </c>
      <c r="B513" s="3">
        <v>50</v>
      </c>
      <c r="C513" s="3" t="s">
        <v>35</v>
      </c>
      <c r="D513" s="3" t="s">
        <v>103</v>
      </c>
      <c r="E513" s="3" t="s">
        <v>93</v>
      </c>
      <c r="F513" s="4">
        <v>44744</v>
      </c>
      <c r="G513" s="3" t="s">
        <v>1580</v>
      </c>
      <c r="H513" s="3" t="s">
        <v>1581</v>
      </c>
      <c r="I513" s="3" t="s">
        <v>30</v>
      </c>
      <c r="J513" s="5">
        <v>47551.570142530101</v>
      </c>
      <c r="K513" s="3">
        <v>179</v>
      </c>
      <c r="L513" s="3" t="s">
        <v>46</v>
      </c>
      <c r="M513" s="4">
        <v>44757</v>
      </c>
      <c r="N513" s="3" t="s">
        <v>32</v>
      </c>
      <c r="O513" s="3" t="s">
        <v>33</v>
      </c>
      <c r="P513" s="3" t="str">
        <f>IF(Table1[[#This Row],[Billing Amount]]&lt;5000,"Low",IF(Table1[[#This Row],[Billing Amount]]&lt;=15000,"Medium","High"))</f>
        <v>High</v>
      </c>
      <c r="Q513" s="3" t="str">
        <f>IF(Table1[[#This Row],[Discharge Date]]="Yes","Discharged","Under Treatment")</f>
        <v>Under Treatment</v>
      </c>
      <c r="R513" s="3" t="str">
        <f>IF(Table1[[#This Row],[Test Results]]&gt;120,"High Risk","Normal")</f>
        <v>High Risk</v>
      </c>
      <c r="S513" s="3" t="str">
        <f>IF(Table1[[#This Row],[Age]]&lt;=18,"0-18",IF(Table1[[#This Row],[Age]]&lt;=35,"19-35",IF(Table1[[#This Row],[Age]]&lt;=50,"36-50",IF(Table1[[#This Row],[Age]]&lt;=65,"51-65","65+"))))</f>
        <v>36-50</v>
      </c>
    </row>
    <row r="514" spans="1:19" x14ac:dyDescent="0.3">
      <c r="A514" s="3" t="s">
        <v>1582</v>
      </c>
      <c r="B514" s="3">
        <v>52</v>
      </c>
      <c r="C514" s="3" t="s">
        <v>35</v>
      </c>
      <c r="D514" s="3" t="s">
        <v>42</v>
      </c>
      <c r="E514" s="3" t="s">
        <v>54</v>
      </c>
      <c r="F514" s="4">
        <v>43634</v>
      </c>
      <c r="G514" s="3" t="s">
        <v>1583</v>
      </c>
      <c r="H514" s="3" t="s">
        <v>1584</v>
      </c>
      <c r="I514" s="3" t="s">
        <v>39</v>
      </c>
      <c r="J514" s="5">
        <v>42301.914619339703</v>
      </c>
      <c r="K514" s="3">
        <v>132</v>
      </c>
      <c r="L514" s="3" t="s">
        <v>46</v>
      </c>
      <c r="M514" s="4">
        <v>43654</v>
      </c>
      <c r="N514" s="3" t="s">
        <v>40</v>
      </c>
      <c r="O514" s="3" t="s">
        <v>47</v>
      </c>
      <c r="P514" s="3" t="str">
        <f>IF(Table1[[#This Row],[Billing Amount]]&lt;5000,"Low",IF(Table1[[#This Row],[Billing Amount]]&lt;=15000,"Medium","High"))</f>
        <v>High</v>
      </c>
      <c r="Q514" s="3" t="str">
        <f>IF(Table1[[#This Row],[Discharge Date]]="Yes","Discharged","Under Treatment")</f>
        <v>Under Treatment</v>
      </c>
      <c r="R514" s="3" t="str">
        <f>IF(Table1[[#This Row],[Test Results]]&gt;120,"High Risk","Normal")</f>
        <v>High Risk</v>
      </c>
      <c r="S514" s="3" t="str">
        <f>IF(Table1[[#This Row],[Age]]&lt;=18,"0-18",IF(Table1[[#This Row],[Age]]&lt;=35,"19-35",IF(Table1[[#This Row],[Age]]&lt;=50,"36-50",IF(Table1[[#This Row],[Age]]&lt;=65,"51-65","65+"))))</f>
        <v>51-65</v>
      </c>
    </row>
    <row r="515" spans="1:19" x14ac:dyDescent="0.3">
      <c r="A515" s="3" t="s">
        <v>1585</v>
      </c>
      <c r="B515" s="3">
        <v>70</v>
      </c>
      <c r="C515" s="3" t="s">
        <v>16</v>
      </c>
      <c r="D515" s="3" t="s">
        <v>36</v>
      </c>
      <c r="E515" s="3" t="s">
        <v>18</v>
      </c>
      <c r="F515" s="4">
        <v>44567</v>
      </c>
      <c r="G515" s="3" t="s">
        <v>1586</v>
      </c>
      <c r="H515" s="3" t="s">
        <v>1587</v>
      </c>
      <c r="I515" s="3" t="s">
        <v>65</v>
      </c>
      <c r="J515" s="5">
        <v>10003.671027381701</v>
      </c>
      <c r="K515" s="3">
        <v>169</v>
      </c>
      <c r="L515" s="3" t="s">
        <v>46</v>
      </c>
      <c r="M515" s="4">
        <v>44588</v>
      </c>
      <c r="N515" s="3" t="s">
        <v>23</v>
      </c>
      <c r="O515" s="3" t="s">
        <v>24</v>
      </c>
      <c r="P515" s="3" t="str">
        <f>IF(Table1[[#This Row],[Billing Amount]]&lt;5000,"Low",IF(Table1[[#This Row],[Billing Amount]]&lt;=15000,"Medium","High"))</f>
        <v>Medium</v>
      </c>
      <c r="Q515" s="3" t="str">
        <f>IF(Table1[[#This Row],[Discharge Date]]="Yes","Discharged","Under Treatment")</f>
        <v>Under Treatment</v>
      </c>
      <c r="R515" s="3" t="str">
        <f>IF(Table1[[#This Row],[Test Results]]&gt;120,"High Risk","Normal")</f>
        <v>High Risk</v>
      </c>
      <c r="S515" s="3" t="str">
        <f>IF(Table1[[#This Row],[Age]]&lt;=18,"0-18",IF(Table1[[#This Row],[Age]]&lt;=35,"19-35",IF(Table1[[#This Row],[Age]]&lt;=50,"36-50",IF(Table1[[#This Row],[Age]]&lt;=65,"51-65","65+"))))</f>
        <v>65+</v>
      </c>
    </row>
    <row r="516" spans="1:19" x14ac:dyDescent="0.3">
      <c r="A516" s="3" t="s">
        <v>1588</v>
      </c>
      <c r="B516" s="3">
        <v>74</v>
      </c>
      <c r="C516" s="3" t="s">
        <v>16</v>
      </c>
      <c r="D516" s="3" t="s">
        <v>59</v>
      </c>
      <c r="E516" s="3" t="s">
        <v>76</v>
      </c>
      <c r="F516" s="4">
        <v>44904</v>
      </c>
      <c r="G516" s="3" t="s">
        <v>1589</v>
      </c>
      <c r="H516" s="3" t="s">
        <v>1590</v>
      </c>
      <c r="I516" s="3" t="s">
        <v>65</v>
      </c>
      <c r="J516" s="5">
        <v>10722.4950696961</v>
      </c>
      <c r="K516" s="3">
        <v>206</v>
      </c>
      <c r="L516" s="3" t="s">
        <v>46</v>
      </c>
      <c r="M516" s="4">
        <v>44923</v>
      </c>
      <c r="N516" s="3" t="s">
        <v>52</v>
      </c>
      <c r="O516" s="3" t="s">
        <v>33</v>
      </c>
      <c r="P516" s="3" t="str">
        <f>IF(Table1[[#This Row],[Billing Amount]]&lt;5000,"Low",IF(Table1[[#This Row],[Billing Amount]]&lt;=15000,"Medium","High"))</f>
        <v>Medium</v>
      </c>
      <c r="Q516" s="3" t="str">
        <f>IF(Table1[[#This Row],[Discharge Date]]="Yes","Discharged","Under Treatment")</f>
        <v>Under Treatment</v>
      </c>
      <c r="R516" s="3" t="str">
        <f>IF(Table1[[#This Row],[Test Results]]&gt;120,"High Risk","Normal")</f>
        <v>High Risk</v>
      </c>
      <c r="S516" s="3" t="str">
        <f>IF(Table1[[#This Row],[Age]]&lt;=18,"0-18",IF(Table1[[#This Row],[Age]]&lt;=35,"19-35",IF(Table1[[#This Row],[Age]]&lt;=50,"36-50",IF(Table1[[#This Row],[Age]]&lt;=65,"51-65","65+"))))</f>
        <v>65+</v>
      </c>
    </row>
    <row r="517" spans="1:19" x14ac:dyDescent="0.3">
      <c r="A517" s="3" t="s">
        <v>1591</v>
      </c>
      <c r="B517" s="3">
        <v>75</v>
      </c>
      <c r="C517" s="3" t="s">
        <v>35</v>
      </c>
      <c r="D517" s="3" t="s">
        <v>42</v>
      </c>
      <c r="E517" s="3" t="s">
        <v>27</v>
      </c>
      <c r="F517" s="4">
        <v>43996</v>
      </c>
      <c r="G517" s="3" t="s">
        <v>1592</v>
      </c>
      <c r="H517" s="3" t="s">
        <v>1593</v>
      </c>
      <c r="I517" s="3" t="s">
        <v>21</v>
      </c>
      <c r="J517" s="5">
        <v>47516.520546428401</v>
      </c>
      <c r="K517" s="3">
        <v>356</v>
      </c>
      <c r="L517" s="3" t="s">
        <v>22</v>
      </c>
      <c r="M517" s="4">
        <v>44002</v>
      </c>
      <c r="N517" s="3" t="s">
        <v>79</v>
      </c>
      <c r="O517" s="3" t="s">
        <v>24</v>
      </c>
      <c r="P517" s="3" t="str">
        <f>IF(Table1[[#This Row],[Billing Amount]]&lt;5000,"Low",IF(Table1[[#This Row],[Billing Amount]]&lt;=15000,"Medium","High"))</f>
        <v>High</v>
      </c>
      <c r="Q517" s="3" t="str">
        <f>IF(Table1[[#This Row],[Discharge Date]]="Yes","Discharged","Under Treatment")</f>
        <v>Under Treatment</v>
      </c>
      <c r="R517" s="3" t="str">
        <f>IF(Table1[[#This Row],[Test Results]]&gt;120,"High Risk","Normal")</f>
        <v>High Risk</v>
      </c>
      <c r="S517" s="3" t="str">
        <f>IF(Table1[[#This Row],[Age]]&lt;=18,"0-18",IF(Table1[[#This Row],[Age]]&lt;=35,"19-35",IF(Table1[[#This Row],[Age]]&lt;=50,"36-50",IF(Table1[[#This Row],[Age]]&lt;=65,"51-65","65+"))))</f>
        <v>65+</v>
      </c>
    </row>
    <row r="518" spans="1:19" x14ac:dyDescent="0.3">
      <c r="A518" s="3" t="s">
        <v>1594</v>
      </c>
      <c r="B518" s="3">
        <v>61</v>
      </c>
      <c r="C518" s="3" t="s">
        <v>16</v>
      </c>
      <c r="D518" s="3" t="s">
        <v>103</v>
      </c>
      <c r="E518" s="3" t="s">
        <v>27</v>
      </c>
      <c r="F518" s="4">
        <v>44267</v>
      </c>
      <c r="G518" s="3" t="s">
        <v>1595</v>
      </c>
      <c r="H518" s="3" t="s">
        <v>1596</v>
      </c>
      <c r="I518" s="3" t="s">
        <v>65</v>
      </c>
      <c r="J518" s="5">
        <v>41379.382614866401</v>
      </c>
      <c r="K518" s="3">
        <v>354</v>
      </c>
      <c r="L518" s="3" t="s">
        <v>22</v>
      </c>
      <c r="M518" s="4">
        <v>44280</v>
      </c>
      <c r="N518" s="3" t="s">
        <v>79</v>
      </c>
      <c r="O518" s="3" t="s">
        <v>33</v>
      </c>
      <c r="P518" s="3" t="str">
        <f>IF(Table1[[#This Row],[Billing Amount]]&lt;5000,"Low",IF(Table1[[#This Row],[Billing Amount]]&lt;=15000,"Medium","High"))</f>
        <v>High</v>
      </c>
      <c r="Q518" s="3" t="str">
        <f>IF(Table1[[#This Row],[Discharge Date]]="Yes","Discharged","Under Treatment")</f>
        <v>Under Treatment</v>
      </c>
      <c r="R518" s="3" t="str">
        <f>IF(Table1[[#This Row],[Test Results]]&gt;120,"High Risk","Normal")</f>
        <v>High Risk</v>
      </c>
      <c r="S518" s="3" t="str">
        <f>IF(Table1[[#This Row],[Age]]&lt;=18,"0-18",IF(Table1[[#This Row],[Age]]&lt;=35,"19-35",IF(Table1[[#This Row],[Age]]&lt;=50,"36-50",IF(Table1[[#This Row],[Age]]&lt;=65,"51-65","65+"))))</f>
        <v>51-65</v>
      </c>
    </row>
    <row r="519" spans="1:19" x14ac:dyDescent="0.3">
      <c r="A519" s="3" t="s">
        <v>1597</v>
      </c>
      <c r="B519" s="3">
        <v>51</v>
      </c>
      <c r="C519" s="3" t="s">
        <v>35</v>
      </c>
      <c r="D519" s="3" t="s">
        <v>36</v>
      </c>
      <c r="E519" s="3" t="s">
        <v>27</v>
      </c>
      <c r="F519" s="4">
        <v>43807</v>
      </c>
      <c r="G519" s="3" t="s">
        <v>1598</v>
      </c>
      <c r="H519" s="3" t="s">
        <v>484</v>
      </c>
      <c r="I519" s="3" t="s">
        <v>65</v>
      </c>
      <c r="J519" s="5">
        <v>32006.031565887999</v>
      </c>
      <c r="K519" s="3">
        <v>200</v>
      </c>
      <c r="L519" s="3" t="s">
        <v>22</v>
      </c>
      <c r="M519" s="4">
        <v>43835</v>
      </c>
      <c r="N519" s="3" t="s">
        <v>52</v>
      </c>
      <c r="O519" s="3" t="s">
        <v>24</v>
      </c>
      <c r="P519" s="3" t="str">
        <f>IF(Table1[[#This Row],[Billing Amount]]&lt;5000,"Low",IF(Table1[[#This Row],[Billing Amount]]&lt;=15000,"Medium","High"))</f>
        <v>High</v>
      </c>
      <c r="Q519" s="3" t="str">
        <f>IF(Table1[[#This Row],[Discharge Date]]="Yes","Discharged","Under Treatment")</f>
        <v>Under Treatment</v>
      </c>
      <c r="R519" s="3" t="str">
        <f>IF(Table1[[#This Row],[Test Results]]&gt;120,"High Risk","Normal")</f>
        <v>High Risk</v>
      </c>
      <c r="S519" s="3" t="str">
        <f>IF(Table1[[#This Row],[Age]]&lt;=18,"0-18",IF(Table1[[#This Row],[Age]]&lt;=35,"19-35",IF(Table1[[#This Row],[Age]]&lt;=50,"36-50",IF(Table1[[#This Row],[Age]]&lt;=65,"51-65","65+"))))</f>
        <v>51-65</v>
      </c>
    </row>
    <row r="520" spans="1:19" x14ac:dyDescent="0.3">
      <c r="A520" s="3" t="s">
        <v>1599</v>
      </c>
      <c r="B520" s="3">
        <v>37</v>
      </c>
      <c r="C520" s="3" t="s">
        <v>35</v>
      </c>
      <c r="D520" s="3" t="s">
        <v>36</v>
      </c>
      <c r="E520" s="3" t="s">
        <v>93</v>
      </c>
      <c r="F520" s="4">
        <v>45096</v>
      </c>
      <c r="G520" s="3" t="s">
        <v>1600</v>
      </c>
      <c r="H520" s="3" t="s">
        <v>1601</v>
      </c>
      <c r="I520" s="3" t="s">
        <v>57</v>
      </c>
      <c r="J520" s="5">
        <v>14405.939243142</v>
      </c>
      <c r="K520" s="3">
        <v>312</v>
      </c>
      <c r="L520" s="3" t="s">
        <v>46</v>
      </c>
      <c r="M520" s="4">
        <v>45121</v>
      </c>
      <c r="N520" s="3" t="s">
        <v>79</v>
      </c>
      <c r="O520" s="3" t="s">
        <v>33</v>
      </c>
      <c r="P520" s="3" t="str">
        <f>IF(Table1[[#This Row],[Billing Amount]]&lt;5000,"Low",IF(Table1[[#This Row],[Billing Amount]]&lt;=15000,"Medium","High"))</f>
        <v>Medium</v>
      </c>
      <c r="Q520" s="3" t="str">
        <f>IF(Table1[[#This Row],[Discharge Date]]="Yes","Discharged","Under Treatment")</f>
        <v>Under Treatment</v>
      </c>
      <c r="R520" s="3" t="str">
        <f>IF(Table1[[#This Row],[Test Results]]&gt;120,"High Risk","Normal")</f>
        <v>High Risk</v>
      </c>
      <c r="S520" s="3" t="str">
        <f>IF(Table1[[#This Row],[Age]]&lt;=18,"0-18",IF(Table1[[#This Row],[Age]]&lt;=35,"19-35",IF(Table1[[#This Row],[Age]]&lt;=50,"36-50",IF(Table1[[#This Row],[Age]]&lt;=65,"51-65","65+"))))</f>
        <v>36-50</v>
      </c>
    </row>
    <row r="521" spans="1:19" x14ac:dyDescent="0.3">
      <c r="A521" s="3" t="s">
        <v>1602</v>
      </c>
      <c r="B521" s="3">
        <v>51</v>
      </c>
      <c r="C521" s="3" t="s">
        <v>16</v>
      </c>
      <c r="D521" s="3" t="s">
        <v>103</v>
      </c>
      <c r="E521" s="3" t="s">
        <v>76</v>
      </c>
      <c r="F521" s="4">
        <v>43595</v>
      </c>
      <c r="G521" s="3" t="s">
        <v>1603</v>
      </c>
      <c r="H521" s="3" t="s">
        <v>1604</v>
      </c>
      <c r="I521" s="3" t="s">
        <v>57</v>
      </c>
      <c r="J521" s="5">
        <v>24691.249050914401</v>
      </c>
      <c r="K521" s="3">
        <v>484</v>
      </c>
      <c r="L521" s="3" t="s">
        <v>22</v>
      </c>
      <c r="M521" s="4">
        <v>43623</v>
      </c>
      <c r="N521" s="3" t="s">
        <v>52</v>
      </c>
      <c r="O521" s="3" t="s">
        <v>24</v>
      </c>
      <c r="P521" s="3" t="str">
        <f>IF(Table1[[#This Row],[Billing Amount]]&lt;5000,"Low",IF(Table1[[#This Row],[Billing Amount]]&lt;=15000,"Medium","High"))</f>
        <v>High</v>
      </c>
      <c r="Q521" s="3" t="str">
        <f>IF(Table1[[#This Row],[Discharge Date]]="Yes","Discharged","Under Treatment")</f>
        <v>Under Treatment</v>
      </c>
      <c r="R521" s="3" t="str">
        <f>IF(Table1[[#This Row],[Test Results]]&gt;120,"High Risk","Normal")</f>
        <v>High Risk</v>
      </c>
      <c r="S521" s="3" t="str">
        <f>IF(Table1[[#This Row],[Age]]&lt;=18,"0-18",IF(Table1[[#This Row],[Age]]&lt;=35,"19-35",IF(Table1[[#This Row],[Age]]&lt;=50,"36-50",IF(Table1[[#This Row],[Age]]&lt;=65,"51-65","65+"))))</f>
        <v>51-65</v>
      </c>
    </row>
    <row r="522" spans="1:19" x14ac:dyDescent="0.3">
      <c r="A522" s="3" t="s">
        <v>1605</v>
      </c>
      <c r="B522" s="3">
        <v>70</v>
      </c>
      <c r="C522" s="3" t="s">
        <v>16</v>
      </c>
      <c r="D522" s="3" t="s">
        <v>17</v>
      </c>
      <c r="E522" s="3" t="s">
        <v>54</v>
      </c>
      <c r="F522" s="4">
        <v>43765</v>
      </c>
      <c r="G522" s="3" t="s">
        <v>1606</v>
      </c>
      <c r="H522" s="3" t="s">
        <v>1607</v>
      </c>
      <c r="I522" s="3" t="s">
        <v>21</v>
      </c>
      <c r="J522" s="5">
        <v>37861.5091105963</v>
      </c>
      <c r="K522" s="3">
        <v>428</v>
      </c>
      <c r="L522" s="3" t="s">
        <v>31</v>
      </c>
      <c r="M522" s="4">
        <v>43781</v>
      </c>
      <c r="N522" s="3" t="s">
        <v>79</v>
      </c>
      <c r="O522" s="3" t="s">
        <v>24</v>
      </c>
      <c r="P522" s="3" t="str">
        <f>IF(Table1[[#This Row],[Billing Amount]]&lt;5000,"Low",IF(Table1[[#This Row],[Billing Amount]]&lt;=15000,"Medium","High"))</f>
        <v>High</v>
      </c>
      <c r="Q522" s="3" t="str">
        <f>IF(Table1[[#This Row],[Discharge Date]]="Yes","Discharged","Under Treatment")</f>
        <v>Under Treatment</v>
      </c>
      <c r="R522" s="3" t="str">
        <f>IF(Table1[[#This Row],[Test Results]]&gt;120,"High Risk","Normal")</f>
        <v>High Risk</v>
      </c>
      <c r="S522" s="3" t="str">
        <f>IF(Table1[[#This Row],[Age]]&lt;=18,"0-18",IF(Table1[[#This Row],[Age]]&lt;=35,"19-35",IF(Table1[[#This Row],[Age]]&lt;=50,"36-50",IF(Table1[[#This Row],[Age]]&lt;=65,"51-65","65+"))))</f>
        <v>65+</v>
      </c>
    </row>
    <row r="523" spans="1:19" x14ac:dyDescent="0.3">
      <c r="A523" s="3" t="s">
        <v>1608</v>
      </c>
      <c r="B523" s="3">
        <v>60</v>
      </c>
      <c r="C523" s="3" t="s">
        <v>35</v>
      </c>
      <c r="D523" s="3" t="s">
        <v>103</v>
      </c>
      <c r="E523" s="3" t="s">
        <v>18</v>
      </c>
      <c r="F523" s="4">
        <v>44800</v>
      </c>
      <c r="G523" s="3" t="s">
        <v>1609</v>
      </c>
      <c r="H523" s="3" t="s">
        <v>1610</v>
      </c>
      <c r="I523" s="3" t="s">
        <v>39</v>
      </c>
      <c r="J523" s="5">
        <v>22952.729823687001</v>
      </c>
      <c r="K523" s="3">
        <v>342</v>
      </c>
      <c r="L523" s="3" t="s">
        <v>46</v>
      </c>
      <c r="M523" s="4">
        <v>44819</v>
      </c>
      <c r="N523" s="3" t="s">
        <v>52</v>
      </c>
      <c r="O523" s="3" t="s">
        <v>24</v>
      </c>
      <c r="P523" s="3" t="str">
        <f>IF(Table1[[#This Row],[Billing Amount]]&lt;5000,"Low",IF(Table1[[#This Row],[Billing Amount]]&lt;=15000,"Medium","High"))</f>
        <v>High</v>
      </c>
      <c r="Q523" s="3" t="str">
        <f>IF(Table1[[#This Row],[Discharge Date]]="Yes","Discharged","Under Treatment")</f>
        <v>Under Treatment</v>
      </c>
      <c r="R523" s="3" t="str">
        <f>IF(Table1[[#This Row],[Test Results]]&gt;120,"High Risk","Normal")</f>
        <v>High Risk</v>
      </c>
      <c r="S523" s="3" t="str">
        <f>IF(Table1[[#This Row],[Age]]&lt;=18,"0-18",IF(Table1[[#This Row],[Age]]&lt;=35,"19-35",IF(Table1[[#This Row],[Age]]&lt;=50,"36-50",IF(Table1[[#This Row],[Age]]&lt;=65,"51-65","65+"))))</f>
        <v>51-65</v>
      </c>
    </row>
    <row r="524" spans="1:19" x14ac:dyDescent="0.3">
      <c r="A524" s="3" t="s">
        <v>1611</v>
      </c>
      <c r="B524" s="3">
        <v>45</v>
      </c>
      <c r="C524" s="3" t="s">
        <v>35</v>
      </c>
      <c r="D524" s="3" t="s">
        <v>26</v>
      </c>
      <c r="E524" s="3" t="s">
        <v>93</v>
      </c>
      <c r="F524" s="4">
        <v>43685</v>
      </c>
      <c r="G524" s="3" t="s">
        <v>1612</v>
      </c>
      <c r="H524" s="3" t="s">
        <v>1613</v>
      </c>
      <c r="I524" s="3" t="s">
        <v>57</v>
      </c>
      <c r="J524" s="5">
        <v>2735.0315749023698</v>
      </c>
      <c r="K524" s="3">
        <v>497</v>
      </c>
      <c r="L524" s="3" t="s">
        <v>31</v>
      </c>
      <c r="M524" s="4">
        <v>43691</v>
      </c>
      <c r="N524" s="3" t="s">
        <v>52</v>
      </c>
      <c r="O524" s="3" t="s">
        <v>33</v>
      </c>
      <c r="P524" s="3" t="str">
        <f>IF(Table1[[#This Row],[Billing Amount]]&lt;5000,"Low",IF(Table1[[#This Row],[Billing Amount]]&lt;=15000,"Medium","High"))</f>
        <v>Low</v>
      </c>
      <c r="Q524" s="3" t="str">
        <f>IF(Table1[[#This Row],[Discharge Date]]="Yes","Discharged","Under Treatment")</f>
        <v>Under Treatment</v>
      </c>
      <c r="R524" s="3" t="str">
        <f>IF(Table1[[#This Row],[Test Results]]&gt;120,"High Risk","Normal")</f>
        <v>High Risk</v>
      </c>
      <c r="S524" s="3" t="str">
        <f>IF(Table1[[#This Row],[Age]]&lt;=18,"0-18",IF(Table1[[#This Row],[Age]]&lt;=35,"19-35",IF(Table1[[#This Row],[Age]]&lt;=50,"36-50",IF(Table1[[#This Row],[Age]]&lt;=65,"51-65","65+"))))</f>
        <v>36-50</v>
      </c>
    </row>
    <row r="525" spans="1:19" x14ac:dyDescent="0.3">
      <c r="A525" s="3" t="s">
        <v>1614</v>
      </c>
      <c r="B525" s="3">
        <v>30</v>
      </c>
      <c r="C525" s="3" t="s">
        <v>16</v>
      </c>
      <c r="D525" s="3" t="s">
        <v>36</v>
      </c>
      <c r="E525" s="3" t="s">
        <v>93</v>
      </c>
      <c r="F525" s="4">
        <v>44969</v>
      </c>
      <c r="G525" s="3" t="s">
        <v>1615</v>
      </c>
      <c r="H525" s="3" t="s">
        <v>1616</v>
      </c>
      <c r="I525" s="3" t="s">
        <v>30</v>
      </c>
      <c r="J525" s="5">
        <v>37755.480777675701</v>
      </c>
      <c r="K525" s="3">
        <v>128</v>
      </c>
      <c r="L525" s="3" t="s">
        <v>46</v>
      </c>
      <c r="M525" s="4">
        <v>44974</v>
      </c>
      <c r="N525" s="3" t="s">
        <v>23</v>
      </c>
      <c r="O525" s="3" t="s">
        <v>24</v>
      </c>
      <c r="P525" s="3" t="str">
        <f>IF(Table1[[#This Row],[Billing Amount]]&lt;5000,"Low",IF(Table1[[#This Row],[Billing Amount]]&lt;=15000,"Medium","High"))</f>
        <v>High</v>
      </c>
      <c r="Q525" s="3" t="str">
        <f>IF(Table1[[#This Row],[Discharge Date]]="Yes","Discharged","Under Treatment")</f>
        <v>Under Treatment</v>
      </c>
      <c r="R525" s="3" t="str">
        <f>IF(Table1[[#This Row],[Test Results]]&gt;120,"High Risk","Normal")</f>
        <v>High Risk</v>
      </c>
      <c r="S525" s="3" t="str">
        <f>IF(Table1[[#This Row],[Age]]&lt;=18,"0-18",IF(Table1[[#This Row],[Age]]&lt;=35,"19-35",IF(Table1[[#This Row],[Age]]&lt;=50,"36-50",IF(Table1[[#This Row],[Age]]&lt;=65,"51-65","65+"))))</f>
        <v>19-35</v>
      </c>
    </row>
    <row r="526" spans="1:19" x14ac:dyDescent="0.3">
      <c r="A526" s="3" t="s">
        <v>1617</v>
      </c>
      <c r="B526" s="3">
        <v>35</v>
      </c>
      <c r="C526" s="3" t="s">
        <v>16</v>
      </c>
      <c r="D526" s="3" t="s">
        <v>26</v>
      </c>
      <c r="E526" s="3" t="s">
        <v>76</v>
      </c>
      <c r="F526" s="4">
        <v>44320</v>
      </c>
      <c r="G526" s="3" t="s">
        <v>1618</v>
      </c>
      <c r="H526" s="3" t="s">
        <v>1619</v>
      </c>
      <c r="I526" s="3" t="s">
        <v>30</v>
      </c>
      <c r="J526" s="5">
        <v>2691.04906433409</v>
      </c>
      <c r="K526" s="3">
        <v>338</v>
      </c>
      <c r="L526" s="3" t="s">
        <v>46</v>
      </c>
      <c r="M526" s="4">
        <v>44326</v>
      </c>
      <c r="N526" s="3" t="s">
        <v>52</v>
      </c>
      <c r="O526" s="3" t="s">
        <v>33</v>
      </c>
      <c r="P526" s="3" t="str">
        <f>IF(Table1[[#This Row],[Billing Amount]]&lt;5000,"Low",IF(Table1[[#This Row],[Billing Amount]]&lt;=15000,"Medium","High"))</f>
        <v>Low</v>
      </c>
      <c r="Q526" s="3" t="str">
        <f>IF(Table1[[#This Row],[Discharge Date]]="Yes","Discharged","Under Treatment")</f>
        <v>Under Treatment</v>
      </c>
      <c r="R526" s="3" t="str">
        <f>IF(Table1[[#This Row],[Test Results]]&gt;120,"High Risk","Normal")</f>
        <v>High Risk</v>
      </c>
      <c r="S526" s="3" t="str">
        <f>IF(Table1[[#This Row],[Age]]&lt;=18,"0-18",IF(Table1[[#This Row],[Age]]&lt;=35,"19-35",IF(Table1[[#This Row],[Age]]&lt;=50,"36-50",IF(Table1[[#This Row],[Age]]&lt;=65,"51-65","65+"))))</f>
        <v>19-35</v>
      </c>
    </row>
    <row r="527" spans="1:19" x14ac:dyDescent="0.3">
      <c r="A527" s="3" t="s">
        <v>1620</v>
      </c>
      <c r="B527" s="3">
        <v>51</v>
      </c>
      <c r="C527" s="3" t="s">
        <v>35</v>
      </c>
      <c r="D527" s="3" t="s">
        <v>42</v>
      </c>
      <c r="E527" s="3" t="s">
        <v>27</v>
      </c>
      <c r="F527" s="4">
        <v>44388</v>
      </c>
      <c r="G527" s="3" t="s">
        <v>1621</v>
      </c>
      <c r="H527" s="3" t="s">
        <v>1622</v>
      </c>
      <c r="I527" s="3" t="s">
        <v>39</v>
      </c>
      <c r="J527" s="5">
        <v>7897.2874849056698</v>
      </c>
      <c r="K527" s="3">
        <v>335</v>
      </c>
      <c r="L527" s="3" t="s">
        <v>46</v>
      </c>
      <c r="M527" s="4">
        <v>44405</v>
      </c>
      <c r="N527" s="3" t="s">
        <v>79</v>
      </c>
      <c r="O527" s="3" t="s">
        <v>24</v>
      </c>
      <c r="P527" s="3" t="str">
        <f>IF(Table1[[#This Row],[Billing Amount]]&lt;5000,"Low",IF(Table1[[#This Row],[Billing Amount]]&lt;=15000,"Medium","High"))</f>
        <v>Medium</v>
      </c>
      <c r="Q527" s="3" t="str">
        <f>IF(Table1[[#This Row],[Discharge Date]]="Yes","Discharged","Under Treatment")</f>
        <v>Under Treatment</v>
      </c>
      <c r="R527" s="3" t="str">
        <f>IF(Table1[[#This Row],[Test Results]]&gt;120,"High Risk","Normal")</f>
        <v>High Risk</v>
      </c>
      <c r="S527" s="3" t="str">
        <f>IF(Table1[[#This Row],[Age]]&lt;=18,"0-18",IF(Table1[[#This Row],[Age]]&lt;=35,"19-35",IF(Table1[[#This Row],[Age]]&lt;=50,"36-50",IF(Table1[[#This Row],[Age]]&lt;=65,"51-65","65+"))))</f>
        <v>51-65</v>
      </c>
    </row>
    <row r="528" spans="1:19" x14ac:dyDescent="0.3">
      <c r="A528" s="3" t="s">
        <v>1623</v>
      </c>
      <c r="B528" s="3">
        <v>61</v>
      </c>
      <c r="C528" s="3" t="s">
        <v>16</v>
      </c>
      <c r="D528" s="3" t="s">
        <v>26</v>
      </c>
      <c r="E528" s="3" t="s">
        <v>43</v>
      </c>
      <c r="F528" s="4">
        <v>44237</v>
      </c>
      <c r="G528" s="3" t="s">
        <v>1624</v>
      </c>
      <c r="H528" s="3" t="s">
        <v>1625</v>
      </c>
      <c r="I528" s="3" t="s">
        <v>30</v>
      </c>
      <c r="J528" s="5">
        <v>4446.3429168297298</v>
      </c>
      <c r="K528" s="3">
        <v>345</v>
      </c>
      <c r="L528" s="3" t="s">
        <v>31</v>
      </c>
      <c r="M528" s="4">
        <v>44245</v>
      </c>
      <c r="N528" s="3" t="s">
        <v>79</v>
      </c>
      <c r="O528" s="3" t="s">
        <v>33</v>
      </c>
      <c r="P528" s="3" t="str">
        <f>IF(Table1[[#This Row],[Billing Amount]]&lt;5000,"Low",IF(Table1[[#This Row],[Billing Amount]]&lt;=15000,"Medium","High"))</f>
        <v>Low</v>
      </c>
      <c r="Q528" s="3" t="str">
        <f>IF(Table1[[#This Row],[Discharge Date]]="Yes","Discharged","Under Treatment")</f>
        <v>Under Treatment</v>
      </c>
      <c r="R528" s="3" t="str">
        <f>IF(Table1[[#This Row],[Test Results]]&gt;120,"High Risk","Normal")</f>
        <v>High Risk</v>
      </c>
      <c r="S528" s="3" t="str">
        <f>IF(Table1[[#This Row],[Age]]&lt;=18,"0-18",IF(Table1[[#This Row],[Age]]&lt;=35,"19-35",IF(Table1[[#This Row],[Age]]&lt;=50,"36-50",IF(Table1[[#This Row],[Age]]&lt;=65,"51-65","65+"))))</f>
        <v>51-65</v>
      </c>
    </row>
    <row r="529" spans="1:19" x14ac:dyDescent="0.3">
      <c r="A529" s="3" t="s">
        <v>1626</v>
      </c>
      <c r="B529" s="3">
        <v>52</v>
      </c>
      <c r="C529" s="3" t="s">
        <v>35</v>
      </c>
      <c r="D529" s="3" t="s">
        <v>49</v>
      </c>
      <c r="E529" s="3" t="s">
        <v>43</v>
      </c>
      <c r="F529" s="4">
        <v>44485</v>
      </c>
      <c r="G529" s="3" t="s">
        <v>1627</v>
      </c>
      <c r="H529" s="3" t="s">
        <v>1628</v>
      </c>
      <c r="I529" s="3" t="s">
        <v>21</v>
      </c>
      <c r="J529" s="5">
        <v>20852.1463661622</v>
      </c>
      <c r="K529" s="3">
        <v>380</v>
      </c>
      <c r="L529" s="3" t="s">
        <v>46</v>
      </c>
      <c r="M529" s="4">
        <v>44504</v>
      </c>
      <c r="N529" s="3" t="s">
        <v>52</v>
      </c>
      <c r="O529" s="3" t="s">
        <v>24</v>
      </c>
      <c r="P529" s="3" t="str">
        <f>IF(Table1[[#This Row],[Billing Amount]]&lt;5000,"Low",IF(Table1[[#This Row],[Billing Amount]]&lt;=15000,"Medium","High"))</f>
        <v>High</v>
      </c>
      <c r="Q529" s="3" t="str">
        <f>IF(Table1[[#This Row],[Discharge Date]]="Yes","Discharged","Under Treatment")</f>
        <v>Under Treatment</v>
      </c>
      <c r="R529" s="3" t="str">
        <f>IF(Table1[[#This Row],[Test Results]]&gt;120,"High Risk","Normal")</f>
        <v>High Risk</v>
      </c>
      <c r="S529" s="3" t="str">
        <f>IF(Table1[[#This Row],[Age]]&lt;=18,"0-18",IF(Table1[[#This Row],[Age]]&lt;=35,"19-35",IF(Table1[[#This Row],[Age]]&lt;=50,"36-50",IF(Table1[[#This Row],[Age]]&lt;=65,"51-65","65+"))))</f>
        <v>51-65</v>
      </c>
    </row>
    <row r="530" spans="1:19" x14ac:dyDescent="0.3">
      <c r="A530" s="3" t="s">
        <v>1629</v>
      </c>
      <c r="B530" s="3">
        <v>64</v>
      </c>
      <c r="C530" s="3" t="s">
        <v>35</v>
      </c>
      <c r="D530" s="3" t="s">
        <v>103</v>
      </c>
      <c r="E530" s="3" t="s">
        <v>43</v>
      </c>
      <c r="F530" s="4">
        <v>43741</v>
      </c>
      <c r="G530" s="3" t="s">
        <v>1630</v>
      </c>
      <c r="H530" s="3" t="s">
        <v>1631</v>
      </c>
      <c r="I530" s="3" t="s">
        <v>57</v>
      </c>
      <c r="J530" s="5">
        <v>47701.477432869098</v>
      </c>
      <c r="K530" s="3">
        <v>109</v>
      </c>
      <c r="L530" s="3" t="s">
        <v>22</v>
      </c>
      <c r="M530" s="4">
        <v>43763</v>
      </c>
      <c r="N530" s="3" t="s">
        <v>79</v>
      </c>
      <c r="O530" s="3" t="s">
        <v>33</v>
      </c>
      <c r="P530" s="3" t="str">
        <f>IF(Table1[[#This Row],[Billing Amount]]&lt;5000,"Low",IF(Table1[[#This Row],[Billing Amount]]&lt;=15000,"Medium","High"))</f>
        <v>High</v>
      </c>
      <c r="Q530" s="3" t="str">
        <f>IF(Table1[[#This Row],[Discharge Date]]="Yes","Discharged","Under Treatment")</f>
        <v>Under Treatment</v>
      </c>
      <c r="R530" s="3" t="str">
        <f>IF(Table1[[#This Row],[Test Results]]&gt;120,"High Risk","Normal")</f>
        <v>High Risk</v>
      </c>
      <c r="S530" s="3" t="str">
        <f>IF(Table1[[#This Row],[Age]]&lt;=18,"0-18",IF(Table1[[#This Row],[Age]]&lt;=35,"19-35",IF(Table1[[#This Row],[Age]]&lt;=50,"36-50",IF(Table1[[#This Row],[Age]]&lt;=65,"51-65","65+"))))</f>
        <v>51-65</v>
      </c>
    </row>
    <row r="531" spans="1:19" x14ac:dyDescent="0.3">
      <c r="A531" s="3" t="s">
        <v>1632</v>
      </c>
      <c r="B531" s="3">
        <v>25</v>
      </c>
      <c r="C531" s="3" t="s">
        <v>16</v>
      </c>
      <c r="D531" s="3" t="s">
        <v>26</v>
      </c>
      <c r="E531" s="3" t="s">
        <v>27</v>
      </c>
      <c r="F531" s="4">
        <v>43947</v>
      </c>
      <c r="G531" s="3" t="s">
        <v>1633</v>
      </c>
      <c r="H531" s="3" t="s">
        <v>1634</v>
      </c>
      <c r="I531" s="3" t="s">
        <v>39</v>
      </c>
      <c r="J531" s="5">
        <v>49934.1379634404</v>
      </c>
      <c r="K531" s="3">
        <v>258</v>
      </c>
      <c r="L531" s="3" t="s">
        <v>46</v>
      </c>
      <c r="M531" s="4">
        <v>43953</v>
      </c>
      <c r="N531" s="3" t="s">
        <v>40</v>
      </c>
      <c r="O531" s="3" t="s">
        <v>47</v>
      </c>
      <c r="P531" s="3" t="str">
        <f>IF(Table1[[#This Row],[Billing Amount]]&lt;5000,"Low",IF(Table1[[#This Row],[Billing Amount]]&lt;=15000,"Medium","High"))</f>
        <v>High</v>
      </c>
      <c r="Q531" s="3" t="str">
        <f>IF(Table1[[#This Row],[Discharge Date]]="Yes","Discharged","Under Treatment")</f>
        <v>Under Treatment</v>
      </c>
      <c r="R531" s="3" t="str">
        <f>IF(Table1[[#This Row],[Test Results]]&gt;120,"High Risk","Normal")</f>
        <v>High Risk</v>
      </c>
      <c r="S531" s="3" t="str">
        <f>IF(Table1[[#This Row],[Age]]&lt;=18,"0-18",IF(Table1[[#This Row],[Age]]&lt;=35,"19-35",IF(Table1[[#This Row],[Age]]&lt;=50,"36-50",IF(Table1[[#This Row],[Age]]&lt;=65,"51-65","65+"))))</f>
        <v>19-35</v>
      </c>
    </row>
    <row r="532" spans="1:19" x14ac:dyDescent="0.3">
      <c r="A532" s="3" t="s">
        <v>1635</v>
      </c>
      <c r="B532" s="3">
        <v>76</v>
      </c>
      <c r="C532" s="3" t="s">
        <v>35</v>
      </c>
      <c r="D532" s="3" t="s">
        <v>17</v>
      </c>
      <c r="E532" s="3" t="s">
        <v>27</v>
      </c>
      <c r="F532" s="4">
        <v>43721</v>
      </c>
      <c r="G532" s="3" t="s">
        <v>1636</v>
      </c>
      <c r="H532" s="3" t="s">
        <v>1637</v>
      </c>
      <c r="I532" s="3" t="s">
        <v>30</v>
      </c>
      <c r="J532" s="5">
        <v>17263.948978830798</v>
      </c>
      <c r="K532" s="3">
        <v>394</v>
      </c>
      <c r="L532" s="3" t="s">
        <v>31</v>
      </c>
      <c r="M532" s="4">
        <v>43727</v>
      </c>
      <c r="N532" s="3" t="s">
        <v>52</v>
      </c>
      <c r="O532" s="3" t="s">
        <v>47</v>
      </c>
      <c r="P532" s="3" t="str">
        <f>IF(Table1[[#This Row],[Billing Amount]]&lt;5000,"Low",IF(Table1[[#This Row],[Billing Amount]]&lt;=15000,"Medium","High"))</f>
        <v>High</v>
      </c>
      <c r="Q532" s="3" t="str">
        <f>IF(Table1[[#This Row],[Discharge Date]]="Yes","Discharged","Under Treatment")</f>
        <v>Under Treatment</v>
      </c>
      <c r="R532" s="3" t="str">
        <f>IF(Table1[[#This Row],[Test Results]]&gt;120,"High Risk","Normal")</f>
        <v>High Risk</v>
      </c>
      <c r="S532" s="3" t="str">
        <f>IF(Table1[[#This Row],[Age]]&lt;=18,"0-18",IF(Table1[[#This Row],[Age]]&lt;=35,"19-35",IF(Table1[[#This Row],[Age]]&lt;=50,"36-50",IF(Table1[[#This Row],[Age]]&lt;=65,"51-65","65+"))))</f>
        <v>65+</v>
      </c>
    </row>
    <row r="533" spans="1:19" x14ac:dyDescent="0.3">
      <c r="A533" s="3" t="s">
        <v>1638</v>
      </c>
      <c r="B533" s="3">
        <v>77</v>
      </c>
      <c r="C533" s="3" t="s">
        <v>16</v>
      </c>
      <c r="D533" s="3" t="s">
        <v>103</v>
      </c>
      <c r="E533" s="3" t="s">
        <v>27</v>
      </c>
      <c r="F533" s="4">
        <v>45213</v>
      </c>
      <c r="G533" s="3" t="s">
        <v>1639</v>
      </c>
      <c r="H533" s="3" t="s">
        <v>1640</v>
      </c>
      <c r="I533" s="3" t="s">
        <v>30</v>
      </c>
      <c r="J533" s="5">
        <v>10057.9155776424</v>
      </c>
      <c r="K533" s="3">
        <v>130</v>
      </c>
      <c r="L533" s="3" t="s">
        <v>46</v>
      </c>
      <c r="M533" s="4">
        <v>45234</v>
      </c>
      <c r="N533" s="3" t="s">
        <v>23</v>
      </c>
      <c r="O533" s="3" t="s">
        <v>47</v>
      </c>
      <c r="P533" s="3" t="str">
        <f>IF(Table1[[#This Row],[Billing Amount]]&lt;5000,"Low",IF(Table1[[#This Row],[Billing Amount]]&lt;=15000,"Medium","High"))</f>
        <v>Medium</v>
      </c>
      <c r="Q533" s="3" t="str">
        <f>IF(Table1[[#This Row],[Discharge Date]]="Yes","Discharged","Under Treatment")</f>
        <v>Under Treatment</v>
      </c>
      <c r="R533" s="3" t="str">
        <f>IF(Table1[[#This Row],[Test Results]]&gt;120,"High Risk","Normal")</f>
        <v>High Risk</v>
      </c>
      <c r="S533" s="3" t="str">
        <f>IF(Table1[[#This Row],[Age]]&lt;=18,"0-18",IF(Table1[[#This Row],[Age]]&lt;=35,"19-35",IF(Table1[[#This Row],[Age]]&lt;=50,"36-50",IF(Table1[[#This Row],[Age]]&lt;=65,"51-65","65+"))))</f>
        <v>65+</v>
      </c>
    </row>
    <row r="534" spans="1:19" x14ac:dyDescent="0.3">
      <c r="A534" s="3" t="s">
        <v>1641</v>
      </c>
      <c r="B534" s="3">
        <v>57</v>
      </c>
      <c r="C534" s="3" t="s">
        <v>35</v>
      </c>
      <c r="D534" s="3" t="s">
        <v>17</v>
      </c>
      <c r="E534" s="3" t="s">
        <v>18</v>
      </c>
      <c r="F534" s="4">
        <v>45265</v>
      </c>
      <c r="G534" s="3" t="s">
        <v>1642</v>
      </c>
      <c r="H534" s="3" t="s">
        <v>1643</v>
      </c>
      <c r="I534" s="3" t="s">
        <v>21</v>
      </c>
      <c r="J534" s="5">
        <v>3548.0516482337398</v>
      </c>
      <c r="K534" s="3">
        <v>431</v>
      </c>
      <c r="L534" s="3" t="s">
        <v>46</v>
      </c>
      <c r="M534" s="4">
        <v>45291</v>
      </c>
      <c r="N534" s="3" t="s">
        <v>79</v>
      </c>
      <c r="O534" s="3" t="s">
        <v>47</v>
      </c>
      <c r="P534" s="3" t="str">
        <f>IF(Table1[[#This Row],[Billing Amount]]&lt;5000,"Low",IF(Table1[[#This Row],[Billing Amount]]&lt;=15000,"Medium","High"))</f>
        <v>Low</v>
      </c>
      <c r="Q534" s="3" t="str">
        <f>IF(Table1[[#This Row],[Discharge Date]]="Yes","Discharged","Under Treatment")</f>
        <v>Under Treatment</v>
      </c>
      <c r="R534" s="3" t="str">
        <f>IF(Table1[[#This Row],[Test Results]]&gt;120,"High Risk","Normal")</f>
        <v>High Risk</v>
      </c>
      <c r="S534" s="3" t="str">
        <f>IF(Table1[[#This Row],[Age]]&lt;=18,"0-18",IF(Table1[[#This Row],[Age]]&lt;=35,"19-35",IF(Table1[[#This Row],[Age]]&lt;=50,"36-50",IF(Table1[[#This Row],[Age]]&lt;=65,"51-65","65+"))))</f>
        <v>51-65</v>
      </c>
    </row>
    <row r="535" spans="1:19" x14ac:dyDescent="0.3">
      <c r="A535" s="3" t="s">
        <v>1644</v>
      </c>
      <c r="B535" s="3">
        <v>54</v>
      </c>
      <c r="C535" s="3" t="s">
        <v>16</v>
      </c>
      <c r="D535" s="3" t="s">
        <v>103</v>
      </c>
      <c r="E535" s="3" t="s">
        <v>93</v>
      </c>
      <c r="F535" s="4">
        <v>44228</v>
      </c>
      <c r="G535" s="3" t="s">
        <v>1645</v>
      </c>
      <c r="H535" s="3" t="s">
        <v>1646</v>
      </c>
      <c r="I535" s="3" t="s">
        <v>57</v>
      </c>
      <c r="J535" s="5">
        <v>10011.290745005301</v>
      </c>
      <c r="K535" s="3">
        <v>145</v>
      </c>
      <c r="L535" s="3" t="s">
        <v>31</v>
      </c>
      <c r="M535" s="4">
        <v>44234</v>
      </c>
      <c r="N535" s="3" t="s">
        <v>79</v>
      </c>
      <c r="O535" s="3" t="s">
        <v>33</v>
      </c>
      <c r="P535" s="3" t="str">
        <f>IF(Table1[[#This Row],[Billing Amount]]&lt;5000,"Low",IF(Table1[[#This Row],[Billing Amount]]&lt;=15000,"Medium","High"))</f>
        <v>Medium</v>
      </c>
      <c r="Q535" s="3" t="str">
        <f>IF(Table1[[#This Row],[Discharge Date]]="Yes","Discharged","Under Treatment")</f>
        <v>Under Treatment</v>
      </c>
      <c r="R535" s="3" t="str">
        <f>IF(Table1[[#This Row],[Test Results]]&gt;120,"High Risk","Normal")</f>
        <v>High Risk</v>
      </c>
      <c r="S535" s="3" t="str">
        <f>IF(Table1[[#This Row],[Age]]&lt;=18,"0-18",IF(Table1[[#This Row],[Age]]&lt;=35,"19-35",IF(Table1[[#This Row],[Age]]&lt;=50,"36-50",IF(Table1[[#This Row],[Age]]&lt;=65,"51-65","65+"))))</f>
        <v>51-65</v>
      </c>
    </row>
    <row r="536" spans="1:19" x14ac:dyDescent="0.3">
      <c r="A536" s="3" t="s">
        <v>1647</v>
      </c>
      <c r="B536" s="3">
        <v>62</v>
      </c>
      <c r="C536" s="3" t="s">
        <v>16</v>
      </c>
      <c r="D536" s="3" t="s">
        <v>36</v>
      </c>
      <c r="E536" s="3" t="s">
        <v>18</v>
      </c>
      <c r="F536" s="4">
        <v>44742</v>
      </c>
      <c r="G536" s="3" t="s">
        <v>1648</v>
      </c>
      <c r="H536" s="3" t="s">
        <v>1649</v>
      </c>
      <c r="I536" s="3" t="s">
        <v>21</v>
      </c>
      <c r="J536" s="5">
        <v>14876.3342210964</v>
      </c>
      <c r="K536" s="3">
        <v>396</v>
      </c>
      <c r="L536" s="3" t="s">
        <v>22</v>
      </c>
      <c r="M536" s="4">
        <v>44743</v>
      </c>
      <c r="N536" s="3" t="s">
        <v>79</v>
      </c>
      <c r="O536" s="3" t="s">
        <v>33</v>
      </c>
      <c r="P536" s="3" t="str">
        <f>IF(Table1[[#This Row],[Billing Amount]]&lt;5000,"Low",IF(Table1[[#This Row],[Billing Amount]]&lt;=15000,"Medium","High"))</f>
        <v>Medium</v>
      </c>
      <c r="Q536" s="3" t="str">
        <f>IF(Table1[[#This Row],[Discharge Date]]="Yes","Discharged","Under Treatment")</f>
        <v>Under Treatment</v>
      </c>
      <c r="R536" s="3" t="str">
        <f>IF(Table1[[#This Row],[Test Results]]&gt;120,"High Risk","Normal")</f>
        <v>High Risk</v>
      </c>
      <c r="S536" s="3" t="str">
        <f>IF(Table1[[#This Row],[Age]]&lt;=18,"0-18",IF(Table1[[#This Row],[Age]]&lt;=35,"19-35",IF(Table1[[#This Row],[Age]]&lt;=50,"36-50",IF(Table1[[#This Row],[Age]]&lt;=65,"51-65","65+"))))</f>
        <v>51-65</v>
      </c>
    </row>
    <row r="537" spans="1:19" x14ac:dyDescent="0.3">
      <c r="A537" s="3" t="s">
        <v>1650</v>
      </c>
      <c r="B537" s="3">
        <v>37</v>
      </c>
      <c r="C537" s="3" t="s">
        <v>16</v>
      </c>
      <c r="D537" s="3" t="s">
        <v>17</v>
      </c>
      <c r="E537" s="3" t="s">
        <v>93</v>
      </c>
      <c r="F537" s="4">
        <v>45239</v>
      </c>
      <c r="G537" s="3" t="s">
        <v>1651</v>
      </c>
      <c r="H537" s="3" t="s">
        <v>1652</v>
      </c>
      <c r="I537" s="3" t="s">
        <v>30</v>
      </c>
      <c r="J537" s="5">
        <v>30294.651380458599</v>
      </c>
      <c r="K537" s="3">
        <v>216</v>
      </c>
      <c r="L537" s="3" t="s">
        <v>46</v>
      </c>
      <c r="M537" s="4">
        <v>45259</v>
      </c>
      <c r="N537" s="3" t="s">
        <v>52</v>
      </c>
      <c r="O537" s="3" t="s">
        <v>24</v>
      </c>
      <c r="P537" s="3" t="str">
        <f>IF(Table1[[#This Row],[Billing Amount]]&lt;5000,"Low",IF(Table1[[#This Row],[Billing Amount]]&lt;=15000,"Medium","High"))</f>
        <v>High</v>
      </c>
      <c r="Q537" s="3" t="str">
        <f>IF(Table1[[#This Row],[Discharge Date]]="Yes","Discharged","Under Treatment")</f>
        <v>Under Treatment</v>
      </c>
      <c r="R537" s="3" t="str">
        <f>IF(Table1[[#This Row],[Test Results]]&gt;120,"High Risk","Normal")</f>
        <v>High Risk</v>
      </c>
      <c r="S537" s="3" t="str">
        <f>IF(Table1[[#This Row],[Age]]&lt;=18,"0-18",IF(Table1[[#This Row],[Age]]&lt;=35,"19-35",IF(Table1[[#This Row],[Age]]&lt;=50,"36-50",IF(Table1[[#This Row],[Age]]&lt;=65,"51-65","65+"))))</f>
        <v>36-50</v>
      </c>
    </row>
    <row r="538" spans="1:19" x14ac:dyDescent="0.3">
      <c r="A538" s="3" t="s">
        <v>1653</v>
      </c>
      <c r="B538" s="3">
        <v>56</v>
      </c>
      <c r="C538" s="3" t="s">
        <v>35</v>
      </c>
      <c r="D538" s="3" t="s">
        <v>103</v>
      </c>
      <c r="E538" s="3" t="s">
        <v>76</v>
      </c>
      <c r="F538" s="4">
        <v>44042</v>
      </c>
      <c r="G538" s="3" t="s">
        <v>1654</v>
      </c>
      <c r="H538" s="3" t="s">
        <v>1655</v>
      </c>
      <c r="I538" s="3" t="s">
        <v>21</v>
      </c>
      <c r="J538" s="5">
        <v>45888.7048579736</v>
      </c>
      <c r="K538" s="3">
        <v>365</v>
      </c>
      <c r="L538" s="3" t="s">
        <v>46</v>
      </c>
      <c r="M538" s="4">
        <v>44053</v>
      </c>
      <c r="N538" s="3" t="s">
        <v>23</v>
      </c>
      <c r="O538" s="3" t="s">
        <v>47</v>
      </c>
      <c r="P538" s="3" t="str">
        <f>IF(Table1[[#This Row],[Billing Amount]]&lt;5000,"Low",IF(Table1[[#This Row],[Billing Amount]]&lt;=15000,"Medium","High"))</f>
        <v>High</v>
      </c>
      <c r="Q538" s="3" t="str">
        <f>IF(Table1[[#This Row],[Discharge Date]]="Yes","Discharged","Under Treatment")</f>
        <v>Under Treatment</v>
      </c>
      <c r="R538" s="3" t="str">
        <f>IF(Table1[[#This Row],[Test Results]]&gt;120,"High Risk","Normal")</f>
        <v>High Risk</v>
      </c>
      <c r="S538" s="3" t="str">
        <f>IF(Table1[[#This Row],[Age]]&lt;=18,"0-18",IF(Table1[[#This Row],[Age]]&lt;=35,"19-35",IF(Table1[[#This Row],[Age]]&lt;=50,"36-50",IF(Table1[[#This Row],[Age]]&lt;=65,"51-65","65+"))))</f>
        <v>51-65</v>
      </c>
    </row>
    <row r="539" spans="1:19" x14ac:dyDescent="0.3">
      <c r="A539" s="3" t="s">
        <v>1656</v>
      </c>
      <c r="B539" s="3">
        <v>68</v>
      </c>
      <c r="C539" s="3" t="s">
        <v>35</v>
      </c>
      <c r="D539" s="3" t="s">
        <v>42</v>
      </c>
      <c r="E539" s="3" t="s">
        <v>93</v>
      </c>
      <c r="F539" s="4">
        <v>44661</v>
      </c>
      <c r="G539" s="3" t="s">
        <v>1657</v>
      </c>
      <c r="H539" s="3" t="s">
        <v>1658</v>
      </c>
      <c r="I539" s="3" t="s">
        <v>57</v>
      </c>
      <c r="J539" s="5">
        <v>31958.396616156999</v>
      </c>
      <c r="K539" s="3">
        <v>203</v>
      </c>
      <c r="L539" s="3" t="s">
        <v>46</v>
      </c>
      <c r="M539" s="4">
        <v>44670</v>
      </c>
      <c r="N539" s="3" t="s">
        <v>79</v>
      </c>
      <c r="O539" s="3" t="s">
        <v>24</v>
      </c>
      <c r="P539" s="3" t="str">
        <f>IF(Table1[[#This Row],[Billing Amount]]&lt;5000,"Low",IF(Table1[[#This Row],[Billing Amount]]&lt;=15000,"Medium","High"))</f>
        <v>High</v>
      </c>
      <c r="Q539" s="3" t="str">
        <f>IF(Table1[[#This Row],[Discharge Date]]="Yes","Discharged","Under Treatment")</f>
        <v>Under Treatment</v>
      </c>
      <c r="R539" s="3" t="str">
        <f>IF(Table1[[#This Row],[Test Results]]&gt;120,"High Risk","Normal")</f>
        <v>High Risk</v>
      </c>
      <c r="S539" s="3" t="str">
        <f>IF(Table1[[#This Row],[Age]]&lt;=18,"0-18",IF(Table1[[#This Row],[Age]]&lt;=35,"19-35",IF(Table1[[#This Row],[Age]]&lt;=50,"36-50",IF(Table1[[#This Row],[Age]]&lt;=65,"51-65","65+"))))</f>
        <v>65+</v>
      </c>
    </row>
    <row r="540" spans="1:19" x14ac:dyDescent="0.3">
      <c r="A540" s="3" t="s">
        <v>1659</v>
      </c>
      <c r="B540" s="3">
        <v>46</v>
      </c>
      <c r="C540" s="3" t="s">
        <v>16</v>
      </c>
      <c r="D540" s="3" t="s">
        <v>36</v>
      </c>
      <c r="E540" s="3" t="s">
        <v>27</v>
      </c>
      <c r="F540" s="4">
        <v>43832</v>
      </c>
      <c r="G540" s="3" t="s">
        <v>1660</v>
      </c>
      <c r="H540" s="3" t="s">
        <v>1661</v>
      </c>
      <c r="I540" s="3" t="s">
        <v>30</v>
      </c>
      <c r="J540" s="5">
        <v>22645.786100995902</v>
      </c>
      <c r="K540" s="3">
        <v>169</v>
      </c>
      <c r="L540" s="3" t="s">
        <v>22</v>
      </c>
      <c r="M540" s="4">
        <v>43846</v>
      </c>
      <c r="N540" s="3" t="s">
        <v>23</v>
      </c>
      <c r="O540" s="3" t="s">
        <v>24</v>
      </c>
      <c r="P540" s="3" t="str">
        <f>IF(Table1[[#This Row],[Billing Amount]]&lt;5000,"Low",IF(Table1[[#This Row],[Billing Amount]]&lt;=15000,"Medium","High"))</f>
        <v>High</v>
      </c>
      <c r="Q540" s="3" t="str">
        <f>IF(Table1[[#This Row],[Discharge Date]]="Yes","Discharged","Under Treatment")</f>
        <v>Under Treatment</v>
      </c>
      <c r="R540" s="3" t="str">
        <f>IF(Table1[[#This Row],[Test Results]]&gt;120,"High Risk","Normal")</f>
        <v>High Risk</v>
      </c>
      <c r="S540" s="3" t="str">
        <f>IF(Table1[[#This Row],[Age]]&lt;=18,"0-18",IF(Table1[[#This Row],[Age]]&lt;=35,"19-35",IF(Table1[[#This Row],[Age]]&lt;=50,"36-50",IF(Table1[[#This Row],[Age]]&lt;=65,"51-65","65+"))))</f>
        <v>36-50</v>
      </c>
    </row>
    <row r="541" spans="1:19" x14ac:dyDescent="0.3">
      <c r="A541" s="3" t="s">
        <v>1662</v>
      </c>
      <c r="B541" s="3">
        <v>62</v>
      </c>
      <c r="C541" s="3" t="s">
        <v>16</v>
      </c>
      <c r="D541" s="3" t="s">
        <v>17</v>
      </c>
      <c r="E541" s="3" t="s">
        <v>76</v>
      </c>
      <c r="F541" s="4">
        <v>45240</v>
      </c>
      <c r="G541" s="3" t="s">
        <v>1663</v>
      </c>
      <c r="H541" s="3" t="s">
        <v>1664</v>
      </c>
      <c r="I541" s="3" t="s">
        <v>30</v>
      </c>
      <c r="J541" s="5">
        <v>21297.406511963502</v>
      </c>
      <c r="K541" s="3">
        <v>362</v>
      </c>
      <c r="L541" s="3" t="s">
        <v>31</v>
      </c>
      <c r="M541" s="4">
        <v>45261</v>
      </c>
      <c r="N541" s="3" t="s">
        <v>23</v>
      </c>
      <c r="O541" s="3" t="s">
        <v>47</v>
      </c>
      <c r="P541" s="3" t="str">
        <f>IF(Table1[[#This Row],[Billing Amount]]&lt;5000,"Low",IF(Table1[[#This Row],[Billing Amount]]&lt;=15000,"Medium","High"))</f>
        <v>High</v>
      </c>
      <c r="Q541" s="3" t="str">
        <f>IF(Table1[[#This Row],[Discharge Date]]="Yes","Discharged","Under Treatment")</f>
        <v>Under Treatment</v>
      </c>
      <c r="R541" s="3" t="str">
        <f>IF(Table1[[#This Row],[Test Results]]&gt;120,"High Risk","Normal")</f>
        <v>High Risk</v>
      </c>
      <c r="S541" s="3" t="str">
        <f>IF(Table1[[#This Row],[Age]]&lt;=18,"0-18",IF(Table1[[#This Row],[Age]]&lt;=35,"19-35",IF(Table1[[#This Row],[Age]]&lt;=50,"36-50",IF(Table1[[#This Row],[Age]]&lt;=65,"51-65","65+"))))</f>
        <v>51-65</v>
      </c>
    </row>
    <row r="542" spans="1:19" x14ac:dyDescent="0.3">
      <c r="A542" s="3" t="s">
        <v>1665</v>
      </c>
      <c r="B542" s="3">
        <v>75</v>
      </c>
      <c r="C542" s="3" t="s">
        <v>16</v>
      </c>
      <c r="D542" s="3" t="s">
        <v>17</v>
      </c>
      <c r="E542" s="3" t="s">
        <v>76</v>
      </c>
      <c r="F542" s="4">
        <v>44758</v>
      </c>
      <c r="G542" s="3" t="s">
        <v>1666</v>
      </c>
      <c r="H542" s="3" t="s">
        <v>1667</v>
      </c>
      <c r="I542" s="3" t="s">
        <v>65</v>
      </c>
      <c r="J542" s="5">
        <v>6336.7080137760604</v>
      </c>
      <c r="K542" s="3">
        <v>428</v>
      </c>
      <c r="L542" s="3" t="s">
        <v>31</v>
      </c>
      <c r="M542" s="4">
        <v>44786</v>
      </c>
      <c r="N542" s="3" t="s">
        <v>32</v>
      </c>
      <c r="O542" s="3" t="s">
        <v>24</v>
      </c>
      <c r="P542" s="3" t="str">
        <f>IF(Table1[[#This Row],[Billing Amount]]&lt;5000,"Low",IF(Table1[[#This Row],[Billing Amount]]&lt;=15000,"Medium","High"))</f>
        <v>Medium</v>
      </c>
      <c r="Q542" s="3" t="str">
        <f>IF(Table1[[#This Row],[Discharge Date]]="Yes","Discharged","Under Treatment")</f>
        <v>Under Treatment</v>
      </c>
      <c r="R542" s="3" t="str">
        <f>IF(Table1[[#This Row],[Test Results]]&gt;120,"High Risk","Normal")</f>
        <v>High Risk</v>
      </c>
      <c r="S542" s="3" t="str">
        <f>IF(Table1[[#This Row],[Age]]&lt;=18,"0-18",IF(Table1[[#This Row],[Age]]&lt;=35,"19-35",IF(Table1[[#This Row],[Age]]&lt;=50,"36-50",IF(Table1[[#This Row],[Age]]&lt;=65,"51-65","65+"))))</f>
        <v>65+</v>
      </c>
    </row>
    <row r="543" spans="1:19" x14ac:dyDescent="0.3">
      <c r="A543" s="3" t="s">
        <v>1668</v>
      </c>
      <c r="B543" s="3">
        <v>51</v>
      </c>
      <c r="C543" s="3" t="s">
        <v>35</v>
      </c>
      <c r="D543" s="3" t="s">
        <v>49</v>
      </c>
      <c r="E543" s="3" t="s">
        <v>93</v>
      </c>
      <c r="F543" s="4">
        <v>43951</v>
      </c>
      <c r="G543" s="3" t="s">
        <v>1669</v>
      </c>
      <c r="H543" s="3" t="s">
        <v>1670</v>
      </c>
      <c r="I543" s="3" t="s">
        <v>57</v>
      </c>
      <c r="J543" s="5">
        <v>10710.3257208337</v>
      </c>
      <c r="K543" s="3">
        <v>461</v>
      </c>
      <c r="L543" s="3" t="s">
        <v>22</v>
      </c>
      <c r="M543" s="4">
        <v>43973</v>
      </c>
      <c r="N543" s="3" t="s">
        <v>52</v>
      </c>
      <c r="O543" s="3" t="s">
        <v>47</v>
      </c>
      <c r="P543" s="3" t="str">
        <f>IF(Table1[[#This Row],[Billing Amount]]&lt;5000,"Low",IF(Table1[[#This Row],[Billing Amount]]&lt;=15000,"Medium","High"))</f>
        <v>Medium</v>
      </c>
      <c r="Q543" s="3" t="str">
        <f>IF(Table1[[#This Row],[Discharge Date]]="Yes","Discharged","Under Treatment")</f>
        <v>Under Treatment</v>
      </c>
      <c r="R543" s="3" t="str">
        <f>IF(Table1[[#This Row],[Test Results]]&gt;120,"High Risk","Normal")</f>
        <v>High Risk</v>
      </c>
      <c r="S543" s="3" t="str">
        <f>IF(Table1[[#This Row],[Age]]&lt;=18,"0-18",IF(Table1[[#This Row],[Age]]&lt;=35,"19-35",IF(Table1[[#This Row],[Age]]&lt;=50,"36-50",IF(Table1[[#This Row],[Age]]&lt;=65,"51-65","65+"))))</f>
        <v>51-65</v>
      </c>
    </row>
    <row r="544" spans="1:19" x14ac:dyDescent="0.3">
      <c r="A544" s="3" t="s">
        <v>1671</v>
      </c>
      <c r="B544" s="3">
        <v>64</v>
      </c>
      <c r="C544" s="3" t="s">
        <v>16</v>
      </c>
      <c r="D544" s="3" t="s">
        <v>49</v>
      </c>
      <c r="E544" s="3" t="s">
        <v>54</v>
      </c>
      <c r="F544" s="4">
        <v>44208</v>
      </c>
      <c r="G544" s="3" t="s">
        <v>1672</v>
      </c>
      <c r="H544" s="3" t="s">
        <v>1673</v>
      </c>
      <c r="I544" s="3" t="s">
        <v>21</v>
      </c>
      <c r="J544" s="5">
        <v>25066.521450249398</v>
      </c>
      <c r="K544" s="3">
        <v>454</v>
      </c>
      <c r="L544" s="3" t="s">
        <v>22</v>
      </c>
      <c r="M544" s="4">
        <v>44221</v>
      </c>
      <c r="N544" s="3" t="s">
        <v>32</v>
      </c>
      <c r="O544" s="3" t="s">
        <v>47</v>
      </c>
      <c r="P544" s="3" t="str">
        <f>IF(Table1[[#This Row],[Billing Amount]]&lt;5000,"Low",IF(Table1[[#This Row],[Billing Amount]]&lt;=15000,"Medium","High"))</f>
        <v>High</v>
      </c>
      <c r="Q544" s="3" t="str">
        <f>IF(Table1[[#This Row],[Discharge Date]]="Yes","Discharged","Under Treatment")</f>
        <v>Under Treatment</v>
      </c>
      <c r="R544" s="3" t="str">
        <f>IF(Table1[[#This Row],[Test Results]]&gt;120,"High Risk","Normal")</f>
        <v>High Risk</v>
      </c>
      <c r="S544" s="3" t="str">
        <f>IF(Table1[[#This Row],[Age]]&lt;=18,"0-18",IF(Table1[[#This Row],[Age]]&lt;=35,"19-35",IF(Table1[[#This Row],[Age]]&lt;=50,"36-50",IF(Table1[[#This Row],[Age]]&lt;=65,"51-65","65+"))))</f>
        <v>51-65</v>
      </c>
    </row>
    <row r="545" spans="1:19" x14ac:dyDescent="0.3">
      <c r="A545" s="3" t="s">
        <v>1674</v>
      </c>
      <c r="B545" s="3">
        <v>49</v>
      </c>
      <c r="C545" s="3" t="s">
        <v>35</v>
      </c>
      <c r="D545" s="3" t="s">
        <v>122</v>
      </c>
      <c r="E545" s="3" t="s">
        <v>93</v>
      </c>
      <c r="F545" s="4">
        <v>43608</v>
      </c>
      <c r="G545" s="3" t="s">
        <v>1675</v>
      </c>
      <c r="H545" s="3" t="s">
        <v>1676</v>
      </c>
      <c r="I545" s="3" t="s">
        <v>65</v>
      </c>
      <c r="J545" s="5">
        <v>13396.900169397801</v>
      </c>
      <c r="K545" s="3">
        <v>273</v>
      </c>
      <c r="L545" s="3" t="s">
        <v>31</v>
      </c>
      <c r="M545" s="4">
        <v>43618</v>
      </c>
      <c r="N545" s="3" t="s">
        <v>23</v>
      </c>
      <c r="O545" s="3" t="s">
        <v>24</v>
      </c>
      <c r="P545" s="3" t="str">
        <f>IF(Table1[[#This Row],[Billing Amount]]&lt;5000,"Low",IF(Table1[[#This Row],[Billing Amount]]&lt;=15000,"Medium","High"))</f>
        <v>Medium</v>
      </c>
      <c r="Q545" s="3" t="str">
        <f>IF(Table1[[#This Row],[Discharge Date]]="Yes","Discharged","Under Treatment")</f>
        <v>Under Treatment</v>
      </c>
      <c r="R545" s="3" t="str">
        <f>IF(Table1[[#This Row],[Test Results]]&gt;120,"High Risk","Normal")</f>
        <v>High Risk</v>
      </c>
      <c r="S545" s="3" t="str">
        <f>IF(Table1[[#This Row],[Age]]&lt;=18,"0-18",IF(Table1[[#This Row],[Age]]&lt;=35,"19-35",IF(Table1[[#This Row],[Age]]&lt;=50,"36-50",IF(Table1[[#This Row],[Age]]&lt;=65,"51-65","65+"))))</f>
        <v>36-50</v>
      </c>
    </row>
    <row r="546" spans="1:19" x14ac:dyDescent="0.3">
      <c r="A546" s="3" t="s">
        <v>1677</v>
      </c>
      <c r="B546" s="3">
        <v>74</v>
      </c>
      <c r="C546" s="3" t="s">
        <v>16</v>
      </c>
      <c r="D546" s="3" t="s">
        <v>26</v>
      </c>
      <c r="E546" s="3" t="s">
        <v>27</v>
      </c>
      <c r="F546" s="4">
        <v>45039</v>
      </c>
      <c r="G546" s="3" t="s">
        <v>1678</v>
      </c>
      <c r="H546" s="3" t="s">
        <v>1679</v>
      </c>
      <c r="I546" s="3" t="s">
        <v>21</v>
      </c>
      <c r="J546" s="5">
        <v>29822.097860118</v>
      </c>
      <c r="K546" s="3">
        <v>231</v>
      </c>
      <c r="L546" s="3" t="s">
        <v>31</v>
      </c>
      <c r="M546" s="4">
        <v>45055</v>
      </c>
      <c r="N546" s="3" t="s">
        <v>79</v>
      </c>
      <c r="O546" s="3" t="s">
        <v>24</v>
      </c>
      <c r="P546" s="3" t="str">
        <f>IF(Table1[[#This Row],[Billing Amount]]&lt;5000,"Low",IF(Table1[[#This Row],[Billing Amount]]&lt;=15000,"Medium","High"))</f>
        <v>High</v>
      </c>
      <c r="Q546" s="3" t="str">
        <f>IF(Table1[[#This Row],[Discharge Date]]="Yes","Discharged","Under Treatment")</f>
        <v>Under Treatment</v>
      </c>
      <c r="R546" s="3" t="str">
        <f>IF(Table1[[#This Row],[Test Results]]&gt;120,"High Risk","Normal")</f>
        <v>High Risk</v>
      </c>
      <c r="S546" s="3" t="str">
        <f>IF(Table1[[#This Row],[Age]]&lt;=18,"0-18",IF(Table1[[#This Row],[Age]]&lt;=35,"19-35",IF(Table1[[#This Row],[Age]]&lt;=50,"36-50",IF(Table1[[#This Row],[Age]]&lt;=65,"51-65","65+"))))</f>
        <v>65+</v>
      </c>
    </row>
    <row r="547" spans="1:19" x14ac:dyDescent="0.3">
      <c r="A547" s="3" t="s">
        <v>1681</v>
      </c>
      <c r="B547" s="3">
        <v>52</v>
      </c>
      <c r="C547" s="3" t="s">
        <v>35</v>
      </c>
      <c r="D547" s="3" t="s">
        <v>36</v>
      </c>
      <c r="E547" s="3" t="s">
        <v>93</v>
      </c>
      <c r="F547" s="4">
        <v>44129</v>
      </c>
      <c r="G547" s="3" t="s">
        <v>1682</v>
      </c>
      <c r="H547" s="3" t="s">
        <v>1683</v>
      </c>
      <c r="I547" s="3" t="s">
        <v>39</v>
      </c>
      <c r="J547" s="5">
        <v>33708.8575442648</v>
      </c>
      <c r="K547" s="3">
        <v>191</v>
      </c>
      <c r="L547" s="3" t="s">
        <v>46</v>
      </c>
      <c r="M547" s="4">
        <v>44139</v>
      </c>
      <c r="N547" s="3" t="s">
        <v>79</v>
      </c>
      <c r="O547" s="3" t="s">
        <v>47</v>
      </c>
      <c r="P547" s="3" t="str">
        <f>IF(Table1[[#This Row],[Billing Amount]]&lt;5000,"Low",IF(Table1[[#This Row],[Billing Amount]]&lt;=15000,"Medium","High"))</f>
        <v>High</v>
      </c>
      <c r="Q547" s="3" t="str">
        <f>IF(Table1[[#This Row],[Discharge Date]]="Yes","Discharged","Under Treatment")</f>
        <v>Under Treatment</v>
      </c>
      <c r="R547" s="3" t="str">
        <f>IF(Table1[[#This Row],[Test Results]]&gt;120,"High Risk","Normal")</f>
        <v>High Risk</v>
      </c>
      <c r="S547" s="3" t="str">
        <f>IF(Table1[[#This Row],[Age]]&lt;=18,"0-18",IF(Table1[[#This Row],[Age]]&lt;=35,"19-35",IF(Table1[[#This Row],[Age]]&lt;=50,"36-50",IF(Table1[[#This Row],[Age]]&lt;=65,"51-65","65+"))))</f>
        <v>51-65</v>
      </c>
    </row>
    <row r="548" spans="1:19" x14ac:dyDescent="0.3">
      <c r="A548" s="3" t="s">
        <v>1684</v>
      </c>
      <c r="B548" s="3">
        <v>58</v>
      </c>
      <c r="C548" s="3" t="s">
        <v>35</v>
      </c>
      <c r="D548" s="3" t="s">
        <v>17</v>
      </c>
      <c r="E548" s="3" t="s">
        <v>27</v>
      </c>
      <c r="F548" s="4">
        <v>44294</v>
      </c>
      <c r="G548" s="3" t="s">
        <v>1685</v>
      </c>
      <c r="H548" s="3" t="s">
        <v>1686</v>
      </c>
      <c r="I548" s="3" t="s">
        <v>65</v>
      </c>
      <c r="J548" s="5">
        <v>40825.0846667644</v>
      </c>
      <c r="K548" s="3">
        <v>231</v>
      </c>
      <c r="L548" s="3" t="s">
        <v>46</v>
      </c>
      <c r="M548" s="4">
        <v>44317</v>
      </c>
      <c r="N548" s="3" t="s">
        <v>32</v>
      </c>
      <c r="O548" s="3" t="s">
        <v>24</v>
      </c>
      <c r="P548" s="3" t="str">
        <f>IF(Table1[[#This Row],[Billing Amount]]&lt;5000,"Low",IF(Table1[[#This Row],[Billing Amount]]&lt;=15000,"Medium","High"))</f>
        <v>High</v>
      </c>
      <c r="Q548" s="3" t="str">
        <f>IF(Table1[[#This Row],[Discharge Date]]="Yes","Discharged","Under Treatment")</f>
        <v>Under Treatment</v>
      </c>
      <c r="R548" s="3" t="str">
        <f>IF(Table1[[#This Row],[Test Results]]&gt;120,"High Risk","Normal")</f>
        <v>High Risk</v>
      </c>
      <c r="S548" s="3" t="str">
        <f>IF(Table1[[#This Row],[Age]]&lt;=18,"0-18",IF(Table1[[#This Row],[Age]]&lt;=35,"19-35",IF(Table1[[#This Row],[Age]]&lt;=50,"36-50",IF(Table1[[#This Row],[Age]]&lt;=65,"51-65","65+"))))</f>
        <v>51-65</v>
      </c>
    </row>
    <row r="549" spans="1:19" x14ac:dyDescent="0.3">
      <c r="A549" s="3" t="s">
        <v>1687</v>
      </c>
      <c r="B549" s="3">
        <v>21</v>
      </c>
      <c r="C549" s="3" t="s">
        <v>16</v>
      </c>
      <c r="D549" s="3" t="s">
        <v>17</v>
      </c>
      <c r="E549" s="3" t="s">
        <v>93</v>
      </c>
      <c r="F549" s="4">
        <v>44083</v>
      </c>
      <c r="G549" s="3" t="s">
        <v>1688</v>
      </c>
      <c r="H549" s="3" t="s">
        <v>1689</v>
      </c>
      <c r="I549" s="3" t="s">
        <v>39</v>
      </c>
      <c r="J549" s="5">
        <v>27345.455201931902</v>
      </c>
      <c r="K549" s="3">
        <v>371</v>
      </c>
      <c r="L549" s="3" t="s">
        <v>31</v>
      </c>
      <c r="M549" s="4">
        <v>44108</v>
      </c>
      <c r="N549" s="3" t="s">
        <v>40</v>
      </c>
      <c r="O549" s="3" t="s">
        <v>33</v>
      </c>
      <c r="P549" s="3" t="str">
        <f>IF(Table1[[#This Row],[Billing Amount]]&lt;5000,"Low",IF(Table1[[#This Row],[Billing Amount]]&lt;=15000,"Medium","High"))</f>
        <v>High</v>
      </c>
      <c r="Q549" s="3" t="str">
        <f>IF(Table1[[#This Row],[Discharge Date]]="Yes","Discharged","Under Treatment")</f>
        <v>Under Treatment</v>
      </c>
      <c r="R549" s="3" t="str">
        <f>IF(Table1[[#This Row],[Test Results]]&gt;120,"High Risk","Normal")</f>
        <v>High Risk</v>
      </c>
      <c r="S549" s="3" t="str">
        <f>IF(Table1[[#This Row],[Age]]&lt;=18,"0-18",IF(Table1[[#This Row],[Age]]&lt;=35,"19-35",IF(Table1[[#This Row],[Age]]&lt;=50,"36-50",IF(Table1[[#This Row],[Age]]&lt;=65,"51-65","65+"))))</f>
        <v>19-35</v>
      </c>
    </row>
    <row r="550" spans="1:19" x14ac:dyDescent="0.3">
      <c r="A550" s="3" t="s">
        <v>1690</v>
      </c>
      <c r="B550" s="3">
        <v>69</v>
      </c>
      <c r="C550" s="3" t="s">
        <v>16</v>
      </c>
      <c r="D550" s="3" t="s">
        <v>49</v>
      </c>
      <c r="E550" s="3" t="s">
        <v>93</v>
      </c>
      <c r="F550" s="4">
        <v>43805</v>
      </c>
      <c r="G550" s="3" t="s">
        <v>1691</v>
      </c>
      <c r="H550" s="3" t="s">
        <v>1692</v>
      </c>
      <c r="I550" s="3" t="s">
        <v>39</v>
      </c>
      <c r="J550" s="5">
        <v>38751.796520547301</v>
      </c>
      <c r="K550" s="3">
        <v>439</v>
      </c>
      <c r="L550" s="3" t="s">
        <v>31</v>
      </c>
      <c r="M550" s="4">
        <v>43807</v>
      </c>
      <c r="N550" s="3" t="s">
        <v>32</v>
      </c>
      <c r="O550" s="3" t="s">
        <v>33</v>
      </c>
      <c r="P550" s="3" t="str">
        <f>IF(Table1[[#This Row],[Billing Amount]]&lt;5000,"Low",IF(Table1[[#This Row],[Billing Amount]]&lt;=15000,"Medium","High"))</f>
        <v>High</v>
      </c>
      <c r="Q550" s="3" t="str">
        <f>IF(Table1[[#This Row],[Discharge Date]]="Yes","Discharged","Under Treatment")</f>
        <v>Under Treatment</v>
      </c>
      <c r="R550" s="3" t="str">
        <f>IF(Table1[[#This Row],[Test Results]]&gt;120,"High Risk","Normal")</f>
        <v>High Risk</v>
      </c>
      <c r="S550" s="3" t="str">
        <f>IF(Table1[[#This Row],[Age]]&lt;=18,"0-18",IF(Table1[[#This Row],[Age]]&lt;=35,"19-35",IF(Table1[[#This Row],[Age]]&lt;=50,"36-50",IF(Table1[[#This Row],[Age]]&lt;=65,"51-65","65+"))))</f>
        <v>65+</v>
      </c>
    </row>
    <row r="551" spans="1:19" x14ac:dyDescent="0.3">
      <c r="A551" s="3" t="s">
        <v>1693</v>
      </c>
      <c r="B551" s="3">
        <v>73</v>
      </c>
      <c r="C551" s="3" t="s">
        <v>16</v>
      </c>
      <c r="D551" s="3" t="s">
        <v>122</v>
      </c>
      <c r="E551" s="3" t="s">
        <v>93</v>
      </c>
      <c r="F551" s="4">
        <v>43650</v>
      </c>
      <c r="G551" s="3" t="s">
        <v>1694</v>
      </c>
      <c r="H551" s="3" t="s">
        <v>1695</v>
      </c>
      <c r="I551" s="3" t="s">
        <v>57</v>
      </c>
      <c r="J551" s="5">
        <v>35419.512965816197</v>
      </c>
      <c r="K551" s="3">
        <v>500</v>
      </c>
      <c r="L551" s="3" t="s">
        <v>46</v>
      </c>
      <c r="M551" s="4">
        <v>43652</v>
      </c>
      <c r="N551" s="3" t="s">
        <v>52</v>
      </c>
      <c r="O551" s="3" t="s">
        <v>47</v>
      </c>
      <c r="P551" s="3" t="str">
        <f>IF(Table1[[#This Row],[Billing Amount]]&lt;5000,"Low",IF(Table1[[#This Row],[Billing Amount]]&lt;=15000,"Medium","High"))</f>
        <v>High</v>
      </c>
      <c r="Q551" s="3" t="str">
        <f>IF(Table1[[#This Row],[Discharge Date]]="Yes","Discharged","Under Treatment")</f>
        <v>Under Treatment</v>
      </c>
      <c r="R551" s="3" t="str">
        <f>IF(Table1[[#This Row],[Test Results]]&gt;120,"High Risk","Normal")</f>
        <v>High Risk</v>
      </c>
      <c r="S551" s="3" t="str">
        <f>IF(Table1[[#This Row],[Age]]&lt;=18,"0-18",IF(Table1[[#This Row],[Age]]&lt;=35,"19-35",IF(Table1[[#This Row],[Age]]&lt;=50,"36-50",IF(Table1[[#This Row],[Age]]&lt;=65,"51-65","65+"))))</f>
        <v>65+</v>
      </c>
    </row>
    <row r="552" spans="1:19" x14ac:dyDescent="0.3">
      <c r="A552" s="3" t="s">
        <v>1696</v>
      </c>
      <c r="B552" s="3">
        <v>44</v>
      </c>
      <c r="C552" s="3" t="s">
        <v>16</v>
      </c>
      <c r="D552" s="3" t="s">
        <v>49</v>
      </c>
      <c r="E552" s="3" t="s">
        <v>76</v>
      </c>
      <c r="F552" s="4">
        <v>43611</v>
      </c>
      <c r="G552" s="3" t="s">
        <v>1697</v>
      </c>
      <c r="H552" s="3" t="s">
        <v>1698</v>
      </c>
      <c r="I552" s="3" t="s">
        <v>30</v>
      </c>
      <c r="J552" s="5">
        <v>3852.9471118220799</v>
      </c>
      <c r="K552" s="3">
        <v>328</v>
      </c>
      <c r="L552" s="3" t="s">
        <v>31</v>
      </c>
      <c r="M552" s="4">
        <v>43624</v>
      </c>
      <c r="N552" s="3" t="s">
        <v>23</v>
      </c>
      <c r="O552" s="3" t="s">
        <v>47</v>
      </c>
      <c r="P552" s="3" t="str">
        <f>IF(Table1[[#This Row],[Billing Amount]]&lt;5000,"Low",IF(Table1[[#This Row],[Billing Amount]]&lt;=15000,"Medium","High"))</f>
        <v>Low</v>
      </c>
      <c r="Q552" s="3" t="str">
        <f>IF(Table1[[#This Row],[Discharge Date]]="Yes","Discharged","Under Treatment")</f>
        <v>Under Treatment</v>
      </c>
      <c r="R552" s="3" t="str">
        <f>IF(Table1[[#This Row],[Test Results]]&gt;120,"High Risk","Normal")</f>
        <v>High Risk</v>
      </c>
      <c r="S552" s="3" t="str">
        <f>IF(Table1[[#This Row],[Age]]&lt;=18,"0-18",IF(Table1[[#This Row],[Age]]&lt;=35,"19-35",IF(Table1[[#This Row],[Age]]&lt;=50,"36-50",IF(Table1[[#This Row],[Age]]&lt;=65,"51-65","65+"))))</f>
        <v>36-50</v>
      </c>
    </row>
    <row r="553" spans="1:19" x14ac:dyDescent="0.3">
      <c r="A553" s="3" t="s">
        <v>1699</v>
      </c>
      <c r="B553" s="3">
        <v>45</v>
      </c>
      <c r="C553" s="3" t="s">
        <v>16</v>
      </c>
      <c r="D553" s="3" t="s">
        <v>59</v>
      </c>
      <c r="E553" s="3" t="s">
        <v>43</v>
      </c>
      <c r="F553" s="4">
        <v>44077</v>
      </c>
      <c r="G553" s="3" t="s">
        <v>1700</v>
      </c>
      <c r="H553" s="3" t="s">
        <v>1701</v>
      </c>
      <c r="I553" s="3" t="s">
        <v>57</v>
      </c>
      <c r="J553" s="5">
        <v>16648.547398710602</v>
      </c>
      <c r="K553" s="3">
        <v>424</v>
      </c>
      <c r="L553" s="3" t="s">
        <v>31</v>
      </c>
      <c r="M553" s="4">
        <v>44089</v>
      </c>
      <c r="N553" s="3" t="s">
        <v>40</v>
      </c>
      <c r="O553" s="3" t="s">
        <v>24</v>
      </c>
      <c r="P553" s="3" t="str">
        <f>IF(Table1[[#This Row],[Billing Amount]]&lt;5000,"Low",IF(Table1[[#This Row],[Billing Amount]]&lt;=15000,"Medium","High"))</f>
        <v>High</v>
      </c>
      <c r="Q553" s="3" t="str">
        <f>IF(Table1[[#This Row],[Discharge Date]]="Yes","Discharged","Under Treatment")</f>
        <v>Under Treatment</v>
      </c>
      <c r="R553" s="3" t="str">
        <f>IF(Table1[[#This Row],[Test Results]]&gt;120,"High Risk","Normal")</f>
        <v>High Risk</v>
      </c>
      <c r="S553" s="3" t="str">
        <f>IF(Table1[[#This Row],[Age]]&lt;=18,"0-18",IF(Table1[[#This Row],[Age]]&lt;=35,"19-35",IF(Table1[[#This Row],[Age]]&lt;=50,"36-50",IF(Table1[[#This Row],[Age]]&lt;=65,"51-65","65+"))))</f>
        <v>36-50</v>
      </c>
    </row>
    <row r="554" spans="1:19" x14ac:dyDescent="0.3">
      <c r="A554" s="3" t="s">
        <v>1703</v>
      </c>
      <c r="B554" s="3">
        <v>44</v>
      </c>
      <c r="C554" s="3" t="s">
        <v>16</v>
      </c>
      <c r="D554" s="3" t="s">
        <v>103</v>
      </c>
      <c r="E554" s="3" t="s">
        <v>76</v>
      </c>
      <c r="F554" s="4">
        <v>43819</v>
      </c>
      <c r="G554" s="3" t="s">
        <v>1704</v>
      </c>
      <c r="H554" s="3" t="s">
        <v>1705</v>
      </c>
      <c r="I554" s="3" t="s">
        <v>65</v>
      </c>
      <c r="J554" s="5">
        <v>32990.194386958203</v>
      </c>
      <c r="K554" s="3">
        <v>486</v>
      </c>
      <c r="L554" s="3" t="s">
        <v>46</v>
      </c>
      <c r="M554" s="4">
        <v>43848</v>
      </c>
      <c r="N554" s="3" t="s">
        <v>32</v>
      </c>
      <c r="O554" s="3" t="s">
        <v>24</v>
      </c>
      <c r="P554" s="3" t="str">
        <f>IF(Table1[[#This Row],[Billing Amount]]&lt;5000,"Low",IF(Table1[[#This Row],[Billing Amount]]&lt;=15000,"Medium","High"))</f>
        <v>High</v>
      </c>
      <c r="Q554" s="3" t="str">
        <f>IF(Table1[[#This Row],[Discharge Date]]="Yes","Discharged","Under Treatment")</f>
        <v>Under Treatment</v>
      </c>
      <c r="R554" s="3" t="str">
        <f>IF(Table1[[#This Row],[Test Results]]&gt;120,"High Risk","Normal")</f>
        <v>High Risk</v>
      </c>
      <c r="S554" s="3" t="str">
        <f>IF(Table1[[#This Row],[Age]]&lt;=18,"0-18",IF(Table1[[#This Row],[Age]]&lt;=35,"19-35",IF(Table1[[#This Row],[Age]]&lt;=50,"36-50",IF(Table1[[#This Row],[Age]]&lt;=65,"51-65","65+"))))</f>
        <v>36-50</v>
      </c>
    </row>
    <row r="555" spans="1:19" x14ac:dyDescent="0.3">
      <c r="A555" s="3" t="s">
        <v>1706</v>
      </c>
      <c r="B555" s="3">
        <v>42</v>
      </c>
      <c r="C555" s="3" t="s">
        <v>16</v>
      </c>
      <c r="D555" s="3" t="s">
        <v>26</v>
      </c>
      <c r="E555" s="3" t="s">
        <v>27</v>
      </c>
      <c r="F555" s="4">
        <v>43970</v>
      </c>
      <c r="G555" s="3" t="s">
        <v>1707</v>
      </c>
      <c r="H555" s="3" t="s">
        <v>1708</v>
      </c>
      <c r="I555" s="3" t="s">
        <v>30</v>
      </c>
      <c r="J555" s="5">
        <v>5947.6896496546497</v>
      </c>
      <c r="K555" s="3">
        <v>196</v>
      </c>
      <c r="L555" s="3" t="s">
        <v>31</v>
      </c>
      <c r="M555" s="4">
        <v>43994</v>
      </c>
      <c r="N555" s="3" t="s">
        <v>40</v>
      </c>
      <c r="O555" s="3" t="s">
        <v>33</v>
      </c>
      <c r="P555" s="3" t="str">
        <f>IF(Table1[[#This Row],[Billing Amount]]&lt;5000,"Low",IF(Table1[[#This Row],[Billing Amount]]&lt;=15000,"Medium","High"))</f>
        <v>Medium</v>
      </c>
      <c r="Q555" s="3" t="str">
        <f>IF(Table1[[#This Row],[Discharge Date]]="Yes","Discharged","Under Treatment")</f>
        <v>Under Treatment</v>
      </c>
      <c r="R555" s="3" t="str">
        <f>IF(Table1[[#This Row],[Test Results]]&gt;120,"High Risk","Normal")</f>
        <v>High Risk</v>
      </c>
      <c r="S555" s="3" t="str">
        <f>IF(Table1[[#This Row],[Age]]&lt;=18,"0-18",IF(Table1[[#This Row],[Age]]&lt;=35,"19-35",IF(Table1[[#This Row],[Age]]&lt;=50,"36-50",IF(Table1[[#This Row],[Age]]&lt;=65,"51-65","65+"))))</f>
        <v>36-50</v>
      </c>
    </row>
    <row r="556" spans="1:19" x14ac:dyDescent="0.3">
      <c r="A556" s="3" t="s">
        <v>1709</v>
      </c>
      <c r="B556" s="3">
        <v>61</v>
      </c>
      <c r="C556" s="3" t="s">
        <v>35</v>
      </c>
      <c r="D556" s="3" t="s">
        <v>26</v>
      </c>
      <c r="E556" s="3" t="s">
        <v>43</v>
      </c>
      <c r="F556" s="4">
        <v>45342</v>
      </c>
      <c r="G556" s="3" t="s">
        <v>1710</v>
      </c>
      <c r="H556" s="3" t="s">
        <v>1711</v>
      </c>
      <c r="I556" s="3" t="s">
        <v>65</v>
      </c>
      <c r="J556" s="5">
        <v>28281.348378789698</v>
      </c>
      <c r="K556" s="3">
        <v>477</v>
      </c>
      <c r="L556" s="3" t="s">
        <v>31</v>
      </c>
      <c r="M556" s="4">
        <v>45359</v>
      </c>
      <c r="N556" s="3" t="s">
        <v>52</v>
      </c>
      <c r="O556" s="3" t="s">
        <v>47</v>
      </c>
      <c r="P556" s="3" t="str">
        <f>IF(Table1[[#This Row],[Billing Amount]]&lt;5000,"Low",IF(Table1[[#This Row],[Billing Amount]]&lt;=15000,"Medium","High"))</f>
        <v>High</v>
      </c>
      <c r="Q556" s="3" t="str">
        <f>IF(Table1[[#This Row],[Discharge Date]]="Yes","Discharged","Under Treatment")</f>
        <v>Under Treatment</v>
      </c>
      <c r="R556" s="3" t="str">
        <f>IF(Table1[[#This Row],[Test Results]]&gt;120,"High Risk","Normal")</f>
        <v>High Risk</v>
      </c>
      <c r="S556" s="3" t="str">
        <f>IF(Table1[[#This Row],[Age]]&lt;=18,"0-18",IF(Table1[[#This Row],[Age]]&lt;=35,"19-35",IF(Table1[[#This Row],[Age]]&lt;=50,"36-50",IF(Table1[[#This Row],[Age]]&lt;=65,"51-65","65+"))))</f>
        <v>51-65</v>
      </c>
    </row>
    <row r="557" spans="1:19" x14ac:dyDescent="0.3">
      <c r="A557" s="3" t="s">
        <v>1712</v>
      </c>
      <c r="B557" s="3">
        <v>75</v>
      </c>
      <c r="C557" s="3" t="s">
        <v>35</v>
      </c>
      <c r="D557" s="3" t="s">
        <v>59</v>
      </c>
      <c r="E557" s="3" t="s">
        <v>18</v>
      </c>
      <c r="F557" s="4">
        <v>45169</v>
      </c>
      <c r="G557" s="3" t="s">
        <v>1713</v>
      </c>
      <c r="H557" s="3" t="s">
        <v>1714</v>
      </c>
      <c r="I557" s="3" t="s">
        <v>30</v>
      </c>
      <c r="J557" s="5">
        <v>30873.619909168799</v>
      </c>
      <c r="K557" s="3">
        <v>252</v>
      </c>
      <c r="L557" s="3" t="s">
        <v>46</v>
      </c>
      <c r="M557" s="4">
        <v>45176</v>
      </c>
      <c r="N557" s="3" t="s">
        <v>32</v>
      </c>
      <c r="O557" s="3" t="s">
        <v>33</v>
      </c>
      <c r="P557" s="3" t="str">
        <f>IF(Table1[[#This Row],[Billing Amount]]&lt;5000,"Low",IF(Table1[[#This Row],[Billing Amount]]&lt;=15000,"Medium","High"))</f>
        <v>High</v>
      </c>
      <c r="Q557" s="3" t="str">
        <f>IF(Table1[[#This Row],[Discharge Date]]="Yes","Discharged","Under Treatment")</f>
        <v>Under Treatment</v>
      </c>
      <c r="R557" s="3" t="str">
        <f>IF(Table1[[#This Row],[Test Results]]&gt;120,"High Risk","Normal")</f>
        <v>High Risk</v>
      </c>
      <c r="S557" s="3" t="str">
        <f>IF(Table1[[#This Row],[Age]]&lt;=18,"0-18",IF(Table1[[#This Row],[Age]]&lt;=35,"19-35",IF(Table1[[#This Row],[Age]]&lt;=50,"36-50",IF(Table1[[#This Row],[Age]]&lt;=65,"51-65","65+"))))</f>
        <v>65+</v>
      </c>
    </row>
    <row r="558" spans="1:19" x14ac:dyDescent="0.3">
      <c r="A558" s="3" t="s">
        <v>1715</v>
      </c>
      <c r="B558" s="3">
        <v>85</v>
      </c>
      <c r="C558" s="3" t="s">
        <v>16</v>
      </c>
      <c r="D558" s="3" t="s">
        <v>26</v>
      </c>
      <c r="E558" s="3" t="s">
        <v>76</v>
      </c>
      <c r="F558" s="4">
        <v>44945</v>
      </c>
      <c r="G558" s="3" t="s">
        <v>1716</v>
      </c>
      <c r="H558" s="3" t="s">
        <v>1717</v>
      </c>
      <c r="I558" s="3" t="s">
        <v>65</v>
      </c>
      <c r="J558" s="5">
        <v>9542.7397088854595</v>
      </c>
      <c r="K558" s="3">
        <v>289</v>
      </c>
      <c r="L558" s="3" t="s">
        <v>31</v>
      </c>
      <c r="M558" s="4">
        <v>44954</v>
      </c>
      <c r="N558" s="3" t="s">
        <v>23</v>
      </c>
      <c r="O558" s="3" t="s">
        <v>47</v>
      </c>
      <c r="P558" s="3" t="str">
        <f>IF(Table1[[#This Row],[Billing Amount]]&lt;5000,"Low",IF(Table1[[#This Row],[Billing Amount]]&lt;=15000,"Medium","High"))</f>
        <v>Medium</v>
      </c>
      <c r="Q558" s="3" t="str">
        <f>IF(Table1[[#This Row],[Discharge Date]]="Yes","Discharged","Under Treatment")</f>
        <v>Under Treatment</v>
      </c>
      <c r="R558" s="3" t="str">
        <f>IF(Table1[[#This Row],[Test Results]]&gt;120,"High Risk","Normal")</f>
        <v>High Risk</v>
      </c>
      <c r="S558" s="3" t="str">
        <f>IF(Table1[[#This Row],[Age]]&lt;=18,"0-18",IF(Table1[[#This Row],[Age]]&lt;=35,"19-35",IF(Table1[[#This Row],[Age]]&lt;=50,"36-50",IF(Table1[[#This Row],[Age]]&lt;=65,"51-65","65+"))))</f>
        <v>65+</v>
      </c>
    </row>
    <row r="559" spans="1:19" x14ac:dyDescent="0.3">
      <c r="A559" s="3" t="s">
        <v>1718</v>
      </c>
      <c r="B559" s="3">
        <v>74</v>
      </c>
      <c r="C559" s="3" t="s">
        <v>16</v>
      </c>
      <c r="D559" s="3" t="s">
        <v>122</v>
      </c>
      <c r="E559" s="3" t="s">
        <v>27</v>
      </c>
      <c r="F559" s="4">
        <v>45250</v>
      </c>
      <c r="G559" s="3" t="s">
        <v>1719</v>
      </c>
      <c r="H559" s="3" t="s">
        <v>1720</v>
      </c>
      <c r="I559" s="3" t="s">
        <v>21</v>
      </c>
      <c r="J559" s="5">
        <v>32429.6191269396</v>
      </c>
      <c r="K559" s="3">
        <v>191</v>
      </c>
      <c r="L559" s="3" t="s">
        <v>31</v>
      </c>
      <c r="M559" s="4">
        <v>45277</v>
      </c>
      <c r="N559" s="3" t="s">
        <v>32</v>
      </c>
      <c r="O559" s="3" t="s">
        <v>33</v>
      </c>
      <c r="P559" s="3" t="str">
        <f>IF(Table1[[#This Row],[Billing Amount]]&lt;5000,"Low",IF(Table1[[#This Row],[Billing Amount]]&lt;=15000,"Medium","High"))</f>
        <v>High</v>
      </c>
      <c r="Q559" s="3" t="str">
        <f>IF(Table1[[#This Row],[Discharge Date]]="Yes","Discharged","Under Treatment")</f>
        <v>Under Treatment</v>
      </c>
      <c r="R559" s="3" t="str">
        <f>IF(Table1[[#This Row],[Test Results]]&gt;120,"High Risk","Normal")</f>
        <v>High Risk</v>
      </c>
      <c r="S559" s="3" t="str">
        <f>IF(Table1[[#This Row],[Age]]&lt;=18,"0-18",IF(Table1[[#This Row],[Age]]&lt;=35,"19-35",IF(Table1[[#This Row],[Age]]&lt;=50,"36-50",IF(Table1[[#This Row],[Age]]&lt;=65,"51-65","65+"))))</f>
        <v>65+</v>
      </c>
    </row>
    <row r="560" spans="1:19" x14ac:dyDescent="0.3">
      <c r="A560" s="3" t="s">
        <v>1721</v>
      </c>
      <c r="B560" s="3">
        <v>59</v>
      </c>
      <c r="C560" s="3" t="s">
        <v>16</v>
      </c>
      <c r="D560" s="3" t="s">
        <v>49</v>
      </c>
      <c r="E560" s="3" t="s">
        <v>27</v>
      </c>
      <c r="F560" s="4">
        <v>44405</v>
      </c>
      <c r="G560" s="3" t="s">
        <v>1722</v>
      </c>
      <c r="H560" s="3" t="s">
        <v>1723</v>
      </c>
      <c r="I560" s="3" t="s">
        <v>65</v>
      </c>
      <c r="J560" s="5">
        <v>5588.9938847347003</v>
      </c>
      <c r="K560" s="3">
        <v>459</v>
      </c>
      <c r="L560" s="3" t="s">
        <v>22</v>
      </c>
      <c r="M560" s="4">
        <v>44411</v>
      </c>
      <c r="N560" s="3" t="s">
        <v>52</v>
      </c>
      <c r="O560" s="3" t="s">
        <v>24</v>
      </c>
      <c r="P560" s="3" t="str">
        <f>IF(Table1[[#This Row],[Billing Amount]]&lt;5000,"Low",IF(Table1[[#This Row],[Billing Amount]]&lt;=15000,"Medium","High"))</f>
        <v>Medium</v>
      </c>
      <c r="Q560" s="3" t="str">
        <f>IF(Table1[[#This Row],[Discharge Date]]="Yes","Discharged","Under Treatment")</f>
        <v>Under Treatment</v>
      </c>
      <c r="R560" s="3" t="str">
        <f>IF(Table1[[#This Row],[Test Results]]&gt;120,"High Risk","Normal")</f>
        <v>High Risk</v>
      </c>
      <c r="S560" s="3" t="str">
        <f>IF(Table1[[#This Row],[Age]]&lt;=18,"0-18",IF(Table1[[#This Row],[Age]]&lt;=35,"19-35",IF(Table1[[#This Row],[Age]]&lt;=50,"36-50",IF(Table1[[#This Row],[Age]]&lt;=65,"51-65","65+"))))</f>
        <v>51-65</v>
      </c>
    </row>
    <row r="561" spans="1:19" x14ac:dyDescent="0.3">
      <c r="A561" s="3" t="s">
        <v>1724</v>
      </c>
      <c r="B561" s="3">
        <v>49</v>
      </c>
      <c r="C561" s="3" t="s">
        <v>16</v>
      </c>
      <c r="D561" s="3" t="s">
        <v>36</v>
      </c>
      <c r="E561" s="3" t="s">
        <v>54</v>
      </c>
      <c r="F561" s="4">
        <v>45020</v>
      </c>
      <c r="G561" s="3" t="s">
        <v>1725</v>
      </c>
      <c r="H561" s="3" t="s">
        <v>1726</v>
      </c>
      <c r="I561" s="3" t="s">
        <v>57</v>
      </c>
      <c r="J561" s="5">
        <v>31497.554875136098</v>
      </c>
      <c r="K561" s="3">
        <v>265</v>
      </c>
      <c r="L561" s="3" t="s">
        <v>31</v>
      </c>
      <c r="M561" s="4">
        <v>45043</v>
      </c>
      <c r="N561" s="3" t="s">
        <v>79</v>
      </c>
      <c r="O561" s="3" t="s">
        <v>33</v>
      </c>
      <c r="P561" s="3" t="str">
        <f>IF(Table1[[#This Row],[Billing Amount]]&lt;5000,"Low",IF(Table1[[#This Row],[Billing Amount]]&lt;=15000,"Medium","High"))</f>
        <v>High</v>
      </c>
      <c r="Q561" s="3" t="str">
        <f>IF(Table1[[#This Row],[Discharge Date]]="Yes","Discharged","Under Treatment")</f>
        <v>Under Treatment</v>
      </c>
      <c r="R561" s="3" t="str">
        <f>IF(Table1[[#This Row],[Test Results]]&gt;120,"High Risk","Normal")</f>
        <v>High Risk</v>
      </c>
      <c r="S561" s="3" t="str">
        <f>IF(Table1[[#This Row],[Age]]&lt;=18,"0-18",IF(Table1[[#This Row],[Age]]&lt;=35,"19-35",IF(Table1[[#This Row],[Age]]&lt;=50,"36-50",IF(Table1[[#This Row],[Age]]&lt;=65,"51-65","65+"))))</f>
        <v>36-50</v>
      </c>
    </row>
    <row r="562" spans="1:19" x14ac:dyDescent="0.3">
      <c r="A562" s="3" t="s">
        <v>1727</v>
      </c>
      <c r="B562" s="3">
        <v>51</v>
      </c>
      <c r="C562" s="3" t="s">
        <v>35</v>
      </c>
      <c r="D562" s="3" t="s">
        <v>103</v>
      </c>
      <c r="E562" s="3" t="s">
        <v>76</v>
      </c>
      <c r="F562" s="4">
        <v>43858</v>
      </c>
      <c r="G562" s="3" t="s">
        <v>1728</v>
      </c>
      <c r="H562" s="3" t="s">
        <v>1729</v>
      </c>
      <c r="I562" s="3" t="s">
        <v>65</v>
      </c>
      <c r="J562" s="5">
        <v>15422.042886846</v>
      </c>
      <c r="K562" s="3">
        <v>154</v>
      </c>
      <c r="L562" s="3" t="s">
        <v>22</v>
      </c>
      <c r="M562" s="4">
        <v>43882</v>
      </c>
      <c r="N562" s="3" t="s">
        <v>32</v>
      </c>
      <c r="O562" s="3" t="s">
        <v>33</v>
      </c>
      <c r="P562" s="3" t="str">
        <f>IF(Table1[[#This Row],[Billing Amount]]&lt;5000,"Low",IF(Table1[[#This Row],[Billing Amount]]&lt;=15000,"Medium","High"))</f>
        <v>High</v>
      </c>
      <c r="Q562" s="3" t="str">
        <f>IF(Table1[[#This Row],[Discharge Date]]="Yes","Discharged","Under Treatment")</f>
        <v>Under Treatment</v>
      </c>
      <c r="R562" s="3" t="str">
        <f>IF(Table1[[#This Row],[Test Results]]&gt;120,"High Risk","Normal")</f>
        <v>High Risk</v>
      </c>
      <c r="S562" s="3" t="str">
        <f>IF(Table1[[#This Row],[Age]]&lt;=18,"0-18",IF(Table1[[#This Row],[Age]]&lt;=35,"19-35",IF(Table1[[#This Row],[Age]]&lt;=50,"36-50",IF(Table1[[#This Row],[Age]]&lt;=65,"51-65","65+"))))</f>
        <v>51-65</v>
      </c>
    </row>
    <row r="563" spans="1:19" x14ac:dyDescent="0.3">
      <c r="A563" s="3" t="s">
        <v>1730</v>
      </c>
      <c r="B563" s="3">
        <v>59</v>
      </c>
      <c r="C563" s="3" t="s">
        <v>35</v>
      </c>
      <c r="D563" s="3" t="s">
        <v>49</v>
      </c>
      <c r="E563" s="3" t="s">
        <v>27</v>
      </c>
      <c r="F563" s="4">
        <v>43908</v>
      </c>
      <c r="G563" s="3" t="s">
        <v>1731</v>
      </c>
      <c r="H563" s="3" t="s">
        <v>1732</v>
      </c>
      <c r="I563" s="3" t="s">
        <v>21</v>
      </c>
      <c r="J563" s="5">
        <v>41632.524848102599</v>
      </c>
      <c r="K563" s="3">
        <v>395</v>
      </c>
      <c r="L563" s="3" t="s">
        <v>46</v>
      </c>
      <c r="M563" s="4">
        <v>43915</v>
      </c>
      <c r="N563" s="3" t="s">
        <v>52</v>
      </c>
      <c r="O563" s="3" t="s">
        <v>24</v>
      </c>
      <c r="P563" s="3" t="str">
        <f>IF(Table1[[#This Row],[Billing Amount]]&lt;5000,"Low",IF(Table1[[#This Row],[Billing Amount]]&lt;=15000,"Medium","High"))</f>
        <v>High</v>
      </c>
      <c r="Q563" s="3" t="str">
        <f>IF(Table1[[#This Row],[Discharge Date]]="Yes","Discharged","Under Treatment")</f>
        <v>Under Treatment</v>
      </c>
      <c r="R563" s="3" t="str">
        <f>IF(Table1[[#This Row],[Test Results]]&gt;120,"High Risk","Normal")</f>
        <v>High Risk</v>
      </c>
      <c r="S563" s="3" t="str">
        <f>IF(Table1[[#This Row],[Age]]&lt;=18,"0-18",IF(Table1[[#This Row],[Age]]&lt;=35,"19-35",IF(Table1[[#This Row],[Age]]&lt;=50,"36-50",IF(Table1[[#This Row],[Age]]&lt;=65,"51-65","65+"))))</f>
        <v>51-65</v>
      </c>
    </row>
    <row r="564" spans="1:19" x14ac:dyDescent="0.3">
      <c r="A564" s="3" t="s">
        <v>1733</v>
      </c>
      <c r="B564" s="3">
        <v>25</v>
      </c>
      <c r="C564" s="3" t="s">
        <v>35</v>
      </c>
      <c r="D564" s="3" t="s">
        <v>59</v>
      </c>
      <c r="E564" s="3" t="s">
        <v>43</v>
      </c>
      <c r="F564" s="4">
        <v>44000</v>
      </c>
      <c r="G564" s="3" t="s">
        <v>1734</v>
      </c>
      <c r="H564" s="3" t="s">
        <v>1735</v>
      </c>
      <c r="I564" s="3" t="s">
        <v>30</v>
      </c>
      <c r="J564" s="5">
        <v>7437.4187079969997</v>
      </c>
      <c r="K564" s="3">
        <v>412</v>
      </c>
      <c r="L564" s="3" t="s">
        <v>31</v>
      </c>
      <c r="M564" s="4">
        <v>44005</v>
      </c>
      <c r="N564" s="3" t="s">
        <v>23</v>
      </c>
      <c r="O564" s="3" t="s">
        <v>33</v>
      </c>
      <c r="P564" s="3" t="str">
        <f>IF(Table1[[#This Row],[Billing Amount]]&lt;5000,"Low",IF(Table1[[#This Row],[Billing Amount]]&lt;=15000,"Medium","High"))</f>
        <v>Medium</v>
      </c>
      <c r="Q564" s="3" t="str">
        <f>IF(Table1[[#This Row],[Discharge Date]]="Yes","Discharged","Under Treatment")</f>
        <v>Under Treatment</v>
      </c>
      <c r="R564" s="3" t="str">
        <f>IF(Table1[[#This Row],[Test Results]]&gt;120,"High Risk","Normal")</f>
        <v>High Risk</v>
      </c>
      <c r="S564" s="3" t="str">
        <f>IF(Table1[[#This Row],[Age]]&lt;=18,"0-18",IF(Table1[[#This Row],[Age]]&lt;=35,"19-35",IF(Table1[[#This Row],[Age]]&lt;=50,"36-50",IF(Table1[[#This Row],[Age]]&lt;=65,"51-65","65+"))))</f>
        <v>19-35</v>
      </c>
    </row>
    <row r="565" spans="1:19" x14ac:dyDescent="0.3">
      <c r="A565" s="3" t="s">
        <v>1736</v>
      </c>
      <c r="B565" s="3">
        <v>29</v>
      </c>
      <c r="C565" s="3" t="s">
        <v>16</v>
      </c>
      <c r="D565" s="3" t="s">
        <v>122</v>
      </c>
      <c r="E565" s="3" t="s">
        <v>18</v>
      </c>
      <c r="F565" s="4">
        <v>45122</v>
      </c>
      <c r="G565" s="3" t="s">
        <v>1737</v>
      </c>
      <c r="H565" s="3" t="s">
        <v>1738</v>
      </c>
      <c r="I565" s="3" t="s">
        <v>30</v>
      </c>
      <c r="J565" s="5">
        <v>38860.0208846444</v>
      </c>
      <c r="K565" s="3">
        <v>436</v>
      </c>
      <c r="L565" s="3" t="s">
        <v>46</v>
      </c>
      <c r="M565" s="4">
        <v>45134</v>
      </c>
      <c r="N565" s="3" t="s">
        <v>40</v>
      </c>
      <c r="O565" s="3" t="s">
        <v>47</v>
      </c>
      <c r="P565" s="3" t="str">
        <f>IF(Table1[[#This Row],[Billing Amount]]&lt;5000,"Low",IF(Table1[[#This Row],[Billing Amount]]&lt;=15000,"Medium","High"))</f>
        <v>High</v>
      </c>
      <c r="Q565" s="3" t="str">
        <f>IF(Table1[[#This Row],[Discharge Date]]="Yes","Discharged","Under Treatment")</f>
        <v>Under Treatment</v>
      </c>
      <c r="R565" s="3" t="str">
        <f>IF(Table1[[#This Row],[Test Results]]&gt;120,"High Risk","Normal")</f>
        <v>High Risk</v>
      </c>
      <c r="S565" s="3" t="str">
        <f>IF(Table1[[#This Row],[Age]]&lt;=18,"0-18",IF(Table1[[#This Row],[Age]]&lt;=35,"19-35",IF(Table1[[#This Row],[Age]]&lt;=50,"36-50",IF(Table1[[#This Row],[Age]]&lt;=65,"51-65","65+"))))</f>
        <v>19-35</v>
      </c>
    </row>
    <row r="566" spans="1:19" x14ac:dyDescent="0.3">
      <c r="A566" s="3" t="s">
        <v>1739</v>
      </c>
      <c r="B566" s="3">
        <v>25</v>
      </c>
      <c r="C566" s="3" t="s">
        <v>16</v>
      </c>
      <c r="D566" s="3" t="s">
        <v>36</v>
      </c>
      <c r="E566" s="3" t="s">
        <v>76</v>
      </c>
      <c r="F566" s="4">
        <v>45201</v>
      </c>
      <c r="G566" s="3" t="s">
        <v>1740</v>
      </c>
      <c r="H566" s="3" t="s">
        <v>1741</v>
      </c>
      <c r="I566" s="3" t="s">
        <v>65</v>
      </c>
      <c r="J566" s="5">
        <v>6662.2428539442099</v>
      </c>
      <c r="K566" s="3">
        <v>249</v>
      </c>
      <c r="L566" s="3" t="s">
        <v>22</v>
      </c>
      <c r="M566" s="4">
        <v>45223</v>
      </c>
      <c r="N566" s="3" t="s">
        <v>32</v>
      </c>
      <c r="O566" s="3" t="s">
        <v>33</v>
      </c>
      <c r="P566" s="3" t="str">
        <f>IF(Table1[[#This Row],[Billing Amount]]&lt;5000,"Low",IF(Table1[[#This Row],[Billing Amount]]&lt;=15000,"Medium","High"))</f>
        <v>Medium</v>
      </c>
      <c r="Q566" s="3" t="str">
        <f>IF(Table1[[#This Row],[Discharge Date]]="Yes","Discharged","Under Treatment")</f>
        <v>Under Treatment</v>
      </c>
      <c r="R566" s="3" t="str">
        <f>IF(Table1[[#This Row],[Test Results]]&gt;120,"High Risk","Normal")</f>
        <v>High Risk</v>
      </c>
      <c r="S566" s="3" t="str">
        <f>IF(Table1[[#This Row],[Age]]&lt;=18,"0-18",IF(Table1[[#This Row],[Age]]&lt;=35,"19-35",IF(Table1[[#This Row],[Age]]&lt;=50,"36-50",IF(Table1[[#This Row],[Age]]&lt;=65,"51-65","65+"))))</f>
        <v>19-35</v>
      </c>
    </row>
    <row r="567" spans="1:19" x14ac:dyDescent="0.3">
      <c r="A567" s="3" t="s">
        <v>1742</v>
      </c>
      <c r="B567" s="3">
        <v>61</v>
      </c>
      <c r="C567" s="3" t="s">
        <v>16</v>
      </c>
      <c r="D567" s="3" t="s">
        <v>17</v>
      </c>
      <c r="E567" s="3" t="s">
        <v>43</v>
      </c>
      <c r="F567" s="4">
        <v>44209</v>
      </c>
      <c r="G567" s="3" t="s">
        <v>1743</v>
      </c>
      <c r="H567" s="3" t="s">
        <v>1744</v>
      </c>
      <c r="I567" s="3" t="s">
        <v>65</v>
      </c>
      <c r="J567" s="5">
        <v>13074.2152801333</v>
      </c>
      <c r="K567" s="3">
        <v>147</v>
      </c>
      <c r="L567" s="3" t="s">
        <v>22</v>
      </c>
      <c r="M567" s="4">
        <v>44232</v>
      </c>
      <c r="N567" s="3" t="s">
        <v>40</v>
      </c>
      <c r="O567" s="3" t="s">
        <v>33</v>
      </c>
      <c r="P567" s="3" t="str">
        <f>IF(Table1[[#This Row],[Billing Amount]]&lt;5000,"Low",IF(Table1[[#This Row],[Billing Amount]]&lt;=15000,"Medium","High"))</f>
        <v>Medium</v>
      </c>
      <c r="Q567" s="3" t="str">
        <f>IF(Table1[[#This Row],[Discharge Date]]="Yes","Discharged","Under Treatment")</f>
        <v>Under Treatment</v>
      </c>
      <c r="R567" s="3" t="str">
        <f>IF(Table1[[#This Row],[Test Results]]&gt;120,"High Risk","Normal")</f>
        <v>High Risk</v>
      </c>
      <c r="S567" s="3" t="str">
        <f>IF(Table1[[#This Row],[Age]]&lt;=18,"0-18",IF(Table1[[#This Row],[Age]]&lt;=35,"19-35",IF(Table1[[#This Row],[Age]]&lt;=50,"36-50",IF(Table1[[#This Row],[Age]]&lt;=65,"51-65","65+"))))</f>
        <v>51-65</v>
      </c>
    </row>
    <row r="568" spans="1:19" x14ac:dyDescent="0.3">
      <c r="A568" s="3" t="s">
        <v>1745</v>
      </c>
      <c r="B568" s="3">
        <v>54</v>
      </c>
      <c r="C568" s="3" t="s">
        <v>16</v>
      </c>
      <c r="D568" s="3" t="s">
        <v>59</v>
      </c>
      <c r="E568" s="3" t="s">
        <v>76</v>
      </c>
      <c r="F568" s="4">
        <v>43760</v>
      </c>
      <c r="G568" s="3" t="s">
        <v>1746</v>
      </c>
      <c r="H568" s="3" t="s">
        <v>1747</v>
      </c>
      <c r="I568" s="3" t="s">
        <v>21</v>
      </c>
      <c r="J568" s="5">
        <v>20227.039404011601</v>
      </c>
      <c r="K568" s="3">
        <v>144</v>
      </c>
      <c r="L568" s="3" t="s">
        <v>31</v>
      </c>
      <c r="M568" s="4">
        <v>43770</v>
      </c>
      <c r="N568" s="3" t="s">
        <v>40</v>
      </c>
      <c r="O568" s="3" t="s">
        <v>47</v>
      </c>
      <c r="P568" s="3" t="str">
        <f>IF(Table1[[#This Row],[Billing Amount]]&lt;5000,"Low",IF(Table1[[#This Row],[Billing Amount]]&lt;=15000,"Medium","High"))</f>
        <v>High</v>
      </c>
      <c r="Q568" s="3" t="str">
        <f>IF(Table1[[#This Row],[Discharge Date]]="Yes","Discharged","Under Treatment")</f>
        <v>Under Treatment</v>
      </c>
      <c r="R568" s="3" t="str">
        <f>IF(Table1[[#This Row],[Test Results]]&gt;120,"High Risk","Normal")</f>
        <v>High Risk</v>
      </c>
      <c r="S568" s="3" t="str">
        <f>IF(Table1[[#This Row],[Age]]&lt;=18,"0-18",IF(Table1[[#This Row],[Age]]&lt;=35,"19-35",IF(Table1[[#This Row],[Age]]&lt;=50,"36-50",IF(Table1[[#This Row],[Age]]&lt;=65,"51-65","65+"))))</f>
        <v>51-65</v>
      </c>
    </row>
    <row r="569" spans="1:19" x14ac:dyDescent="0.3">
      <c r="A569" s="3" t="s">
        <v>1748</v>
      </c>
      <c r="B569" s="3">
        <v>41</v>
      </c>
      <c r="C569" s="3" t="s">
        <v>16</v>
      </c>
      <c r="D569" s="3" t="s">
        <v>26</v>
      </c>
      <c r="E569" s="3" t="s">
        <v>27</v>
      </c>
      <c r="F569" s="4">
        <v>43686</v>
      </c>
      <c r="G569" s="3" t="s">
        <v>1749</v>
      </c>
      <c r="H569" s="3" t="s">
        <v>1750</v>
      </c>
      <c r="I569" s="3" t="s">
        <v>30</v>
      </c>
      <c r="J569" s="5">
        <v>38779.207874658103</v>
      </c>
      <c r="K569" s="3">
        <v>268</v>
      </c>
      <c r="L569" s="3" t="s">
        <v>31</v>
      </c>
      <c r="M569" s="4">
        <v>43711</v>
      </c>
      <c r="N569" s="3" t="s">
        <v>23</v>
      </c>
      <c r="O569" s="3" t="s">
        <v>47</v>
      </c>
      <c r="P569" s="3" t="str">
        <f>IF(Table1[[#This Row],[Billing Amount]]&lt;5000,"Low",IF(Table1[[#This Row],[Billing Amount]]&lt;=15000,"Medium","High"))</f>
        <v>High</v>
      </c>
      <c r="Q569" s="3" t="str">
        <f>IF(Table1[[#This Row],[Discharge Date]]="Yes","Discharged","Under Treatment")</f>
        <v>Under Treatment</v>
      </c>
      <c r="R569" s="3" t="str">
        <f>IF(Table1[[#This Row],[Test Results]]&gt;120,"High Risk","Normal")</f>
        <v>High Risk</v>
      </c>
      <c r="S569" s="3" t="str">
        <f>IF(Table1[[#This Row],[Age]]&lt;=18,"0-18",IF(Table1[[#This Row],[Age]]&lt;=35,"19-35",IF(Table1[[#This Row],[Age]]&lt;=50,"36-50",IF(Table1[[#This Row],[Age]]&lt;=65,"51-65","65+"))))</f>
        <v>36-50</v>
      </c>
    </row>
    <row r="570" spans="1:19" x14ac:dyDescent="0.3">
      <c r="A570" s="3" t="s">
        <v>1751</v>
      </c>
      <c r="B570" s="3">
        <v>21</v>
      </c>
      <c r="C570" s="3" t="s">
        <v>35</v>
      </c>
      <c r="D570" s="3" t="s">
        <v>122</v>
      </c>
      <c r="E570" s="3" t="s">
        <v>54</v>
      </c>
      <c r="F570" s="4">
        <v>45290</v>
      </c>
      <c r="G570" s="3" t="s">
        <v>1752</v>
      </c>
      <c r="H570" s="3" t="s">
        <v>1753</v>
      </c>
      <c r="I570" s="3" t="s">
        <v>39</v>
      </c>
      <c r="J570" s="5">
        <v>4561.6642072855602</v>
      </c>
      <c r="K570" s="3">
        <v>357</v>
      </c>
      <c r="L570" s="3" t="s">
        <v>46</v>
      </c>
      <c r="M570" s="4">
        <v>45318</v>
      </c>
      <c r="N570" s="3" t="s">
        <v>79</v>
      </c>
      <c r="O570" s="3" t="s">
        <v>47</v>
      </c>
      <c r="P570" s="3" t="str">
        <f>IF(Table1[[#This Row],[Billing Amount]]&lt;5000,"Low",IF(Table1[[#This Row],[Billing Amount]]&lt;=15000,"Medium","High"))</f>
        <v>Low</v>
      </c>
      <c r="Q570" s="3" t="str">
        <f>IF(Table1[[#This Row],[Discharge Date]]="Yes","Discharged","Under Treatment")</f>
        <v>Under Treatment</v>
      </c>
      <c r="R570" s="3" t="str">
        <f>IF(Table1[[#This Row],[Test Results]]&gt;120,"High Risk","Normal")</f>
        <v>High Risk</v>
      </c>
      <c r="S570" s="3" t="str">
        <f>IF(Table1[[#This Row],[Age]]&lt;=18,"0-18",IF(Table1[[#This Row],[Age]]&lt;=35,"19-35",IF(Table1[[#This Row],[Age]]&lt;=50,"36-50",IF(Table1[[#This Row],[Age]]&lt;=65,"51-65","65+"))))</f>
        <v>19-35</v>
      </c>
    </row>
    <row r="571" spans="1:19" x14ac:dyDescent="0.3">
      <c r="A571" s="3" t="s">
        <v>1754</v>
      </c>
      <c r="B571" s="3">
        <v>38</v>
      </c>
      <c r="C571" s="3" t="s">
        <v>35</v>
      </c>
      <c r="D571" s="3" t="s">
        <v>49</v>
      </c>
      <c r="E571" s="3" t="s">
        <v>43</v>
      </c>
      <c r="F571" s="4">
        <v>44753</v>
      </c>
      <c r="G571" s="3" t="s">
        <v>1755</v>
      </c>
      <c r="H571" s="3" t="s">
        <v>1756</v>
      </c>
      <c r="I571" s="3" t="s">
        <v>30</v>
      </c>
      <c r="J571" s="5">
        <v>1656.5482170529599</v>
      </c>
      <c r="K571" s="3">
        <v>176</v>
      </c>
      <c r="L571" s="3" t="s">
        <v>46</v>
      </c>
      <c r="M571" s="4">
        <v>44776</v>
      </c>
      <c r="N571" s="3" t="s">
        <v>79</v>
      </c>
      <c r="O571" s="3" t="s">
        <v>47</v>
      </c>
      <c r="P571" s="3" t="str">
        <f>IF(Table1[[#This Row],[Billing Amount]]&lt;5000,"Low",IF(Table1[[#This Row],[Billing Amount]]&lt;=15000,"Medium","High"))</f>
        <v>Low</v>
      </c>
      <c r="Q571" s="3" t="str">
        <f>IF(Table1[[#This Row],[Discharge Date]]="Yes","Discharged","Under Treatment")</f>
        <v>Under Treatment</v>
      </c>
      <c r="R571" s="3" t="str">
        <f>IF(Table1[[#This Row],[Test Results]]&gt;120,"High Risk","Normal")</f>
        <v>High Risk</v>
      </c>
      <c r="S571" s="3" t="str">
        <f>IF(Table1[[#This Row],[Age]]&lt;=18,"0-18",IF(Table1[[#This Row],[Age]]&lt;=35,"19-35",IF(Table1[[#This Row],[Age]]&lt;=50,"36-50",IF(Table1[[#This Row],[Age]]&lt;=65,"51-65","65+"))))</f>
        <v>36-50</v>
      </c>
    </row>
    <row r="572" spans="1:19" x14ac:dyDescent="0.3">
      <c r="A572" s="3" t="s">
        <v>1757</v>
      </c>
      <c r="B572" s="3">
        <v>75</v>
      </c>
      <c r="C572" s="3" t="s">
        <v>16</v>
      </c>
      <c r="D572" s="3" t="s">
        <v>49</v>
      </c>
      <c r="E572" s="3" t="s">
        <v>27</v>
      </c>
      <c r="F572" s="4">
        <v>44093</v>
      </c>
      <c r="G572" s="3" t="s">
        <v>1758</v>
      </c>
      <c r="H572" s="3" t="s">
        <v>1759</v>
      </c>
      <c r="I572" s="3" t="s">
        <v>39</v>
      </c>
      <c r="J572" s="5">
        <v>28463.8609852708</v>
      </c>
      <c r="K572" s="3">
        <v>200</v>
      </c>
      <c r="L572" s="3" t="s">
        <v>31</v>
      </c>
      <c r="M572" s="4">
        <v>44110</v>
      </c>
      <c r="N572" s="3" t="s">
        <v>52</v>
      </c>
      <c r="O572" s="3" t="s">
        <v>33</v>
      </c>
      <c r="P572" s="3" t="str">
        <f>IF(Table1[[#This Row],[Billing Amount]]&lt;5000,"Low",IF(Table1[[#This Row],[Billing Amount]]&lt;=15000,"Medium","High"))</f>
        <v>High</v>
      </c>
      <c r="Q572" s="3" t="str">
        <f>IF(Table1[[#This Row],[Discharge Date]]="Yes","Discharged","Under Treatment")</f>
        <v>Under Treatment</v>
      </c>
      <c r="R572" s="3" t="str">
        <f>IF(Table1[[#This Row],[Test Results]]&gt;120,"High Risk","Normal")</f>
        <v>High Risk</v>
      </c>
      <c r="S572" s="3" t="str">
        <f>IF(Table1[[#This Row],[Age]]&lt;=18,"0-18",IF(Table1[[#This Row],[Age]]&lt;=35,"19-35",IF(Table1[[#This Row],[Age]]&lt;=50,"36-50",IF(Table1[[#This Row],[Age]]&lt;=65,"51-65","65+"))))</f>
        <v>65+</v>
      </c>
    </row>
    <row r="573" spans="1:19" x14ac:dyDescent="0.3">
      <c r="A573" s="3" t="s">
        <v>1760</v>
      </c>
      <c r="B573" s="3">
        <v>44</v>
      </c>
      <c r="C573" s="3" t="s">
        <v>16</v>
      </c>
      <c r="D573" s="3" t="s">
        <v>103</v>
      </c>
      <c r="E573" s="3" t="s">
        <v>18</v>
      </c>
      <c r="F573" s="4">
        <v>43714</v>
      </c>
      <c r="G573" s="3" t="s">
        <v>1761</v>
      </c>
      <c r="H573" s="3" t="s">
        <v>1762</v>
      </c>
      <c r="I573" s="3" t="s">
        <v>57</v>
      </c>
      <c r="J573" s="5">
        <v>5268.69045746545</v>
      </c>
      <c r="K573" s="3">
        <v>142</v>
      </c>
      <c r="L573" s="3" t="s">
        <v>22</v>
      </c>
      <c r="M573" s="4">
        <v>43715</v>
      </c>
      <c r="N573" s="3" t="s">
        <v>32</v>
      </c>
      <c r="O573" s="3" t="s">
        <v>33</v>
      </c>
      <c r="P573" s="3" t="str">
        <f>IF(Table1[[#This Row],[Billing Amount]]&lt;5000,"Low",IF(Table1[[#This Row],[Billing Amount]]&lt;=15000,"Medium","High"))</f>
        <v>Medium</v>
      </c>
      <c r="Q573" s="3" t="str">
        <f>IF(Table1[[#This Row],[Discharge Date]]="Yes","Discharged","Under Treatment")</f>
        <v>Under Treatment</v>
      </c>
      <c r="R573" s="3" t="str">
        <f>IF(Table1[[#This Row],[Test Results]]&gt;120,"High Risk","Normal")</f>
        <v>High Risk</v>
      </c>
      <c r="S573" s="3" t="str">
        <f>IF(Table1[[#This Row],[Age]]&lt;=18,"0-18",IF(Table1[[#This Row],[Age]]&lt;=35,"19-35",IF(Table1[[#This Row],[Age]]&lt;=50,"36-50",IF(Table1[[#This Row],[Age]]&lt;=65,"51-65","65+"))))</f>
        <v>36-50</v>
      </c>
    </row>
    <row r="574" spans="1:19" x14ac:dyDescent="0.3">
      <c r="A574" s="3" t="s">
        <v>1763</v>
      </c>
      <c r="B574" s="3">
        <v>23</v>
      </c>
      <c r="C574" s="3" t="s">
        <v>16</v>
      </c>
      <c r="D574" s="3" t="s">
        <v>122</v>
      </c>
      <c r="E574" s="3" t="s">
        <v>27</v>
      </c>
      <c r="F574" s="4">
        <v>43791</v>
      </c>
      <c r="G574" s="3" t="s">
        <v>1764</v>
      </c>
      <c r="H574" s="3" t="s">
        <v>1765</v>
      </c>
      <c r="I574" s="3" t="s">
        <v>65</v>
      </c>
      <c r="J574" s="5">
        <v>24011.702249255701</v>
      </c>
      <c r="K574" s="3">
        <v>442</v>
      </c>
      <c r="L574" s="3" t="s">
        <v>31</v>
      </c>
      <c r="M574" s="4">
        <v>43821</v>
      </c>
      <c r="N574" s="3" t="s">
        <v>23</v>
      </c>
      <c r="O574" s="3" t="s">
        <v>33</v>
      </c>
      <c r="P574" s="3" t="str">
        <f>IF(Table1[[#This Row],[Billing Amount]]&lt;5000,"Low",IF(Table1[[#This Row],[Billing Amount]]&lt;=15000,"Medium","High"))</f>
        <v>High</v>
      </c>
      <c r="Q574" s="3" t="str">
        <f>IF(Table1[[#This Row],[Discharge Date]]="Yes","Discharged","Under Treatment")</f>
        <v>Under Treatment</v>
      </c>
      <c r="R574" s="3" t="str">
        <f>IF(Table1[[#This Row],[Test Results]]&gt;120,"High Risk","Normal")</f>
        <v>High Risk</v>
      </c>
      <c r="S574" s="3" t="str">
        <f>IF(Table1[[#This Row],[Age]]&lt;=18,"0-18",IF(Table1[[#This Row],[Age]]&lt;=35,"19-35",IF(Table1[[#This Row],[Age]]&lt;=50,"36-50",IF(Table1[[#This Row],[Age]]&lt;=65,"51-65","65+"))))</f>
        <v>19-35</v>
      </c>
    </row>
    <row r="575" spans="1:19" x14ac:dyDescent="0.3">
      <c r="A575" s="3" t="s">
        <v>1766</v>
      </c>
      <c r="B575" s="3">
        <v>45</v>
      </c>
      <c r="C575" s="3" t="s">
        <v>35</v>
      </c>
      <c r="D575" s="3" t="s">
        <v>17</v>
      </c>
      <c r="E575" s="3" t="s">
        <v>18</v>
      </c>
      <c r="F575" s="4">
        <v>44034</v>
      </c>
      <c r="G575" s="3" t="s">
        <v>1767</v>
      </c>
      <c r="H575" s="3" t="s">
        <v>1768</v>
      </c>
      <c r="I575" s="3" t="s">
        <v>30</v>
      </c>
      <c r="J575" s="5">
        <v>18467.079449113498</v>
      </c>
      <c r="K575" s="3">
        <v>177</v>
      </c>
      <c r="L575" s="3" t="s">
        <v>46</v>
      </c>
      <c r="M575" s="4">
        <v>44036</v>
      </c>
      <c r="N575" s="3" t="s">
        <v>52</v>
      </c>
      <c r="O575" s="3" t="s">
        <v>47</v>
      </c>
      <c r="P575" s="3" t="str">
        <f>IF(Table1[[#This Row],[Billing Amount]]&lt;5000,"Low",IF(Table1[[#This Row],[Billing Amount]]&lt;=15000,"Medium","High"))</f>
        <v>High</v>
      </c>
      <c r="Q575" s="3" t="str">
        <f>IF(Table1[[#This Row],[Discharge Date]]="Yes","Discharged","Under Treatment")</f>
        <v>Under Treatment</v>
      </c>
      <c r="R575" s="3" t="str">
        <f>IF(Table1[[#This Row],[Test Results]]&gt;120,"High Risk","Normal")</f>
        <v>High Risk</v>
      </c>
      <c r="S575" s="3" t="str">
        <f>IF(Table1[[#This Row],[Age]]&lt;=18,"0-18",IF(Table1[[#This Row],[Age]]&lt;=35,"19-35",IF(Table1[[#This Row],[Age]]&lt;=50,"36-50",IF(Table1[[#This Row],[Age]]&lt;=65,"51-65","65+"))))</f>
        <v>36-50</v>
      </c>
    </row>
    <row r="576" spans="1:19" x14ac:dyDescent="0.3">
      <c r="A576" s="3" t="s">
        <v>1769</v>
      </c>
      <c r="B576" s="3">
        <v>58</v>
      </c>
      <c r="C576" s="3" t="s">
        <v>16</v>
      </c>
      <c r="D576" s="3" t="s">
        <v>103</v>
      </c>
      <c r="E576" s="3" t="s">
        <v>18</v>
      </c>
      <c r="F576" s="4">
        <v>44621</v>
      </c>
      <c r="G576" s="3" t="s">
        <v>1770</v>
      </c>
      <c r="H576" s="3" t="s">
        <v>1771</v>
      </c>
      <c r="I576" s="3" t="s">
        <v>39</v>
      </c>
      <c r="J576" s="5">
        <v>3782.7414157908502</v>
      </c>
      <c r="K576" s="3">
        <v>134</v>
      </c>
      <c r="L576" s="3" t="s">
        <v>22</v>
      </c>
      <c r="M576" s="4">
        <v>44639</v>
      </c>
      <c r="N576" s="3" t="s">
        <v>23</v>
      </c>
      <c r="O576" s="3" t="s">
        <v>47</v>
      </c>
      <c r="P576" s="3" t="str">
        <f>IF(Table1[[#This Row],[Billing Amount]]&lt;5000,"Low",IF(Table1[[#This Row],[Billing Amount]]&lt;=15000,"Medium","High"))</f>
        <v>Low</v>
      </c>
      <c r="Q576" s="3" t="str">
        <f>IF(Table1[[#This Row],[Discharge Date]]="Yes","Discharged","Under Treatment")</f>
        <v>Under Treatment</v>
      </c>
      <c r="R576" s="3" t="str">
        <f>IF(Table1[[#This Row],[Test Results]]&gt;120,"High Risk","Normal")</f>
        <v>High Risk</v>
      </c>
      <c r="S576" s="3" t="str">
        <f>IF(Table1[[#This Row],[Age]]&lt;=18,"0-18",IF(Table1[[#This Row],[Age]]&lt;=35,"19-35",IF(Table1[[#This Row],[Age]]&lt;=50,"36-50",IF(Table1[[#This Row],[Age]]&lt;=65,"51-65","65+"))))</f>
        <v>51-65</v>
      </c>
    </row>
    <row r="577" spans="1:19" x14ac:dyDescent="0.3">
      <c r="A577" s="3" t="s">
        <v>1772</v>
      </c>
      <c r="B577" s="3">
        <v>34</v>
      </c>
      <c r="C577" s="3" t="s">
        <v>16</v>
      </c>
      <c r="D577" s="3" t="s">
        <v>17</v>
      </c>
      <c r="E577" s="3" t="s">
        <v>43</v>
      </c>
      <c r="F577" s="4">
        <v>44986</v>
      </c>
      <c r="G577" s="3" t="s">
        <v>1773</v>
      </c>
      <c r="H577" s="3" t="s">
        <v>1774</v>
      </c>
      <c r="I577" s="3" t="s">
        <v>39</v>
      </c>
      <c r="J577" s="5">
        <v>11921.6595106981</v>
      </c>
      <c r="K577" s="3">
        <v>355</v>
      </c>
      <c r="L577" s="3" t="s">
        <v>22</v>
      </c>
      <c r="M577" s="4">
        <v>45006</v>
      </c>
      <c r="N577" s="3" t="s">
        <v>32</v>
      </c>
      <c r="O577" s="3" t="s">
        <v>33</v>
      </c>
      <c r="P577" s="3" t="str">
        <f>IF(Table1[[#This Row],[Billing Amount]]&lt;5000,"Low",IF(Table1[[#This Row],[Billing Amount]]&lt;=15000,"Medium","High"))</f>
        <v>Medium</v>
      </c>
      <c r="Q577" s="3" t="str">
        <f>IF(Table1[[#This Row],[Discharge Date]]="Yes","Discharged","Under Treatment")</f>
        <v>Under Treatment</v>
      </c>
      <c r="R577" s="3" t="str">
        <f>IF(Table1[[#This Row],[Test Results]]&gt;120,"High Risk","Normal")</f>
        <v>High Risk</v>
      </c>
      <c r="S577" s="3" t="str">
        <f>IF(Table1[[#This Row],[Age]]&lt;=18,"0-18",IF(Table1[[#This Row],[Age]]&lt;=35,"19-35",IF(Table1[[#This Row],[Age]]&lt;=50,"36-50",IF(Table1[[#This Row],[Age]]&lt;=65,"51-65","65+"))))</f>
        <v>19-35</v>
      </c>
    </row>
    <row r="578" spans="1:19" x14ac:dyDescent="0.3">
      <c r="A578" s="3" t="s">
        <v>1775</v>
      </c>
      <c r="B578" s="3">
        <v>54</v>
      </c>
      <c r="C578" s="3" t="s">
        <v>35</v>
      </c>
      <c r="D578" s="3" t="s">
        <v>103</v>
      </c>
      <c r="E578" s="3" t="s">
        <v>27</v>
      </c>
      <c r="F578" s="4">
        <v>44308</v>
      </c>
      <c r="G578" s="3" t="s">
        <v>1776</v>
      </c>
      <c r="H578" s="3" t="s">
        <v>1777</v>
      </c>
      <c r="I578" s="3" t="s">
        <v>65</v>
      </c>
      <c r="J578" s="5">
        <v>16725.979586496898</v>
      </c>
      <c r="K578" s="3">
        <v>361</v>
      </c>
      <c r="L578" s="3" t="s">
        <v>22</v>
      </c>
      <c r="M578" s="4">
        <v>44327</v>
      </c>
      <c r="N578" s="3" t="s">
        <v>79</v>
      </c>
      <c r="O578" s="3" t="s">
        <v>47</v>
      </c>
      <c r="P578" s="3" t="str">
        <f>IF(Table1[[#This Row],[Billing Amount]]&lt;5000,"Low",IF(Table1[[#This Row],[Billing Amount]]&lt;=15000,"Medium","High"))</f>
        <v>High</v>
      </c>
      <c r="Q578" s="3" t="str">
        <f>IF(Table1[[#This Row],[Discharge Date]]="Yes","Discharged","Under Treatment")</f>
        <v>Under Treatment</v>
      </c>
      <c r="R578" s="3" t="str">
        <f>IF(Table1[[#This Row],[Test Results]]&gt;120,"High Risk","Normal")</f>
        <v>High Risk</v>
      </c>
      <c r="S578" s="3" t="str">
        <f>IF(Table1[[#This Row],[Age]]&lt;=18,"0-18",IF(Table1[[#This Row],[Age]]&lt;=35,"19-35",IF(Table1[[#This Row],[Age]]&lt;=50,"36-50",IF(Table1[[#This Row],[Age]]&lt;=65,"51-65","65+"))))</f>
        <v>51-65</v>
      </c>
    </row>
    <row r="579" spans="1:19" x14ac:dyDescent="0.3">
      <c r="A579" s="3" t="s">
        <v>1778</v>
      </c>
      <c r="B579" s="3">
        <v>29</v>
      </c>
      <c r="C579" s="3" t="s">
        <v>35</v>
      </c>
      <c r="D579" s="3" t="s">
        <v>26</v>
      </c>
      <c r="E579" s="3" t="s">
        <v>27</v>
      </c>
      <c r="F579" s="4">
        <v>44097</v>
      </c>
      <c r="G579" s="3" t="s">
        <v>1779</v>
      </c>
      <c r="H579" s="3" t="s">
        <v>1780</v>
      </c>
      <c r="I579" s="3" t="s">
        <v>65</v>
      </c>
      <c r="J579" s="5">
        <v>39700.824123397702</v>
      </c>
      <c r="K579" s="3">
        <v>421</v>
      </c>
      <c r="L579" s="3" t="s">
        <v>22</v>
      </c>
      <c r="M579" s="4">
        <v>44099</v>
      </c>
      <c r="N579" s="3" t="s">
        <v>23</v>
      </c>
      <c r="O579" s="3" t="s">
        <v>33</v>
      </c>
      <c r="P579" s="3" t="str">
        <f>IF(Table1[[#This Row],[Billing Amount]]&lt;5000,"Low",IF(Table1[[#This Row],[Billing Amount]]&lt;=15000,"Medium","High"))</f>
        <v>High</v>
      </c>
      <c r="Q579" s="3" t="str">
        <f>IF(Table1[[#This Row],[Discharge Date]]="Yes","Discharged","Under Treatment")</f>
        <v>Under Treatment</v>
      </c>
      <c r="R579" s="3" t="str">
        <f>IF(Table1[[#This Row],[Test Results]]&gt;120,"High Risk","Normal")</f>
        <v>High Risk</v>
      </c>
      <c r="S579" s="3" t="str">
        <f>IF(Table1[[#This Row],[Age]]&lt;=18,"0-18",IF(Table1[[#This Row],[Age]]&lt;=35,"19-35",IF(Table1[[#This Row],[Age]]&lt;=50,"36-50",IF(Table1[[#This Row],[Age]]&lt;=65,"51-65","65+"))))</f>
        <v>19-35</v>
      </c>
    </row>
    <row r="580" spans="1:19" x14ac:dyDescent="0.3">
      <c r="A580" s="3" t="s">
        <v>1781</v>
      </c>
      <c r="B580" s="3">
        <v>54</v>
      </c>
      <c r="C580" s="3" t="s">
        <v>35</v>
      </c>
      <c r="D580" s="3" t="s">
        <v>26</v>
      </c>
      <c r="E580" s="3" t="s">
        <v>18</v>
      </c>
      <c r="F580" s="4">
        <v>44934</v>
      </c>
      <c r="G580" s="3" t="s">
        <v>1782</v>
      </c>
      <c r="H580" s="3" t="s">
        <v>1783</v>
      </c>
      <c r="I580" s="3" t="s">
        <v>30</v>
      </c>
      <c r="J580" s="5">
        <v>2568.0119666809801</v>
      </c>
      <c r="K580" s="3">
        <v>136</v>
      </c>
      <c r="L580" s="3" t="s">
        <v>31</v>
      </c>
      <c r="M580" s="4">
        <v>44945</v>
      </c>
      <c r="N580" s="3" t="s">
        <v>79</v>
      </c>
      <c r="O580" s="3" t="s">
        <v>47</v>
      </c>
      <c r="P580" s="3" t="str">
        <f>IF(Table1[[#This Row],[Billing Amount]]&lt;5000,"Low",IF(Table1[[#This Row],[Billing Amount]]&lt;=15000,"Medium","High"))</f>
        <v>Low</v>
      </c>
      <c r="Q580" s="3" t="str">
        <f>IF(Table1[[#This Row],[Discharge Date]]="Yes","Discharged","Under Treatment")</f>
        <v>Under Treatment</v>
      </c>
      <c r="R580" s="3" t="str">
        <f>IF(Table1[[#This Row],[Test Results]]&gt;120,"High Risk","Normal")</f>
        <v>High Risk</v>
      </c>
      <c r="S580" s="3" t="str">
        <f>IF(Table1[[#This Row],[Age]]&lt;=18,"0-18",IF(Table1[[#This Row],[Age]]&lt;=35,"19-35",IF(Table1[[#This Row],[Age]]&lt;=50,"36-50",IF(Table1[[#This Row],[Age]]&lt;=65,"51-65","65+"))))</f>
        <v>51-65</v>
      </c>
    </row>
    <row r="581" spans="1:19" x14ac:dyDescent="0.3">
      <c r="A581" s="3" t="s">
        <v>1784</v>
      </c>
      <c r="B581" s="3">
        <v>46</v>
      </c>
      <c r="C581" s="3" t="s">
        <v>16</v>
      </c>
      <c r="D581" s="3" t="s">
        <v>59</v>
      </c>
      <c r="E581" s="3" t="s">
        <v>54</v>
      </c>
      <c r="F581" s="4">
        <v>44790</v>
      </c>
      <c r="G581" s="3" t="s">
        <v>1785</v>
      </c>
      <c r="H581" s="3" t="s">
        <v>1786</v>
      </c>
      <c r="I581" s="3" t="s">
        <v>30</v>
      </c>
      <c r="J581" s="5">
        <v>15242.387178999201</v>
      </c>
      <c r="K581" s="3">
        <v>203</v>
      </c>
      <c r="L581" s="3" t="s">
        <v>46</v>
      </c>
      <c r="M581" s="4">
        <v>44812</v>
      </c>
      <c r="N581" s="3" t="s">
        <v>23</v>
      </c>
      <c r="O581" s="3" t="s">
        <v>47</v>
      </c>
      <c r="P581" s="3" t="str">
        <f>IF(Table1[[#This Row],[Billing Amount]]&lt;5000,"Low",IF(Table1[[#This Row],[Billing Amount]]&lt;=15000,"Medium","High"))</f>
        <v>High</v>
      </c>
      <c r="Q581" s="3" t="str">
        <f>IF(Table1[[#This Row],[Discharge Date]]="Yes","Discharged","Under Treatment")</f>
        <v>Under Treatment</v>
      </c>
      <c r="R581" s="3" t="str">
        <f>IF(Table1[[#This Row],[Test Results]]&gt;120,"High Risk","Normal")</f>
        <v>High Risk</v>
      </c>
      <c r="S581" s="3" t="str">
        <f>IF(Table1[[#This Row],[Age]]&lt;=18,"0-18",IF(Table1[[#This Row],[Age]]&lt;=35,"19-35",IF(Table1[[#This Row],[Age]]&lt;=50,"36-50",IF(Table1[[#This Row],[Age]]&lt;=65,"51-65","65+"))))</f>
        <v>36-50</v>
      </c>
    </row>
    <row r="582" spans="1:19" x14ac:dyDescent="0.3">
      <c r="A582" s="3" t="s">
        <v>1787</v>
      </c>
      <c r="B582" s="3">
        <v>35</v>
      </c>
      <c r="C582" s="3" t="s">
        <v>35</v>
      </c>
      <c r="D582" s="3" t="s">
        <v>49</v>
      </c>
      <c r="E582" s="3" t="s">
        <v>76</v>
      </c>
      <c r="F582" s="4">
        <v>44362</v>
      </c>
      <c r="G582" s="3" t="s">
        <v>1788</v>
      </c>
      <c r="H582" s="3" t="s">
        <v>1789</v>
      </c>
      <c r="I582" s="3" t="s">
        <v>57</v>
      </c>
      <c r="J582" s="5">
        <v>31054.046064325499</v>
      </c>
      <c r="K582" s="3">
        <v>114</v>
      </c>
      <c r="L582" s="3" t="s">
        <v>22</v>
      </c>
      <c r="M582" s="4">
        <v>44372</v>
      </c>
      <c r="N582" s="3" t="s">
        <v>79</v>
      </c>
      <c r="O582" s="3" t="s">
        <v>24</v>
      </c>
      <c r="P582" s="3" t="str">
        <f>IF(Table1[[#This Row],[Billing Amount]]&lt;5000,"Low",IF(Table1[[#This Row],[Billing Amount]]&lt;=15000,"Medium","High"))</f>
        <v>High</v>
      </c>
      <c r="Q582" s="3" t="str">
        <f>IF(Table1[[#This Row],[Discharge Date]]="Yes","Discharged","Under Treatment")</f>
        <v>Under Treatment</v>
      </c>
      <c r="R582" s="3" t="str">
        <f>IF(Table1[[#This Row],[Test Results]]&gt;120,"High Risk","Normal")</f>
        <v>High Risk</v>
      </c>
      <c r="S582" s="3" t="str">
        <f>IF(Table1[[#This Row],[Age]]&lt;=18,"0-18",IF(Table1[[#This Row],[Age]]&lt;=35,"19-35",IF(Table1[[#This Row],[Age]]&lt;=50,"36-50",IF(Table1[[#This Row],[Age]]&lt;=65,"51-65","65+"))))</f>
        <v>19-35</v>
      </c>
    </row>
    <row r="583" spans="1:19" x14ac:dyDescent="0.3">
      <c r="A583" s="3" t="s">
        <v>1790</v>
      </c>
      <c r="B583" s="3">
        <v>58</v>
      </c>
      <c r="C583" s="3" t="s">
        <v>35</v>
      </c>
      <c r="D583" s="3" t="s">
        <v>49</v>
      </c>
      <c r="E583" s="3" t="s">
        <v>27</v>
      </c>
      <c r="F583" s="4">
        <v>45352</v>
      </c>
      <c r="G583" s="3" t="s">
        <v>1791</v>
      </c>
      <c r="H583" s="3" t="s">
        <v>1792</v>
      </c>
      <c r="I583" s="3" t="s">
        <v>21</v>
      </c>
      <c r="J583" s="5">
        <v>49118.591261523798</v>
      </c>
      <c r="K583" s="3">
        <v>114</v>
      </c>
      <c r="L583" s="3" t="s">
        <v>22</v>
      </c>
      <c r="M583" s="4">
        <v>45371</v>
      </c>
      <c r="N583" s="3" t="s">
        <v>79</v>
      </c>
      <c r="O583" s="3" t="s">
        <v>33</v>
      </c>
      <c r="P583" s="3" t="str">
        <f>IF(Table1[[#This Row],[Billing Amount]]&lt;5000,"Low",IF(Table1[[#This Row],[Billing Amount]]&lt;=15000,"Medium","High"))</f>
        <v>High</v>
      </c>
      <c r="Q583" s="3" t="str">
        <f>IF(Table1[[#This Row],[Discharge Date]]="Yes","Discharged","Under Treatment")</f>
        <v>Under Treatment</v>
      </c>
      <c r="R583" s="3" t="str">
        <f>IF(Table1[[#This Row],[Test Results]]&gt;120,"High Risk","Normal")</f>
        <v>High Risk</v>
      </c>
      <c r="S583" s="3" t="str">
        <f>IF(Table1[[#This Row],[Age]]&lt;=18,"0-18",IF(Table1[[#This Row],[Age]]&lt;=35,"19-35",IF(Table1[[#This Row],[Age]]&lt;=50,"36-50",IF(Table1[[#This Row],[Age]]&lt;=65,"51-65","65+"))))</f>
        <v>51-65</v>
      </c>
    </row>
    <row r="584" spans="1:19" x14ac:dyDescent="0.3">
      <c r="A584" s="3" t="s">
        <v>1793</v>
      </c>
      <c r="B584" s="3">
        <v>36</v>
      </c>
      <c r="C584" s="3" t="s">
        <v>35</v>
      </c>
      <c r="D584" s="3" t="s">
        <v>49</v>
      </c>
      <c r="E584" s="3" t="s">
        <v>76</v>
      </c>
      <c r="F584" s="4">
        <v>45271</v>
      </c>
      <c r="G584" s="3" t="s">
        <v>1794</v>
      </c>
      <c r="H584" s="3" t="s">
        <v>1462</v>
      </c>
      <c r="I584" s="3" t="s">
        <v>30</v>
      </c>
      <c r="J584" s="5">
        <v>3235.5811559615499</v>
      </c>
      <c r="K584" s="3">
        <v>146</v>
      </c>
      <c r="L584" s="3" t="s">
        <v>46</v>
      </c>
      <c r="M584" s="4">
        <v>45299</v>
      </c>
      <c r="N584" s="3" t="s">
        <v>40</v>
      </c>
      <c r="O584" s="3" t="s">
        <v>24</v>
      </c>
      <c r="P584" s="3" t="str">
        <f>IF(Table1[[#This Row],[Billing Amount]]&lt;5000,"Low",IF(Table1[[#This Row],[Billing Amount]]&lt;=15000,"Medium","High"))</f>
        <v>Low</v>
      </c>
      <c r="Q584" s="3" t="str">
        <f>IF(Table1[[#This Row],[Discharge Date]]="Yes","Discharged","Under Treatment")</f>
        <v>Under Treatment</v>
      </c>
      <c r="R584" s="3" t="str">
        <f>IF(Table1[[#This Row],[Test Results]]&gt;120,"High Risk","Normal")</f>
        <v>High Risk</v>
      </c>
      <c r="S584" s="3" t="str">
        <f>IF(Table1[[#This Row],[Age]]&lt;=18,"0-18",IF(Table1[[#This Row],[Age]]&lt;=35,"19-35",IF(Table1[[#This Row],[Age]]&lt;=50,"36-50",IF(Table1[[#This Row],[Age]]&lt;=65,"51-65","65+"))))</f>
        <v>36-50</v>
      </c>
    </row>
    <row r="585" spans="1:19" x14ac:dyDescent="0.3">
      <c r="A585" s="3" t="s">
        <v>1795</v>
      </c>
      <c r="B585" s="3">
        <v>80</v>
      </c>
      <c r="C585" s="3" t="s">
        <v>35</v>
      </c>
      <c r="D585" s="3" t="s">
        <v>103</v>
      </c>
      <c r="E585" s="3" t="s">
        <v>93</v>
      </c>
      <c r="F585" s="4">
        <v>44685</v>
      </c>
      <c r="G585" s="3" t="s">
        <v>1796</v>
      </c>
      <c r="H585" s="3" t="s">
        <v>1797</v>
      </c>
      <c r="I585" s="3" t="s">
        <v>30</v>
      </c>
      <c r="J585" s="5">
        <v>26052.024164818798</v>
      </c>
      <c r="K585" s="3">
        <v>379</v>
      </c>
      <c r="L585" s="3" t="s">
        <v>46</v>
      </c>
      <c r="M585" s="4">
        <v>44686</v>
      </c>
      <c r="N585" s="3" t="s">
        <v>40</v>
      </c>
      <c r="O585" s="3" t="s">
        <v>47</v>
      </c>
      <c r="P585" s="3" t="str">
        <f>IF(Table1[[#This Row],[Billing Amount]]&lt;5000,"Low",IF(Table1[[#This Row],[Billing Amount]]&lt;=15000,"Medium","High"))</f>
        <v>High</v>
      </c>
      <c r="Q585" s="3" t="str">
        <f>IF(Table1[[#This Row],[Discharge Date]]="Yes","Discharged","Under Treatment")</f>
        <v>Under Treatment</v>
      </c>
      <c r="R585" s="3" t="str">
        <f>IF(Table1[[#This Row],[Test Results]]&gt;120,"High Risk","Normal")</f>
        <v>High Risk</v>
      </c>
      <c r="S585" s="3" t="str">
        <f>IF(Table1[[#This Row],[Age]]&lt;=18,"0-18",IF(Table1[[#This Row],[Age]]&lt;=35,"19-35",IF(Table1[[#This Row],[Age]]&lt;=50,"36-50",IF(Table1[[#This Row],[Age]]&lt;=65,"51-65","65+"))))</f>
        <v>65+</v>
      </c>
    </row>
    <row r="586" spans="1:19" x14ac:dyDescent="0.3">
      <c r="A586" s="3" t="s">
        <v>1798</v>
      </c>
      <c r="B586" s="3">
        <v>47</v>
      </c>
      <c r="C586" s="3" t="s">
        <v>35</v>
      </c>
      <c r="D586" s="3" t="s">
        <v>103</v>
      </c>
      <c r="E586" s="3" t="s">
        <v>76</v>
      </c>
      <c r="F586" s="4">
        <v>44460</v>
      </c>
      <c r="G586" s="3" t="s">
        <v>1799</v>
      </c>
      <c r="H586" s="3" t="s">
        <v>1800</v>
      </c>
      <c r="I586" s="3" t="s">
        <v>39</v>
      </c>
      <c r="J586" s="5">
        <v>10725.8254626362</v>
      </c>
      <c r="K586" s="3">
        <v>355</v>
      </c>
      <c r="L586" s="3" t="s">
        <v>46</v>
      </c>
      <c r="M586" s="4">
        <v>44479</v>
      </c>
      <c r="N586" s="3" t="s">
        <v>32</v>
      </c>
      <c r="O586" s="3" t="s">
        <v>47</v>
      </c>
      <c r="P586" s="3" t="str">
        <f>IF(Table1[[#This Row],[Billing Amount]]&lt;5000,"Low",IF(Table1[[#This Row],[Billing Amount]]&lt;=15000,"Medium","High"))</f>
        <v>Medium</v>
      </c>
      <c r="Q586" s="3" t="str">
        <f>IF(Table1[[#This Row],[Discharge Date]]="Yes","Discharged","Under Treatment")</f>
        <v>Under Treatment</v>
      </c>
      <c r="R586" s="3" t="str">
        <f>IF(Table1[[#This Row],[Test Results]]&gt;120,"High Risk","Normal")</f>
        <v>High Risk</v>
      </c>
      <c r="S586" s="3" t="str">
        <f>IF(Table1[[#This Row],[Age]]&lt;=18,"0-18",IF(Table1[[#This Row],[Age]]&lt;=35,"19-35",IF(Table1[[#This Row],[Age]]&lt;=50,"36-50",IF(Table1[[#This Row],[Age]]&lt;=65,"51-65","65+"))))</f>
        <v>36-50</v>
      </c>
    </row>
    <row r="587" spans="1:19" x14ac:dyDescent="0.3">
      <c r="A587" s="3" t="s">
        <v>1801</v>
      </c>
      <c r="B587" s="3">
        <v>49</v>
      </c>
      <c r="C587" s="3" t="s">
        <v>35</v>
      </c>
      <c r="D587" s="3" t="s">
        <v>17</v>
      </c>
      <c r="E587" s="3" t="s">
        <v>76</v>
      </c>
      <c r="F587" s="4">
        <v>43910</v>
      </c>
      <c r="G587" s="3" t="s">
        <v>1802</v>
      </c>
      <c r="H587" s="3" t="s">
        <v>1803</v>
      </c>
      <c r="I587" s="3" t="s">
        <v>57</v>
      </c>
      <c r="J587" s="5">
        <v>30038.275975375898</v>
      </c>
      <c r="K587" s="3">
        <v>424</v>
      </c>
      <c r="L587" s="3" t="s">
        <v>46</v>
      </c>
      <c r="M587" s="4">
        <v>43930</v>
      </c>
      <c r="N587" s="3" t="s">
        <v>32</v>
      </c>
      <c r="O587" s="3" t="s">
        <v>47</v>
      </c>
      <c r="P587" s="3" t="str">
        <f>IF(Table1[[#This Row],[Billing Amount]]&lt;5000,"Low",IF(Table1[[#This Row],[Billing Amount]]&lt;=15000,"Medium","High"))</f>
        <v>High</v>
      </c>
      <c r="Q587" s="3" t="str">
        <f>IF(Table1[[#This Row],[Discharge Date]]="Yes","Discharged","Under Treatment")</f>
        <v>Under Treatment</v>
      </c>
      <c r="R587" s="3" t="str">
        <f>IF(Table1[[#This Row],[Test Results]]&gt;120,"High Risk","Normal")</f>
        <v>High Risk</v>
      </c>
      <c r="S587" s="3" t="str">
        <f>IF(Table1[[#This Row],[Age]]&lt;=18,"0-18",IF(Table1[[#This Row],[Age]]&lt;=35,"19-35",IF(Table1[[#This Row],[Age]]&lt;=50,"36-50",IF(Table1[[#This Row],[Age]]&lt;=65,"51-65","65+"))))</f>
        <v>36-50</v>
      </c>
    </row>
    <row r="588" spans="1:19" x14ac:dyDescent="0.3">
      <c r="A588" s="3" t="s">
        <v>1804</v>
      </c>
      <c r="B588" s="3">
        <v>58</v>
      </c>
      <c r="C588" s="3" t="s">
        <v>16</v>
      </c>
      <c r="D588" s="3" t="s">
        <v>59</v>
      </c>
      <c r="E588" s="3" t="s">
        <v>54</v>
      </c>
      <c r="F588" s="4">
        <v>45380</v>
      </c>
      <c r="G588" s="3" t="s">
        <v>1805</v>
      </c>
      <c r="H588" s="3" t="s">
        <v>1806</v>
      </c>
      <c r="I588" s="3" t="s">
        <v>57</v>
      </c>
      <c r="J588" s="5">
        <v>49446.458179355599</v>
      </c>
      <c r="K588" s="3">
        <v>108</v>
      </c>
      <c r="L588" s="3" t="s">
        <v>31</v>
      </c>
      <c r="M588" s="4">
        <v>45398</v>
      </c>
      <c r="N588" s="3" t="s">
        <v>79</v>
      </c>
      <c r="O588" s="3" t="s">
        <v>47</v>
      </c>
      <c r="P588" s="3" t="str">
        <f>IF(Table1[[#This Row],[Billing Amount]]&lt;5000,"Low",IF(Table1[[#This Row],[Billing Amount]]&lt;=15000,"Medium","High"))</f>
        <v>High</v>
      </c>
      <c r="Q588" s="3" t="str">
        <f>IF(Table1[[#This Row],[Discharge Date]]="Yes","Discharged","Under Treatment")</f>
        <v>Under Treatment</v>
      </c>
      <c r="R588" s="3" t="str">
        <f>IF(Table1[[#This Row],[Test Results]]&gt;120,"High Risk","Normal")</f>
        <v>High Risk</v>
      </c>
      <c r="S588" s="3" t="str">
        <f>IF(Table1[[#This Row],[Age]]&lt;=18,"0-18",IF(Table1[[#This Row],[Age]]&lt;=35,"19-35",IF(Table1[[#This Row],[Age]]&lt;=50,"36-50",IF(Table1[[#This Row],[Age]]&lt;=65,"51-65","65+"))))</f>
        <v>51-65</v>
      </c>
    </row>
    <row r="589" spans="1:19" x14ac:dyDescent="0.3">
      <c r="A589" s="3" t="s">
        <v>1807</v>
      </c>
      <c r="B589" s="3">
        <v>44</v>
      </c>
      <c r="C589" s="3" t="s">
        <v>16</v>
      </c>
      <c r="D589" s="3" t="s">
        <v>36</v>
      </c>
      <c r="E589" s="3" t="s">
        <v>18</v>
      </c>
      <c r="F589" s="4">
        <v>44641</v>
      </c>
      <c r="G589" s="3" t="s">
        <v>1808</v>
      </c>
      <c r="H589" s="3" t="s">
        <v>1809</v>
      </c>
      <c r="I589" s="3" t="s">
        <v>21</v>
      </c>
      <c r="J589" s="5">
        <v>13928.2801338995</v>
      </c>
      <c r="K589" s="3">
        <v>113</v>
      </c>
      <c r="L589" s="3" t="s">
        <v>31</v>
      </c>
      <c r="M589" s="4">
        <v>44657</v>
      </c>
      <c r="N589" s="3" t="s">
        <v>52</v>
      </c>
      <c r="O589" s="3" t="s">
        <v>33</v>
      </c>
      <c r="P589" s="3" t="str">
        <f>IF(Table1[[#This Row],[Billing Amount]]&lt;5000,"Low",IF(Table1[[#This Row],[Billing Amount]]&lt;=15000,"Medium","High"))</f>
        <v>Medium</v>
      </c>
      <c r="Q589" s="3" t="str">
        <f>IF(Table1[[#This Row],[Discharge Date]]="Yes","Discharged","Under Treatment")</f>
        <v>Under Treatment</v>
      </c>
      <c r="R589" s="3" t="str">
        <f>IF(Table1[[#This Row],[Test Results]]&gt;120,"High Risk","Normal")</f>
        <v>High Risk</v>
      </c>
      <c r="S589" s="3" t="str">
        <f>IF(Table1[[#This Row],[Age]]&lt;=18,"0-18",IF(Table1[[#This Row],[Age]]&lt;=35,"19-35",IF(Table1[[#This Row],[Age]]&lt;=50,"36-50",IF(Table1[[#This Row],[Age]]&lt;=65,"51-65","65+"))))</f>
        <v>36-50</v>
      </c>
    </row>
    <row r="590" spans="1:19" x14ac:dyDescent="0.3">
      <c r="A590" s="3" t="s">
        <v>1810</v>
      </c>
      <c r="B590" s="3">
        <v>38</v>
      </c>
      <c r="C590" s="3" t="s">
        <v>16</v>
      </c>
      <c r="D590" s="3" t="s">
        <v>26</v>
      </c>
      <c r="E590" s="3" t="s">
        <v>43</v>
      </c>
      <c r="F590" s="4">
        <v>44035</v>
      </c>
      <c r="G590" s="3" t="s">
        <v>1453</v>
      </c>
      <c r="H590" s="3" t="s">
        <v>1811</v>
      </c>
      <c r="I590" s="3" t="s">
        <v>39</v>
      </c>
      <c r="J590" s="5">
        <v>2744.40891002426</v>
      </c>
      <c r="K590" s="3">
        <v>162</v>
      </c>
      <c r="L590" s="3" t="s">
        <v>31</v>
      </c>
      <c r="M590" s="4">
        <v>44052</v>
      </c>
      <c r="N590" s="3" t="s">
        <v>32</v>
      </c>
      <c r="O590" s="3" t="s">
        <v>47</v>
      </c>
      <c r="P590" s="3" t="str">
        <f>IF(Table1[[#This Row],[Billing Amount]]&lt;5000,"Low",IF(Table1[[#This Row],[Billing Amount]]&lt;=15000,"Medium","High"))</f>
        <v>Low</v>
      </c>
      <c r="Q590" s="3" t="str">
        <f>IF(Table1[[#This Row],[Discharge Date]]="Yes","Discharged","Under Treatment")</f>
        <v>Under Treatment</v>
      </c>
      <c r="R590" s="3" t="str">
        <f>IF(Table1[[#This Row],[Test Results]]&gt;120,"High Risk","Normal")</f>
        <v>High Risk</v>
      </c>
      <c r="S590" s="3" t="str">
        <f>IF(Table1[[#This Row],[Age]]&lt;=18,"0-18",IF(Table1[[#This Row],[Age]]&lt;=35,"19-35",IF(Table1[[#This Row],[Age]]&lt;=50,"36-50",IF(Table1[[#This Row],[Age]]&lt;=65,"51-65","65+"))))</f>
        <v>36-50</v>
      </c>
    </row>
    <row r="591" spans="1:19" x14ac:dyDescent="0.3">
      <c r="A591" s="3" t="s">
        <v>1812</v>
      </c>
      <c r="B591" s="3">
        <v>71</v>
      </c>
      <c r="C591" s="3" t="s">
        <v>16</v>
      </c>
      <c r="D591" s="3" t="s">
        <v>36</v>
      </c>
      <c r="E591" s="3" t="s">
        <v>93</v>
      </c>
      <c r="F591" s="4">
        <v>43905</v>
      </c>
      <c r="G591" s="3" t="s">
        <v>1813</v>
      </c>
      <c r="H591" s="3" t="s">
        <v>1814</v>
      </c>
      <c r="I591" s="3" t="s">
        <v>21</v>
      </c>
      <c r="J591" s="5">
        <v>35854.086422520901</v>
      </c>
      <c r="K591" s="3">
        <v>172</v>
      </c>
      <c r="L591" s="3" t="s">
        <v>22</v>
      </c>
      <c r="M591" s="4">
        <v>43919</v>
      </c>
      <c r="N591" s="3" t="s">
        <v>79</v>
      </c>
      <c r="O591" s="3" t="s">
        <v>47</v>
      </c>
      <c r="P591" s="3" t="str">
        <f>IF(Table1[[#This Row],[Billing Amount]]&lt;5000,"Low",IF(Table1[[#This Row],[Billing Amount]]&lt;=15000,"Medium","High"))</f>
        <v>High</v>
      </c>
      <c r="Q591" s="3" t="str">
        <f>IF(Table1[[#This Row],[Discharge Date]]="Yes","Discharged","Under Treatment")</f>
        <v>Under Treatment</v>
      </c>
      <c r="R591" s="3" t="str">
        <f>IF(Table1[[#This Row],[Test Results]]&gt;120,"High Risk","Normal")</f>
        <v>High Risk</v>
      </c>
      <c r="S591" s="3" t="str">
        <f>IF(Table1[[#This Row],[Age]]&lt;=18,"0-18",IF(Table1[[#This Row],[Age]]&lt;=35,"19-35",IF(Table1[[#This Row],[Age]]&lt;=50,"36-50",IF(Table1[[#This Row],[Age]]&lt;=65,"51-65","65+"))))</f>
        <v>65+</v>
      </c>
    </row>
    <row r="592" spans="1:19" x14ac:dyDescent="0.3">
      <c r="A592" s="3" t="s">
        <v>1815</v>
      </c>
      <c r="B592" s="3">
        <v>42</v>
      </c>
      <c r="C592" s="3" t="s">
        <v>16</v>
      </c>
      <c r="D592" s="3" t="s">
        <v>26</v>
      </c>
      <c r="E592" s="3" t="s">
        <v>43</v>
      </c>
      <c r="F592" s="4">
        <v>44326</v>
      </c>
      <c r="G592" s="3" t="s">
        <v>1816</v>
      </c>
      <c r="H592" s="3" t="s">
        <v>1817</v>
      </c>
      <c r="I592" s="3" t="s">
        <v>65</v>
      </c>
      <c r="J592" s="5">
        <v>2784.02053102635</v>
      </c>
      <c r="K592" s="3">
        <v>241</v>
      </c>
      <c r="L592" s="3" t="s">
        <v>22</v>
      </c>
      <c r="M592" s="4">
        <v>44332</v>
      </c>
      <c r="N592" s="3" t="s">
        <v>52</v>
      </c>
      <c r="O592" s="3" t="s">
        <v>47</v>
      </c>
      <c r="P592" s="3" t="str">
        <f>IF(Table1[[#This Row],[Billing Amount]]&lt;5000,"Low",IF(Table1[[#This Row],[Billing Amount]]&lt;=15000,"Medium","High"))</f>
        <v>Low</v>
      </c>
      <c r="Q592" s="3" t="str">
        <f>IF(Table1[[#This Row],[Discharge Date]]="Yes","Discharged","Under Treatment")</f>
        <v>Under Treatment</v>
      </c>
      <c r="R592" s="3" t="str">
        <f>IF(Table1[[#This Row],[Test Results]]&gt;120,"High Risk","Normal")</f>
        <v>High Risk</v>
      </c>
      <c r="S592" s="3" t="str">
        <f>IF(Table1[[#This Row],[Age]]&lt;=18,"0-18",IF(Table1[[#This Row],[Age]]&lt;=35,"19-35",IF(Table1[[#This Row],[Age]]&lt;=50,"36-50",IF(Table1[[#This Row],[Age]]&lt;=65,"51-65","65+"))))</f>
        <v>36-50</v>
      </c>
    </row>
    <row r="593" spans="1:19" x14ac:dyDescent="0.3">
      <c r="A593" s="3" t="s">
        <v>1818</v>
      </c>
      <c r="B593" s="3">
        <v>64</v>
      </c>
      <c r="C593" s="3" t="s">
        <v>35</v>
      </c>
      <c r="D593" s="3" t="s">
        <v>122</v>
      </c>
      <c r="E593" s="3" t="s">
        <v>76</v>
      </c>
      <c r="F593" s="4">
        <v>45120</v>
      </c>
      <c r="G593" s="3" t="s">
        <v>1819</v>
      </c>
      <c r="H593" s="3" t="s">
        <v>1820</v>
      </c>
      <c r="I593" s="3" t="s">
        <v>39</v>
      </c>
      <c r="J593" s="5">
        <v>4018.0168763199999</v>
      </c>
      <c r="K593" s="3">
        <v>415</v>
      </c>
      <c r="L593" s="3" t="s">
        <v>31</v>
      </c>
      <c r="M593" s="4">
        <v>45132</v>
      </c>
      <c r="N593" s="3" t="s">
        <v>32</v>
      </c>
      <c r="O593" s="3" t="s">
        <v>47</v>
      </c>
      <c r="P593" s="3" t="str">
        <f>IF(Table1[[#This Row],[Billing Amount]]&lt;5000,"Low",IF(Table1[[#This Row],[Billing Amount]]&lt;=15000,"Medium","High"))</f>
        <v>Low</v>
      </c>
      <c r="Q593" s="3" t="str">
        <f>IF(Table1[[#This Row],[Discharge Date]]="Yes","Discharged","Under Treatment")</f>
        <v>Under Treatment</v>
      </c>
      <c r="R593" s="3" t="str">
        <f>IF(Table1[[#This Row],[Test Results]]&gt;120,"High Risk","Normal")</f>
        <v>High Risk</v>
      </c>
      <c r="S593" s="3" t="str">
        <f>IF(Table1[[#This Row],[Age]]&lt;=18,"0-18",IF(Table1[[#This Row],[Age]]&lt;=35,"19-35",IF(Table1[[#This Row],[Age]]&lt;=50,"36-50",IF(Table1[[#This Row],[Age]]&lt;=65,"51-65","65+"))))</f>
        <v>51-65</v>
      </c>
    </row>
    <row r="594" spans="1:19" x14ac:dyDescent="0.3">
      <c r="A594" s="3" t="s">
        <v>1821</v>
      </c>
      <c r="B594" s="3">
        <v>57</v>
      </c>
      <c r="C594" s="3" t="s">
        <v>35</v>
      </c>
      <c r="D594" s="3" t="s">
        <v>59</v>
      </c>
      <c r="E594" s="3" t="s">
        <v>54</v>
      </c>
      <c r="F594" s="4">
        <v>45127</v>
      </c>
      <c r="G594" s="3" t="s">
        <v>1822</v>
      </c>
      <c r="H594" s="3" t="s">
        <v>1823</v>
      </c>
      <c r="I594" s="3" t="s">
        <v>39</v>
      </c>
      <c r="J594" s="5">
        <v>20508.588956594402</v>
      </c>
      <c r="K594" s="3">
        <v>261</v>
      </c>
      <c r="L594" s="3" t="s">
        <v>22</v>
      </c>
      <c r="M594" s="4">
        <v>45140</v>
      </c>
      <c r="N594" s="3" t="s">
        <v>32</v>
      </c>
      <c r="O594" s="3" t="s">
        <v>33</v>
      </c>
      <c r="P594" s="3" t="str">
        <f>IF(Table1[[#This Row],[Billing Amount]]&lt;5000,"Low",IF(Table1[[#This Row],[Billing Amount]]&lt;=15000,"Medium","High"))</f>
        <v>High</v>
      </c>
      <c r="Q594" s="3" t="str">
        <f>IF(Table1[[#This Row],[Discharge Date]]="Yes","Discharged","Under Treatment")</f>
        <v>Under Treatment</v>
      </c>
      <c r="R594" s="3" t="str">
        <f>IF(Table1[[#This Row],[Test Results]]&gt;120,"High Risk","Normal")</f>
        <v>High Risk</v>
      </c>
      <c r="S594" s="3" t="str">
        <f>IF(Table1[[#This Row],[Age]]&lt;=18,"0-18",IF(Table1[[#This Row],[Age]]&lt;=35,"19-35",IF(Table1[[#This Row],[Age]]&lt;=50,"36-50",IF(Table1[[#This Row],[Age]]&lt;=65,"51-65","65+"))))</f>
        <v>51-65</v>
      </c>
    </row>
    <row r="595" spans="1:19" x14ac:dyDescent="0.3">
      <c r="A595" s="3" t="s">
        <v>1824</v>
      </c>
      <c r="B595" s="3">
        <v>54</v>
      </c>
      <c r="C595" s="3" t="s">
        <v>16</v>
      </c>
      <c r="D595" s="3" t="s">
        <v>103</v>
      </c>
      <c r="E595" s="3" t="s">
        <v>43</v>
      </c>
      <c r="F595" s="4">
        <v>43875</v>
      </c>
      <c r="G595" s="3" t="s">
        <v>1825</v>
      </c>
      <c r="H595" s="3" t="s">
        <v>1826</v>
      </c>
      <c r="I595" s="3" t="s">
        <v>21</v>
      </c>
      <c r="J595" s="5">
        <v>25648.043763609399</v>
      </c>
      <c r="K595" s="3">
        <v>424</v>
      </c>
      <c r="L595" s="3" t="s">
        <v>22</v>
      </c>
      <c r="M595" s="4">
        <v>43891</v>
      </c>
      <c r="N595" s="3" t="s">
        <v>23</v>
      </c>
      <c r="O595" s="3" t="s">
        <v>24</v>
      </c>
      <c r="P595" s="3" t="str">
        <f>IF(Table1[[#This Row],[Billing Amount]]&lt;5000,"Low",IF(Table1[[#This Row],[Billing Amount]]&lt;=15000,"Medium","High"))</f>
        <v>High</v>
      </c>
      <c r="Q595" s="3" t="str">
        <f>IF(Table1[[#This Row],[Discharge Date]]="Yes","Discharged","Under Treatment")</f>
        <v>Under Treatment</v>
      </c>
      <c r="R595" s="3" t="str">
        <f>IF(Table1[[#This Row],[Test Results]]&gt;120,"High Risk","Normal")</f>
        <v>High Risk</v>
      </c>
      <c r="S595" s="3" t="str">
        <f>IF(Table1[[#This Row],[Age]]&lt;=18,"0-18",IF(Table1[[#This Row],[Age]]&lt;=35,"19-35",IF(Table1[[#This Row],[Age]]&lt;=50,"36-50",IF(Table1[[#This Row],[Age]]&lt;=65,"51-65","65+"))))</f>
        <v>51-65</v>
      </c>
    </row>
    <row r="596" spans="1:19" x14ac:dyDescent="0.3">
      <c r="A596" s="3" t="s">
        <v>1827</v>
      </c>
      <c r="B596" s="3">
        <v>44</v>
      </c>
      <c r="C596" s="3" t="s">
        <v>16</v>
      </c>
      <c r="D596" s="3" t="s">
        <v>17</v>
      </c>
      <c r="E596" s="3" t="s">
        <v>93</v>
      </c>
      <c r="F596" s="4">
        <v>45074</v>
      </c>
      <c r="G596" s="3" t="s">
        <v>1828</v>
      </c>
      <c r="H596" s="3" t="s">
        <v>1829</v>
      </c>
      <c r="I596" s="3" t="s">
        <v>21</v>
      </c>
      <c r="J596" s="5">
        <v>19691.420685517201</v>
      </c>
      <c r="K596" s="3">
        <v>264</v>
      </c>
      <c r="L596" s="3" t="s">
        <v>46</v>
      </c>
      <c r="M596" s="4">
        <v>45099</v>
      </c>
      <c r="N596" s="3" t="s">
        <v>40</v>
      </c>
      <c r="O596" s="3" t="s">
        <v>33</v>
      </c>
      <c r="P596" s="3" t="str">
        <f>IF(Table1[[#This Row],[Billing Amount]]&lt;5000,"Low",IF(Table1[[#This Row],[Billing Amount]]&lt;=15000,"Medium","High"))</f>
        <v>High</v>
      </c>
      <c r="Q596" s="3" t="str">
        <f>IF(Table1[[#This Row],[Discharge Date]]="Yes","Discharged","Under Treatment")</f>
        <v>Under Treatment</v>
      </c>
      <c r="R596" s="3" t="str">
        <f>IF(Table1[[#This Row],[Test Results]]&gt;120,"High Risk","Normal")</f>
        <v>High Risk</v>
      </c>
      <c r="S596" s="3" t="str">
        <f>IF(Table1[[#This Row],[Age]]&lt;=18,"0-18",IF(Table1[[#This Row],[Age]]&lt;=35,"19-35",IF(Table1[[#This Row],[Age]]&lt;=50,"36-50",IF(Table1[[#This Row],[Age]]&lt;=65,"51-65","65+"))))</f>
        <v>36-50</v>
      </c>
    </row>
    <row r="597" spans="1:19" x14ac:dyDescent="0.3">
      <c r="A597" s="3" t="s">
        <v>1830</v>
      </c>
      <c r="B597" s="3">
        <v>78</v>
      </c>
      <c r="C597" s="3" t="s">
        <v>35</v>
      </c>
      <c r="D597" s="3" t="s">
        <v>17</v>
      </c>
      <c r="E597" s="3" t="s">
        <v>18</v>
      </c>
      <c r="F597" s="4">
        <v>44724</v>
      </c>
      <c r="G597" s="3" t="s">
        <v>1831</v>
      </c>
      <c r="H597" s="3" t="s">
        <v>1832</v>
      </c>
      <c r="I597" s="3" t="s">
        <v>65</v>
      </c>
      <c r="J597" s="5">
        <v>10311.9361727306</v>
      </c>
      <c r="K597" s="3">
        <v>211</v>
      </c>
      <c r="L597" s="3" t="s">
        <v>22</v>
      </c>
      <c r="M597" s="4">
        <v>44739</v>
      </c>
      <c r="N597" s="3" t="s">
        <v>52</v>
      </c>
      <c r="O597" s="3" t="s">
        <v>33</v>
      </c>
      <c r="P597" s="3" t="str">
        <f>IF(Table1[[#This Row],[Billing Amount]]&lt;5000,"Low",IF(Table1[[#This Row],[Billing Amount]]&lt;=15000,"Medium","High"))</f>
        <v>Medium</v>
      </c>
      <c r="Q597" s="3" t="str">
        <f>IF(Table1[[#This Row],[Discharge Date]]="Yes","Discharged","Under Treatment")</f>
        <v>Under Treatment</v>
      </c>
      <c r="R597" s="3" t="str">
        <f>IF(Table1[[#This Row],[Test Results]]&gt;120,"High Risk","Normal")</f>
        <v>High Risk</v>
      </c>
      <c r="S597" s="3" t="str">
        <f>IF(Table1[[#This Row],[Age]]&lt;=18,"0-18",IF(Table1[[#This Row],[Age]]&lt;=35,"19-35",IF(Table1[[#This Row],[Age]]&lt;=50,"36-50",IF(Table1[[#This Row],[Age]]&lt;=65,"51-65","65+"))))</f>
        <v>65+</v>
      </c>
    </row>
    <row r="598" spans="1:19" x14ac:dyDescent="0.3">
      <c r="A598" s="3" t="s">
        <v>1834</v>
      </c>
      <c r="B598" s="3">
        <v>49</v>
      </c>
      <c r="C598" s="3" t="s">
        <v>16</v>
      </c>
      <c r="D598" s="3" t="s">
        <v>103</v>
      </c>
      <c r="E598" s="3" t="s">
        <v>76</v>
      </c>
      <c r="F598" s="4">
        <v>45348</v>
      </c>
      <c r="G598" s="3" t="s">
        <v>1835</v>
      </c>
      <c r="H598" s="3" t="s">
        <v>1836</v>
      </c>
      <c r="I598" s="3" t="s">
        <v>39</v>
      </c>
      <c r="J598" s="5">
        <v>22069.596567641202</v>
      </c>
      <c r="K598" s="3">
        <v>142</v>
      </c>
      <c r="L598" s="3" t="s">
        <v>46</v>
      </c>
      <c r="M598" s="4">
        <v>45360</v>
      </c>
      <c r="N598" s="3" t="s">
        <v>23</v>
      </c>
      <c r="O598" s="3" t="s">
        <v>24</v>
      </c>
      <c r="P598" s="3" t="str">
        <f>IF(Table1[[#This Row],[Billing Amount]]&lt;5000,"Low",IF(Table1[[#This Row],[Billing Amount]]&lt;=15000,"Medium","High"))</f>
        <v>High</v>
      </c>
      <c r="Q598" s="3" t="str">
        <f>IF(Table1[[#This Row],[Discharge Date]]="Yes","Discharged","Under Treatment")</f>
        <v>Under Treatment</v>
      </c>
      <c r="R598" s="3" t="str">
        <f>IF(Table1[[#This Row],[Test Results]]&gt;120,"High Risk","Normal")</f>
        <v>High Risk</v>
      </c>
      <c r="S598" s="3" t="str">
        <f>IF(Table1[[#This Row],[Age]]&lt;=18,"0-18",IF(Table1[[#This Row],[Age]]&lt;=35,"19-35",IF(Table1[[#This Row],[Age]]&lt;=50,"36-50",IF(Table1[[#This Row],[Age]]&lt;=65,"51-65","65+"))))</f>
        <v>36-50</v>
      </c>
    </row>
    <row r="599" spans="1:19" x14ac:dyDescent="0.3">
      <c r="A599" s="3" t="s">
        <v>1837</v>
      </c>
      <c r="B599" s="3">
        <v>22</v>
      </c>
      <c r="C599" s="3" t="s">
        <v>35</v>
      </c>
      <c r="D599" s="3" t="s">
        <v>103</v>
      </c>
      <c r="E599" s="3" t="s">
        <v>54</v>
      </c>
      <c r="F599" s="4">
        <v>44507</v>
      </c>
      <c r="G599" s="3" t="s">
        <v>1838</v>
      </c>
      <c r="H599" s="3" t="s">
        <v>1839</v>
      </c>
      <c r="I599" s="3" t="s">
        <v>65</v>
      </c>
      <c r="J599" s="5">
        <v>43117.658482416897</v>
      </c>
      <c r="K599" s="3">
        <v>458</v>
      </c>
      <c r="L599" s="3" t="s">
        <v>31</v>
      </c>
      <c r="M599" s="4">
        <v>44526</v>
      </c>
      <c r="N599" s="3" t="s">
        <v>52</v>
      </c>
      <c r="O599" s="3" t="s">
        <v>47</v>
      </c>
      <c r="P599" s="3" t="str">
        <f>IF(Table1[[#This Row],[Billing Amount]]&lt;5000,"Low",IF(Table1[[#This Row],[Billing Amount]]&lt;=15000,"Medium","High"))</f>
        <v>High</v>
      </c>
      <c r="Q599" s="3" t="str">
        <f>IF(Table1[[#This Row],[Discharge Date]]="Yes","Discharged","Under Treatment")</f>
        <v>Under Treatment</v>
      </c>
      <c r="R599" s="3" t="str">
        <f>IF(Table1[[#This Row],[Test Results]]&gt;120,"High Risk","Normal")</f>
        <v>High Risk</v>
      </c>
      <c r="S599" s="3" t="str">
        <f>IF(Table1[[#This Row],[Age]]&lt;=18,"0-18",IF(Table1[[#This Row],[Age]]&lt;=35,"19-35",IF(Table1[[#This Row],[Age]]&lt;=50,"36-50",IF(Table1[[#This Row],[Age]]&lt;=65,"51-65","65+"))))</f>
        <v>19-35</v>
      </c>
    </row>
    <row r="600" spans="1:19" x14ac:dyDescent="0.3">
      <c r="A600" s="3" t="s">
        <v>1840</v>
      </c>
      <c r="B600" s="3">
        <v>72</v>
      </c>
      <c r="C600" s="3" t="s">
        <v>35</v>
      </c>
      <c r="D600" s="3" t="s">
        <v>103</v>
      </c>
      <c r="E600" s="3" t="s">
        <v>76</v>
      </c>
      <c r="F600" s="4">
        <v>43864</v>
      </c>
      <c r="G600" s="3" t="s">
        <v>1841</v>
      </c>
      <c r="H600" s="3" t="s">
        <v>1842</v>
      </c>
      <c r="I600" s="3" t="s">
        <v>65</v>
      </c>
      <c r="J600" s="5">
        <v>3718.5481703732798</v>
      </c>
      <c r="K600" s="3">
        <v>304</v>
      </c>
      <c r="L600" s="3" t="s">
        <v>22</v>
      </c>
      <c r="M600" s="4">
        <v>43865</v>
      </c>
      <c r="N600" s="3" t="s">
        <v>40</v>
      </c>
      <c r="O600" s="3" t="s">
        <v>24</v>
      </c>
      <c r="P600" s="3" t="str">
        <f>IF(Table1[[#This Row],[Billing Amount]]&lt;5000,"Low",IF(Table1[[#This Row],[Billing Amount]]&lt;=15000,"Medium","High"))</f>
        <v>Low</v>
      </c>
      <c r="Q600" s="3" t="str">
        <f>IF(Table1[[#This Row],[Discharge Date]]="Yes","Discharged","Under Treatment")</f>
        <v>Under Treatment</v>
      </c>
      <c r="R600" s="3" t="str">
        <f>IF(Table1[[#This Row],[Test Results]]&gt;120,"High Risk","Normal")</f>
        <v>High Risk</v>
      </c>
      <c r="S600" s="3" t="str">
        <f>IF(Table1[[#This Row],[Age]]&lt;=18,"0-18",IF(Table1[[#This Row],[Age]]&lt;=35,"19-35",IF(Table1[[#This Row],[Age]]&lt;=50,"36-50",IF(Table1[[#This Row],[Age]]&lt;=65,"51-65","65+"))))</f>
        <v>65+</v>
      </c>
    </row>
    <row r="601" spans="1:19" x14ac:dyDescent="0.3">
      <c r="A601" s="3" t="s">
        <v>1843</v>
      </c>
      <c r="B601" s="3">
        <v>46</v>
      </c>
      <c r="C601" s="3" t="s">
        <v>35</v>
      </c>
      <c r="D601" s="3" t="s">
        <v>103</v>
      </c>
      <c r="E601" s="3" t="s">
        <v>93</v>
      </c>
      <c r="F601" s="4">
        <v>43651</v>
      </c>
      <c r="G601" s="3" t="s">
        <v>1844</v>
      </c>
      <c r="H601" s="3" t="s">
        <v>1845</v>
      </c>
      <c r="I601" s="3" t="s">
        <v>21</v>
      </c>
      <c r="J601" s="5">
        <v>18788.144233799801</v>
      </c>
      <c r="K601" s="3">
        <v>267</v>
      </c>
      <c r="L601" s="3" t="s">
        <v>31</v>
      </c>
      <c r="M601" s="4">
        <v>43666</v>
      </c>
      <c r="N601" s="3" t="s">
        <v>79</v>
      </c>
      <c r="O601" s="3" t="s">
        <v>33</v>
      </c>
      <c r="P601" s="3" t="str">
        <f>IF(Table1[[#This Row],[Billing Amount]]&lt;5000,"Low",IF(Table1[[#This Row],[Billing Amount]]&lt;=15000,"Medium","High"))</f>
        <v>High</v>
      </c>
      <c r="Q601" s="3" t="str">
        <f>IF(Table1[[#This Row],[Discharge Date]]="Yes","Discharged","Under Treatment")</f>
        <v>Under Treatment</v>
      </c>
      <c r="R601" s="3" t="str">
        <f>IF(Table1[[#This Row],[Test Results]]&gt;120,"High Risk","Normal")</f>
        <v>High Risk</v>
      </c>
      <c r="S601" s="3" t="str">
        <f>IF(Table1[[#This Row],[Age]]&lt;=18,"0-18",IF(Table1[[#This Row],[Age]]&lt;=35,"19-35",IF(Table1[[#This Row],[Age]]&lt;=50,"36-50",IF(Table1[[#This Row],[Age]]&lt;=65,"51-65","65+"))))</f>
        <v>36-50</v>
      </c>
    </row>
    <row r="602" spans="1:19" x14ac:dyDescent="0.3">
      <c r="A602" s="3" t="s">
        <v>1846</v>
      </c>
      <c r="B602" s="3">
        <v>61</v>
      </c>
      <c r="C602" s="3" t="s">
        <v>16</v>
      </c>
      <c r="D602" s="3" t="s">
        <v>103</v>
      </c>
      <c r="E602" s="3" t="s">
        <v>43</v>
      </c>
      <c r="F602" s="4">
        <v>43692</v>
      </c>
      <c r="G602" s="3" t="s">
        <v>1847</v>
      </c>
      <c r="H602" s="3" t="s">
        <v>1848</v>
      </c>
      <c r="I602" s="3" t="s">
        <v>21</v>
      </c>
      <c r="J602" s="5">
        <v>47594.474842407697</v>
      </c>
      <c r="K602" s="3">
        <v>145</v>
      </c>
      <c r="L602" s="3" t="s">
        <v>46</v>
      </c>
      <c r="M602" s="4">
        <v>43717</v>
      </c>
      <c r="N602" s="3" t="s">
        <v>23</v>
      </c>
      <c r="O602" s="3" t="s">
        <v>47</v>
      </c>
      <c r="P602" s="3" t="str">
        <f>IF(Table1[[#This Row],[Billing Amount]]&lt;5000,"Low",IF(Table1[[#This Row],[Billing Amount]]&lt;=15000,"Medium","High"))</f>
        <v>High</v>
      </c>
      <c r="Q602" s="3" t="str">
        <f>IF(Table1[[#This Row],[Discharge Date]]="Yes","Discharged","Under Treatment")</f>
        <v>Under Treatment</v>
      </c>
      <c r="R602" s="3" t="str">
        <f>IF(Table1[[#This Row],[Test Results]]&gt;120,"High Risk","Normal")</f>
        <v>High Risk</v>
      </c>
      <c r="S602" s="3" t="str">
        <f>IF(Table1[[#This Row],[Age]]&lt;=18,"0-18",IF(Table1[[#This Row],[Age]]&lt;=35,"19-35",IF(Table1[[#This Row],[Age]]&lt;=50,"36-50",IF(Table1[[#This Row],[Age]]&lt;=65,"51-65","65+"))))</f>
        <v>51-65</v>
      </c>
    </row>
    <row r="603" spans="1:19" x14ac:dyDescent="0.3">
      <c r="A603" s="3" t="s">
        <v>1849</v>
      </c>
      <c r="B603" s="3">
        <v>34</v>
      </c>
      <c r="C603" s="3" t="s">
        <v>16</v>
      </c>
      <c r="D603" s="3" t="s">
        <v>36</v>
      </c>
      <c r="E603" s="3" t="s">
        <v>43</v>
      </c>
      <c r="F603" s="4">
        <v>45022</v>
      </c>
      <c r="G603" s="3" t="s">
        <v>1850</v>
      </c>
      <c r="H603" s="3" t="s">
        <v>1851</v>
      </c>
      <c r="I603" s="3" t="s">
        <v>30</v>
      </c>
      <c r="J603" s="5">
        <v>6578.0290575360796</v>
      </c>
      <c r="K603" s="3">
        <v>162</v>
      </c>
      <c r="L603" s="3" t="s">
        <v>31</v>
      </c>
      <c r="M603" s="4">
        <v>45052</v>
      </c>
      <c r="N603" s="3" t="s">
        <v>32</v>
      </c>
      <c r="O603" s="3" t="s">
        <v>33</v>
      </c>
      <c r="P603" s="3" t="str">
        <f>IF(Table1[[#This Row],[Billing Amount]]&lt;5000,"Low",IF(Table1[[#This Row],[Billing Amount]]&lt;=15000,"Medium","High"))</f>
        <v>Medium</v>
      </c>
      <c r="Q603" s="3" t="str">
        <f>IF(Table1[[#This Row],[Discharge Date]]="Yes","Discharged","Under Treatment")</f>
        <v>Under Treatment</v>
      </c>
      <c r="R603" s="3" t="str">
        <f>IF(Table1[[#This Row],[Test Results]]&gt;120,"High Risk","Normal")</f>
        <v>High Risk</v>
      </c>
      <c r="S603" s="3" t="str">
        <f>IF(Table1[[#This Row],[Age]]&lt;=18,"0-18",IF(Table1[[#This Row],[Age]]&lt;=35,"19-35",IF(Table1[[#This Row],[Age]]&lt;=50,"36-50",IF(Table1[[#This Row],[Age]]&lt;=65,"51-65","65+"))))</f>
        <v>19-35</v>
      </c>
    </row>
    <row r="604" spans="1:19" x14ac:dyDescent="0.3">
      <c r="A604" s="3" t="s">
        <v>1852</v>
      </c>
      <c r="B604" s="3">
        <v>71</v>
      </c>
      <c r="C604" s="3" t="s">
        <v>35</v>
      </c>
      <c r="D604" s="3" t="s">
        <v>49</v>
      </c>
      <c r="E604" s="3" t="s">
        <v>93</v>
      </c>
      <c r="F604" s="4">
        <v>43746</v>
      </c>
      <c r="G604" s="3" t="s">
        <v>1853</v>
      </c>
      <c r="H604" s="3" t="s">
        <v>1854</v>
      </c>
      <c r="I604" s="3" t="s">
        <v>21</v>
      </c>
      <c r="J604" s="5">
        <v>38435.447756703703</v>
      </c>
      <c r="K604" s="3">
        <v>340</v>
      </c>
      <c r="L604" s="3" t="s">
        <v>46</v>
      </c>
      <c r="M604" s="4">
        <v>43766</v>
      </c>
      <c r="N604" s="3" t="s">
        <v>52</v>
      </c>
      <c r="O604" s="3" t="s">
        <v>47</v>
      </c>
      <c r="P604" s="3" t="str">
        <f>IF(Table1[[#This Row],[Billing Amount]]&lt;5000,"Low",IF(Table1[[#This Row],[Billing Amount]]&lt;=15000,"Medium","High"))</f>
        <v>High</v>
      </c>
      <c r="Q604" s="3" t="str">
        <f>IF(Table1[[#This Row],[Discharge Date]]="Yes","Discharged","Under Treatment")</f>
        <v>Under Treatment</v>
      </c>
      <c r="R604" s="3" t="str">
        <f>IF(Table1[[#This Row],[Test Results]]&gt;120,"High Risk","Normal")</f>
        <v>High Risk</v>
      </c>
      <c r="S604" s="3" t="str">
        <f>IF(Table1[[#This Row],[Age]]&lt;=18,"0-18",IF(Table1[[#This Row],[Age]]&lt;=35,"19-35",IF(Table1[[#This Row],[Age]]&lt;=50,"36-50",IF(Table1[[#This Row],[Age]]&lt;=65,"51-65","65+"))))</f>
        <v>65+</v>
      </c>
    </row>
    <row r="605" spans="1:19" x14ac:dyDescent="0.3">
      <c r="A605" s="3" t="s">
        <v>1855</v>
      </c>
      <c r="B605" s="3">
        <v>61</v>
      </c>
      <c r="C605" s="3" t="s">
        <v>16</v>
      </c>
      <c r="D605" s="3" t="s">
        <v>26</v>
      </c>
      <c r="E605" s="3" t="s">
        <v>27</v>
      </c>
      <c r="F605" s="4">
        <v>44053</v>
      </c>
      <c r="G605" s="3" t="s">
        <v>1856</v>
      </c>
      <c r="H605" s="3" t="s">
        <v>1857</v>
      </c>
      <c r="I605" s="3" t="s">
        <v>39</v>
      </c>
      <c r="J605" s="5">
        <v>29810.0469179352</v>
      </c>
      <c r="K605" s="3">
        <v>346</v>
      </c>
      <c r="L605" s="3" t="s">
        <v>31</v>
      </c>
      <c r="M605" s="4">
        <v>44080</v>
      </c>
      <c r="N605" s="3" t="s">
        <v>52</v>
      </c>
      <c r="O605" s="3" t="s">
        <v>24</v>
      </c>
      <c r="P605" s="3" t="str">
        <f>IF(Table1[[#This Row],[Billing Amount]]&lt;5000,"Low",IF(Table1[[#This Row],[Billing Amount]]&lt;=15000,"Medium","High"))</f>
        <v>High</v>
      </c>
      <c r="Q605" s="3" t="str">
        <f>IF(Table1[[#This Row],[Discharge Date]]="Yes","Discharged","Under Treatment")</f>
        <v>Under Treatment</v>
      </c>
      <c r="R605" s="3" t="str">
        <f>IF(Table1[[#This Row],[Test Results]]&gt;120,"High Risk","Normal")</f>
        <v>High Risk</v>
      </c>
      <c r="S605" s="3" t="str">
        <f>IF(Table1[[#This Row],[Age]]&lt;=18,"0-18",IF(Table1[[#This Row],[Age]]&lt;=35,"19-35",IF(Table1[[#This Row],[Age]]&lt;=50,"36-50",IF(Table1[[#This Row],[Age]]&lt;=65,"51-65","65+"))))</f>
        <v>51-65</v>
      </c>
    </row>
    <row r="606" spans="1:19" x14ac:dyDescent="0.3">
      <c r="A606" s="3" t="s">
        <v>1858</v>
      </c>
      <c r="B606" s="3">
        <v>24</v>
      </c>
      <c r="C606" s="3" t="s">
        <v>16</v>
      </c>
      <c r="D606" s="3" t="s">
        <v>26</v>
      </c>
      <c r="E606" s="3" t="s">
        <v>54</v>
      </c>
      <c r="F606" s="4">
        <v>43734</v>
      </c>
      <c r="G606" s="3" t="s">
        <v>1859</v>
      </c>
      <c r="H606" s="3" t="s">
        <v>1860</v>
      </c>
      <c r="I606" s="3" t="s">
        <v>21</v>
      </c>
      <c r="J606" s="5">
        <v>4808.8203115489696</v>
      </c>
      <c r="K606" s="3">
        <v>415</v>
      </c>
      <c r="L606" s="3" t="s">
        <v>31</v>
      </c>
      <c r="M606" s="4">
        <v>43752</v>
      </c>
      <c r="N606" s="3" t="s">
        <v>32</v>
      </c>
      <c r="O606" s="3" t="s">
        <v>24</v>
      </c>
      <c r="P606" s="3" t="str">
        <f>IF(Table1[[#This Row],[Billing Amount]]&lt;5000,"Low",IF(Table1[[#This Row],[Billing Amount]]&lt;=15000,"Medium","High"))</f>
        <v>Low</v>
      </c>
      <c r="Q606" s="3" t="str">
        <f>IF(Table1[[#This Row],[Discharge Date]]="Yes","Discharged","Under Treatment")</f>
        <v>Under Treatment</v>
      </c>
      <c r="R606" s="3" t="str">
        <f>IF(Table1[[#This Row],[Test Results]]&gt;120,"High Risk","Normal")</f>
        <v>High Risk</v>
      </c>
      <c r="S606" s="3" t="str">
        <f>IF(Table1[[#This Row],[Age]]&lt;=18,"0-18",IF(Table1[[#This Row],[Age]]&lt;=35,"19-35",IF(Table1[[#This Row],[Age]]&lt;=50,"36-50",IF(Table1[[#This Row],[Age]]&lt;=65,"51-65","65+"))))</f>
        <v>19-35</v>
      </c>
    </row>
    <row r="607" spans="1:19" x14ac:dyDescent="0.3">
      <c r="A607" s="3" t="s">
        <v>1861</v>
      </c>
      <c r="B607" s="3">
        <v>28</v>
      </c>
      <c r="C607" s="3" t="s">
        <v>16</v>
      </c>
      <c r="D607" s="3" t="s">
        <v>42</v>
      </c>
      <c r="E607" s="3" t="s">
        <v>18</v>
      </c>
      <c r="F607" s="4">
        <v>44238</v>
      </c>
      <c r="G607" s="3" t="s">
        <v>1862</v>
      </c>
      <c r="H607" s="3" t="s">
        <v>1863</v>
      </c>
      <c r="I607" s="3" t="s">
        <v>65</v>
      </c>
      <c r="J607" s="5">
        <v>38365.872780228499</v>
      </c>
      <c r="K607" s="3">
        <v>183</v>
      </c>
      <c r="L607" s="3" t="s">
        <v>22</v>
      </c>
      <c r="M607" s="4">
        <v>44246</v>
      </c>
      <c r="N607" s="3" t="s">
        <v>79</v>
      </c>
      <c r="O607" s="3" t="s">
        <v>47</v>
      </c>
      <c r="P607" s="3" t="str">
        <f>IF(Table1[[#This Row],[Billing Amount]]&lt;5000,"Low",IF(Table1[[#This Row],[Billing Amount]]&lt;=15000,"Medium","High"))</f>
        <v>High</v>
      </c>
      <c r="Q607" s="3" t="str">
        <f>IF(Table1[[#This Row],[Discharge Date]]="Yes","Discharged","Under Treatment")</f>
        <v>Under Treatment</v>
      </c>
      <c r="R607" s="3" t="str">
        <f>IF(Table1[[#This Row],[Test Results]]&gt;120,"High Risk","Normal")</f>
        <v>High Risk</v>
      </c>
      <c r="S607" s="3" t="str">
        <f>IF(Table1[[#This Row],[Age]]&lt;=18,"0-18",IF(Table1[[#This Row],[Age]]&lt;=35,"19-35",IF(Table1[[#This Row],[Age]]&lt;=50,"36-50",IF(Table1[[#This Row],[Age]]&lt;=65,"51-65","65+"))))</f>
        <v>19-35</v>
      </c>
    </row>
    <row r="608" spans="1:19" x14ac:dyDescent="0.3">
      <c r="A608" s="3" t="s">
        <v>1864</v>
      </c>
      <c r="B608" s="3">
        <v>21</v>
      </c>
      <c r="C608" s="3" t="s">
        <v>35</v>
      </c>
      <c r="D608" s="3" t="s">
        <v>42</v>
      </c>
      <c r="E608" s="3" t="s">
        <v>93</v>
      </c>
      <c r="F608" s="4">
        <v>43713</v>
      </c>
      <c r="G608" s="3" t="s">
        <v>1865</v>
      </c>
      <c r="H608" s="3" t="s">
        <v>1866</v>
      </c>
      <c r="I608" s="3" t="s">
        <v>21</v>
      </c>
      <c r="J608" s="5">
        <v>45540.095544321302</v>
      </c>
      <c r="K608" s="3">
        <v>394</v>
      </c>
      <c r="L608" s="3" t="s">
        <v>46</v>
      </c>
      <c r="M608" s="4">
        <v>43737</v>
      </c>
      <c r="N608" s="3" t="s">
        <v>79</v>
      </c>
      <c r="O608" s="3" t="s">
        <v>33</v>
      </c>
      <c r="P608" s="3" t="str">
        <f>IF(Table1[[#This Row],[Billing Amount]]&lt;5000,"Low",IF(Table1[[#This Row],[Billing Amount]]&lt;=15000,"Medium","High"))</f>
        <v>High</v>
      </c>
      <c r="Q608" s="3" t="str">
        <f>IF(Table1[[#This Row],[Discharge Date]]="Yes","Discharged","Under Treatment")</f>
        <v>Under Treatment</v>
      </c>
      <c r="R608" s="3" t="str">
        <f>IF(Table1[[#This Row],[Test Results]]&gt;120,"High Risk","Normal")</f>
        <v>High Risk</v>
      </c>
      <c r="S608" s="3" t="str">
        <f>IF(Table1[[#This Row],[Age]]&lt;=18,"0-18",IF(Table1[[#This Row],[Age]]&lt;=35,"19-35",IF(Table1[[#This Row],[Age]]&lt;=50,"36-50",IF(Table1[[#This Row],[Age]]&lt;=65,"51-65","65+"))))</f>
        <v>19-35</v>
      </c>
    </row>
    <row r="609" spans="1:19" x14ac:dyDescent="0.3">
      <c r="A609" s="3" t="s">
        <v>1867</v>
      </c>
      <c r="B609" s="3">
        <v>40</v>
      </c>
      <c r="C609" s="3" t="s">
        <v>35</v>
      </c>
      <c r="D609" s="3" t="s">
        <v>103</v>
      </c>
      <c r="E609" s="3" t="s">
        <v>54</v>
      </c>
      <c r="F609" s="4">
        <v>44256</v>
      </c>
      <c r="G609" s="3" t="s">
        <v>1868</v>
      </c>
      <c r="H609" s="3" t="s">
        <v>1869</v>
      </c>
      <c r="I609" s="3" t="s">
        <v>65</v>
      </c>
      <c r="J609" s="5">
        <v>31444.0880406221</v>
      </c>
      <c r="K609" s="3">
        <v>124</v>
      </c>
      <c r="L609" s="3" t="s">
        <v>22</v>
      </c>
      <c r="M609" s="4">
        <v>44275</v>
      </c>
      <c r="N609" s="3" t="s">
        <v>52</v>
      </c>
      <c r="O609" s="3" t="s">
        <v>47</v>
      </c>
      <c r="P609" s="3" t="str">
        <f>IF(Table1[[#This Row],[Billing Amount]]&lt;5000,"Low",IF(Table1[[#This Row],[Billing Amount]]&lt;=15000,"Medium","High"))</f>
        <v>High</v>
      </c>
      <c r="Q609" s="3" t="str">
        <f>IF(Table1[[#This Row],[Discharge Date]]="Yes","Discharged","Under Treatment")</f>
        <v>Under Treatment</v>
      </c>
      <c r="R609" s="3" t="str">
        <f>IF(Table1[[#This Row],[Test Results]]&gt;120,"High Risk","Normal")</f>
        <v>High Risk</v>
      </c>
      <c r="S609" s="3" t="str">
        <f>IF(Table1[[#This Row],[Age]]&lt;=18,"0-18",IF(Table1[[#This Row],[Age]]&lt;=35,"19-35",IF(Table1[[#This Row],[Age]]&lt;=50,"36-50",IF(Table1[[#This Row],[Age]]&lt;=65,"51-65","65+"))))</f>
        <v>36-50</v>
      </c>
    </row>
    <row r="610" spans="1:19" x14ac:dyDescent="0.3">
      <c r="A610" s="3" t="s">
        <v>1870</v>
      </c>
      <c r="B610" s="3">
        <v>57</v>
      </c>
      <c r="C610" s="3" t="s">
        <v>16</v>
      </c>
      <c r="D610" s="3" t="s">
        <v>36</v>
      </c>
      <c r="E610" s="3" t="s">
        <v>18</v>
      </c>
      <c r="F610" s="4">
        <v>45401</v>
      </c>
      <c r="G610" s="3" t="s">
        <v>1871</v>
      </c>
      <c r="H610" s="3" t="s">
        <v>1872</v>
      </c>
      <c r="I610" s="3" t="s">
        <v>30</v>
      </c>
      <c r="J610" s="5">
        <v>37194.263984150202</v>
      </c>
      <c r="K610" s="3">
        <v>278</v>
      </c>
      <c r="L610" s="3" t="s">
        <v>22</v>
      </c>
      <c r="M610" s="4">
        <v>45426</v>
      </c>
      <c r="N610" s="3" t="s">
        <v>32</v>
      </c>
      <c r="O610" s="3" t="s">
        <v>47</v>
      </c>
      <c r="P610" s="3" t="str">
        <f>IF(Table1[[#This Row],[Billing Amount]]&lt;5000,"Low",IF(Table1[[#This Row],[Billing Amount]]&lt;=15000,"Medium","High"))</f>
        <v>High</v>
      </c>
      <c r="Q610" s="3" t="str">
        <f>IF(Table1[[#This Row],[Discharge Date]]="Yes","Discharged","Under Treatment")</f>
        <v>Under Treatment</v>
      </c>
      <c r="R610" s="3" t="str">
        <f>IF(Table1[[#This Row],[Test Results]]&gt;120,"High Risk","Normal")</f>
        <v>High Risk</v>
      </c>
      <c r="S610" s="3" t="str">
        <f>IF(Table1[[#This Row],[Age]]&lt;=18,"0-18",IF(Table1[[#This Row],[Age]]&lt;=35,"19-35",IF(Table1[[#This Row],[Age]]&lt;=50,"36-50",IF(Table1[[#This Row],[Age]]&lt;=65,"51-65","65+"))))</f>
        <v>51-65</v>
      </c>
    </row>
    <row r="611" spans="1:19" x14ac:dyDescent="0.3">
      <c r="A611" s="3" t="s">
        <v>1873</v>
      </c>
      <c r="B611" s="3">
        <v>47</v>
      </c>
      <c r="C611" s="3" t="s">
        <v>35</v>
      </c>
      <c r="D611" s="3" t="s">
        <v>49</v>
      </c>
      <c r="E611" s="3" t="s">
        <v>18</v>
      </c>
      <c r="F611" s="4">
        <v>45043</v>
      </c>
      <c r="G611" s="3" t="s">
        <v>1874</v>
      </c>
      <c r="H611" s="3" t="s">
        <v>1875</v>
      </c>
      <c r="I611" s="3" t="s">
        <v>21</v>
      </c>
      <c r="J611" s="5">
        <v>12422.7554154748</v>
      </c>
      <c r="K611" s="3">
        <v>355</v>
      </c>
      <c r="L611" s="3" t="s">
        <v>46</v>
      </c>
      <c r="M611" s="4">
        <v>45049</v>
      </c>
      <c r="N611" s="3" t="s">
        <v>79</v>
      </c>
      <c r="O611" s="3" t="s">
        <v>24</v>
      </c>
      <c r="P611" s="3" t="str">
        <f>IF(Table1[[#This Row],[Billing Amount]]&lt;5000,"Low",IF(Table1[[#This Row],[Billing Amount]]&lt;=15000,"Medium","High"))</f>
        <v>Medium</v>
      </c>
      <c r="Q611" s="3" t="str">
        <f>IF(Table1[[#This Row],[Discharge Date]]="Yes","Discharged","Under Treatment")</f>
        <v>Under Treatment</v>
      </c>
      <c r="R611" s="3" t="str">
        <f>IF(Table1[[#This Row],[Test Results]]&gt;120,"High Risk","Normal")</f>
        <v>High Risk</v>
      </c>
      <c r="S611" s="3" t="str">
        <f>IF(Table1[[#This Row],[Age]]&lt;=18,"0-18",IF(Table1[[#This Row],[Age]]&lt;=35,"19-35",IF(Table1[[#This Row],[Age]]&lt;=50,"36-50",IF(Table1[[#This Row],[Age]]&lt;=65,"51-65","65+"))))</f>
        <v>36-50</v>
      </c>
    </row>
    <row r="612" spans="1:19" x14ac:dyDescent="0.3">
      <c r="A612" s="3" t="s">
        <v>1876</v>
      </c>
      <c r="B612" s="3">
        <v>33</v>
      </c>
      <c r="C612" s="3" t="s">
        <v>35</v>
      </c>
      <c r="D612" s="3" t="s">
        <v>122</v>
      </c>
      <c r="E612" s="3" t="s">
        <v>93</v>
      </c>
      <c r="F612" s="4">
        <v>44135</v>
      </c>
      <c r="G612" s="3" t="s">
        <v>1877</v>
      </c>
      <c r="H612" s="3" t="s">
        <v>1878</v>
      </c>
      <c r="I612" s="3" t="s">
        <v>21</v>
      </c>
      <c r="J612" s="5">
        <v>13034.075502789001</v>
      </c>
      <c r="K612" s="3">
        <v>300</v>
      </c>
      <c r="L612" s="3" t="s">
        <v>22</v>
      </c>
      <c r="M612" s="4">
        <v>44153</v>
      </c>
      <c r="N612" s="3" t="s">
        <v>52</v>
      </c>
      <c r="O612" s="3" t="s">
        <v>24</v>
      </c>
      <c r="P612" s="3" t="str">
        <f>IF(Table1[[#This Row],[Billing Amount]]&lt;5000,"Low",IF(Table1[[#This Row],[Billing Amount]]&lt;=15000,"Medium","High"))</f>
        <v>Medium</v>
      </c>
      <c r="Q612" s="3" t="str">
        <f>IF(Table1[[#This Row],[Discharge Date]]="Yes","Discharged","Under Treatment")</f>
        <v>Under Treatment</v>
      </c>
      <c r="R612" s="3" t="str">
        <f>IF(Table1[[#This Row],[Test Results]]&gt;120,"High Risk","Normal")</f>
        <v>High Risk</v>
      </c>
      <c r="S612" s="3" t="str">
        <f>IF(Table1[[#This Row],[Age]]&lt;=18,"0-18",IF(Table1[[#This Row],[Age]]&lt;=35,"19-35",IF(Table1[[#This Row],[Age]]&lt;=50,"36-50",IF(Table1[[#This Row],[Age]]&lt;=65,"51-65","65+"))))</f>
        <v>19-35</v>
      </c>
    </row>
    <row r="613" spans="1:19" x14ac:dyDescent="0.3">
      <c r="A613" s="3" t="s">
        <v>1879</v>
      </c>
      <c r="B613" s="3">
        <v>58</v>
      </c>
      <c r="C613" s="3" t="s">
        <v>35</v>
      </c>
      <c r="D613" s="3" t="s">
        <v>17</v>
      </c>
      <c r="E613" s="3" t="s">
        <v>18</v>
      </c>
      <c r="F613" s="4">
        <v>45177</v>
      </c>
      <c r="G613" s="3" t="s">
        <v>1880</v>
      </c>
      <c r="H613" s="3" t="s">
        <v>1881</v>
      </c>
      <c r="I613" s="3" t="s">
        <v>65</v>
      </c>
      <c r="J613" s="5">
        <v>37903.2900444236</v>
      </c>
      <c r="K613" s="3">
        <v>421</v>
      </c>
      <c r="L613" s="3" t="s">
        <v>46</v>
      </c>
      <c r="M613" s="4">
        <v>45191</v>
      </c>
      <c r="N613" s="3" t="s">
        <v>79</v>
      </c>
      <c r="O613" s="3" t="s">
        <v>24</v>
      </c>
      <c r="P613" s="3" t="str">
        <f>IF(Table1[[#This Row],[Billing Amount]]&lt;5000,"Low",IF(Table1[[#This Row],[Billing Amount]]&lt;=15000,"Medium","High"))</f>
        <v>High</v>
      </c>
      <c r="Q613" s="3" t="str">
        <f>IF(Table1[[#This Row],[Discharge Date]]="Yes","Discharged","Under Treatment")</f>
        <v>Under Treatment</v>
      </c>
      <c r="R613" s="3" t="str">
        <f>IF(Table1[[#This Row],[Test Results]]&gt;120,"High Risk","Normal")</f>
        <v>High Risk</v>
      </c>
      <c r="S613" s="3" t="str">
        <f>IF(Table1[[#This Row],[Age]]&lt;=18,"0-18",IF(Table1[[#This Row],[Age]]&lt;=35,"19-35",IF(Table1[[#This Row],[Age]]&lt;=50,"36-50",IF(Table1[[#This Row],[Age]]&lt;=65,"51-65","65+"))))</f>
        <v>51-65</v>
      </c>
    </row>
    <row r="614" spans="1:19" x14ac:dyDescent="0.3">
      <c r="A614" s="3" t="s">
        <v>1882</v>
      </c>
      <c r="B614" s="3">
        <v>39</v>
      </c>
      <c r="C614" s="3" t="s">
        <v>35</v>
      </c>
      <c r="D614" s="3" t="s">
        <v>122</v>
      </c>
      <c r="E614" s="3" t="s">
        <v>18</v>
      </c>
      <c r="F614" s="4">
        <v>44885</v>
      </c>
      <c r="G614" s="3" t="s">
        <v>1883</v>
      </c>
      <c r="H614" s="3" t="s">
        <v>1884</v>
      </c>
      <c r="I614" s="3" t="s">
        <v>21</v>
      </c>
      <c r="J614" s="5">
        <v>45913.1659056016</v>
      </c>
      <c r="K614" s="3">
        <v>398</v>
      </c>
      <c r="L614" s="3" t="s">
        <v>31</v>
      </c>
      <c r="M614" s="4">
        <v>44914</v>
      </c>
      <c r="N614" s="3" t="s">
        <v>23</v>
      </c>
      <c r="O614" s="3" t="s">
        <v>47</v>
      </c>
      <c r="P614" s="3" t="str">
        <f>IF(Table1[[#This Row],[Billing Amount]]&lt;5000,"Low",IF(Table1[[#This Row],[Billing Amount]]&lt;=15000,"Medium","High"))</f>
        <v>High</v>
      </c>
      <c r="Q614" s="3" t="str">
        <f>IF(Table1[[#This Row],[Discharge Date]]="Yes","Discharged","Under Treatment")</f>
        <v>Under Treatment</v>
      </c>
      <c r="R614" s="3" t="str">
        <f>IF(Table1[[#This Row],[Test Results]]&gt;120,"High Risk","Normal")</f>
        <v>High Risk</v>
      </c>
      <c r="S614" s="3" t="str">
        <f>IF(Table1[[#This Row],[Age]]&lt;=18,"0-18",IF(Table1[[#This Row],[Age]]&lt;=35,"19-35",IF(Table1[[#This Row],[Age]]&lt;=50,"36-50",IF(Table1[[#This Row],[Age]]&lt;=65,"51-65","65+"))))</f>
        <v>36-50</v>
      </c>
    </row>
    <row r="615" spans="1:19" x14ac:dyDescent="0.3">
      <c r="A615" s="3" t="s">
        <v>1885</v>
      </c>
      <c r="B615" s="3">
        <v>30</v>
      </c>
      <c r="C615" s="3" t="s">
        <v>16</v>
      </c>
      <c r="D615" s="3" t="s">
        <v>122</v>
      </c>
      <c r="E615" s="3" t="s">
        <v>93</v>
      </c>
      <c r="F615" s="4">
        <v>44016</v>
      </c>
      <c r="G615" s="3" t="s">
        <v>1886</v>
      </c>
      <c r="H615" s="3" t="s">
        <v>1887</v>
      </c>
      <c r="I615" s="3" t="s">
        <v>57</v>
      </c>
      <c r="J615" s="5">
        <v>30468.2633818547</v>
      </c>
      <c r="K615" s="3">
        <v>378</v>
      </c>
      <c r="L615" s="3" t="s">
        <v>31</v>
      </c>
      <c r="M615" s="4">
        <v>44045</v>
      </c>
      <c r="N615" s="3" t="s">
        <v>79</v>
      </c>
      <c r="O615" s="3" t="s">
        <v>24</v>
      </c>
      <c r="P615" s="3" t="str">
        <f>IF(Table1[[#This Row],[Billing Amount]]&lt;5000,"Low",IF(Table1[[#This Row],[Billing Amount]]&lt;=15000,"Medium","High"))</f>
        <v>High</v>
      </c>
      <c r="Q615" s="3" t="str">
        <f>IF(Table1[[#This Row],[Discharge Date]]="Yes","Discharged","Under Treatment")</f>
        <v>Under Treatment</v>
      </c>
      <c r="R615" s="3" t="str">
        <f>IF(Table1[[#This Row],[Test Results]]&gt;120,"High Risk","Normal")</f>
        <v>High Risk</v>
      </c>
      <c r="S615" s="3" t="str">
        <f>IF(Table1[[#This Row],[Age]]&lt;=18,"0-18",IF(Table1[[#This Row],[Age]]&lt;=35,"19-35",IF(Table1[[#This Row],[Age]]&lt;=50,"36-50",IF(Table1[[#This Row],[Age]]&lt;=65,"51-65","65+"))))</f>
        <v>19-35</v>
      </c>
    </row>
    <row r="616" spans="1:19" x14ac:dyDescent="0.3">
      <c r="A616" s="3" t="s">
        <v>1888</v>
      </c>
      <c r="B616" s="3">
        <v>27</v>
      </c>
      <c r="C616" s="3" t="s">
        <v>16</v>
      </c>
      <c r="D616" s="3" t="s">
        <v>103</v>
      </c>
      <c r="E616" s="3" t="s">
        <v>54</v>
      </c>
      <c r="F616" s="4">
        <v>45101</v>
      </c>
      <c r="G616" s="3" t="s">
        <v>1889</v>
      </c>
      <c r="H616" s="3" t="s">
        <v>1890</v>
      </c>
      <c r="I616" s="3" t="s">
        <v>21</v>
      </c>
      <c r="J616" s="5">
        <v>50202.207847823098</v>
      </c>
      <c r="K616" s="3">
        <v>198</v>
      </c>
      <c r="L616" s="3" t="s">
        <v>22</v>
      </c>
      <c r="M616" s="4">
        <v>45120</v>
      </c>
      <c r="N616" s="3" t="s">
        <v>40</v>
      </c>
      <c r="O616" s="3" t="s">
        <v>47</v>
      </c>
      <c r="P616" s="3" t="str">
        <f>IF(Table1[[#This Row],[Billing Amount]]&lt;5000,"Low",IF(Table1[[#This Row],[Billing Amount]]&lt;=15000,"Medium","High"))</f>
        <v>High</v>
      </c>
      <c r="Q616" s="3" t="str">
        <f>IF(Table1[[#This Row],[Discharge Date]]="Yes","Discharged","Under Treatment")</f>
        <v>Under Treatment</v>
      </c>
      <c r="R616" s="3" t="str">
        <f>IF(Table1[[#This Row],[Test Results]]&gt;120,"High Risk","Normal")</f>
        <v>High Risk</v>
      </c>
      <c r="S616" s="3" t="str">
        <f>IF(Table1[[#This Row],[Age]]&lt;=18,"0-18",IF(Table1[[#This Row],[Age]]&lt;=35,"19-35",IF(Table1[[#This Row],[Age]]&lt;=50,"36-50",IF(Table1[[#This Row],[Age]]&lt;=65,"51-65","65+"))))</f>
        <v>19-35</v>
      </c>
    </row>
    <row r="617" spans="1:19" x14ac:dyDescent="0.3">
      <c r="A617" s="3" t="s">
        <v>1891</v>
      </c>
      <c r="B617" s="3">
        <v>76</v>
      </c>
      <c r="C617" s="3" t="s">
        <v>35</v>
      </c>
      <c r="D617" s="3" t="s">
        <v>103</v>
      </c>
      <c r="E617" s="3" t="s">
        <v>18</v>
      </c>
      <c r="F617" s="4">
        <v>45001</v>
      </c>
      <c r="G617" s="3" t="s">
        <v>1892</v>
      </c>
      <c r="H617" s="3" t="s">
        <v>1486</v>
      </c>
      <c r="I617" s="3" t="s">
        <v>39</v>
      </c>
      <c r="J617" s="5">
        <v>43206.224111033604</v>
      </c>
      <c r="K617" s="3">
        <v>441</v>
      </c>
      <c r="L617" s="3" t="s">
        <v>31</v>
      </c>
      <c r="M617" s="4">
        <v>45018</v>
      </c>
      <c r="N617" s="3" t="s">
        <v>40</v>
      </c>
      <c r="O617" s="3" t="s">
        <v>33</v>
      </c>
      <c r="P617" s="3" t="str">
        <f>IF(Table1[[#This Row],[Billing Amount]]&lt;5000,"Low",IF(Table1[[#This Row],[Billing Amount]]&lt;=15000,"Medium","High"))</f>
        <v>High</v>
      </c>
      <c r="Q617" s="3" t="str">
        <f>IF(Table1[[#This Row],[Discharge Date]]="Yes","Discharged","Under Treatment")</f>
        <v>Under Treatment</v>
      </c>
      <c r="R617" s="3" t="str">
        <f>IF(Table1[[#This Row],[Test Results]]&gt;120,"High Risk","Normal")</f>
        <v>High Risk</v>
      </c>
      <c r="S617" s="3" t="str">
        <f>IF(Table1[[#This Row],[Age]]&lt;=18,"0-18",IF(Table1[[#This Row],[Age]]&lt;=35,"19-35",IF(Table1[[#This Row],[Age]]&lt;=50,"36-50",IF(Table1[[#This Row],[Age]]&lt;=65,"51-65","65+"))))</f>
        <v>65+</v>
      </c>
    </row>
    <row r="618" spans="1:19" x14ac:dyDescent="0.3">
      <c r="A618" s="3" t="s">
        <v>1893</v>
      </c>
      <c r="B618" s="3">
        <v>71</v>
      </c>
      <c r="C618" s="3" t="s">
        <v>16</v>
      </c>
      <c r="D618" s="3" t="s">
        <v>122</v>
      </c>
      <c r="E618" s="3" t="s">
        <v>54</v>
      </c>
      <c r="F618" s="4">
        <v>44296</v>
      </c>
      <c r="G618" s="3" t="s">
        <v>1894</v>
      </c>
      <c r="H618" s="3" t="s">
        <v>1895</v>
      </c>
      <c r="I618" s="3" t="s">
        <v>30</v>
      </c>
      <c r="J618" s="5">
        <v>10659.6088129445</v>
      </c>
      <c r="K618" s="3">
        <v>170</v>
      </c>
      <c r="L618" s="3" t="s">
        <v>46</v>
      </c>
      <c r="M618" s="4">
        <v>44304</v>
      </c>
      <c r="N618" s="3" t="s">
        <v>32</v>
      </c>
      <c r="O618" s="3" t="s">
        <v>47</v>
      </c>
      <c r="P618" s="3" t="str">
        <f>IF(Table1[[#This Row],[Billing Amount]]&lt;5000,"Low",IF(Table1[[#This Row],[Billing Amount]]&lt;=15000,"Medium","High"))</f>
        <v>Medium</v>
      </c>
      <c r="Q618" s="3" t="str">
        <f>IF(Table1[[#This Row],[Discharge Date]]="Yes","Discharged","Under Treatment")</f>
        <v>Under Treatment</v>
      </c>
      <c r="R618" s="3" t="str">
        <f>IF(Table1[[#This Row],[Test Results]]&gt;120,"High Risk","Normal")</f>
        <v>High Risk</v>
      </c>
      <c r="S618" s="3" t="str">
        <f>IF(Table1[[#This Row],[Age]]&lt;=18,"0-18",IF(Table1[[#This Row],[Age]]&lt;=35,"19-35",IF(Table1[[#This Row],[Age]]&lt;=50,"36-50",IF(Table1[[#This Row],[Age]]&lt;=65,"51-65","65+"))))</f>
        <v>65+</v>
      </c>
    </row>
    <row r="619" spans="1:19" x14ac:dyDescent="0.3">
      <c r="A619" s="3" t="s">
        <v>1896</v>
      </c>
      <c r="B619" s="3">
        <v>31</v>
      </c>
      <c r="C619" s="3" t="s">
        <v>16</v>
      </c>
      <c r="D619" s="3" t="s">
        <v>122</v>
      </c>
      <c r="E619" s="3" t="s">
        <v>18</v>
      </c>
      <c r="F619" s="4">
        <v>45188</v>
      </c>
      <c r="G619" s="3" t="s">
        <v>1897</v>
      </c>
      <c r="H619" s="3" t="s">
        <v>1898</v>
      </c>
      <c r="I619" s="3" t="s">
        <v>39</v>
      </c>
      <c r="J619" s="5">
        <v>32926.233540322202</v>
      </c>
      <c r="K619" s="3">
        <v>459</v>
      </c>
      <c r="L619" s="3" t="s">
        <v>31</v>
      </c>
      <c r="M619" s="4">
        <v>45215</v>
      </c>
      <c r="N619" s="3" t="s">
        <v>79</v>
      </c>
      <c r="O619" s="3" t="s">
        <v>33</v>
      </c>
      <c r="P619" s="3" t="str">
        <f>IF(Table1[[#This Row],[Billing Amount]]&lt;5000,"Low",IF(Table1[[#This Row],[Billing Amount]]&lt;=15000,"Medium","High"))</f>
        <v>High</v>
      </c>
      <c r="Q619" s="3" t="str">
        <f>IF(Table1[[#This Row],[Discharge Date]]="Yes","Discharged","Under Treatment")</f>
        <v>Under Treatment</v>
      </c>
      <c r="R619" s="3" t="str">
        <f>IF(Table1[[#This Row],[Test Results]]&gt;120,"High Risk","Normal")</f>
        <v>High Risk</v>
      </c>
      <c r="S619" s="3" t="str">
        <f>IF(Table1[[#This Row],[Age]]&lt;=18,"0-18",IF(Table1[[#This Row],[Age]]&lt;=35,"19-35",IF(Table1[[#This Row],[Age]]&lt;=50,"36-50",IF(Table1[[#This Row],[Age]]&lt;=65,"51-65","65+"))))</f>
        <v>19-35</v>
      </c>
    </row>
    <row r="620" spans="1:19" x14ac:dyDescent="0.3">
      <c r="A620" s="3" t="s">
        <v>1899</v>
      </c>
      <c r="B620" s="3">
        <v>25</v>
      </c>
      <c r="C620" s="3" t="s">
        <v>16</v>
      </c>
      <c r="D620" s="3" t="s">
        <v>36</v>
      </c>
      <c r="E620" s="3" t="s">
        <v>18</v>
      </c>
      <c r="F620" s="4">
        <v>45318</v>
      </c>
      <c r="G620" s="3" t="s">
        <v>1900</v>
      </c>
      <c r="H620" s="3" t="s">
        <v>1901</v>
      </c>
      <c r="I620" s="3" t="s">
        <v>39</v>
      </c>
      <c r="J620" s="5">
        <v>48004.974678792903</v>
      </c>
      <c r="K620" s="3">
        <v>416</v>
      </c>
      <c r="L620" s="3" t="s">
        <v>31</v>
      </c>
      <c r="M620" s="4">
        <v>45348</v>
      </c>
      <c r="N620" s="3" t="s">
        <v>23</v>
      </c>
      <c r="O620" s="3" t="s">
        <v>24</v>
      </c>
      <c r="P620" s="3" t="str">
        <f>IF(Table1[[#This Row],[Billing Amount]]&lt;5000,"Low",IF(Table1[[#This Row],[Billing Amount]]&lt;=15000,"Medium","High"))</f>
        <v>High</v>
      </c>
      <c r="Q620" s="3" t="str">
        <f>IF(Table1[[#This Row],[Discharge Date]]="Yes","Discharged","Under Treatment")</f>
        <v>Under Treatment</v>
      </c>
      <c r="R620" s="3" t="str">
        <f>IF(Table1[[#This Row],[Test Results]]&gt;120,"High Risk","Normal")</f>
        <v>High Risk</v>
      </c>
      <c r="S620" s="3" t="str">
        <f>IF(Table1[[#This Row],[Age]]&lt;=18,"0-18",IF(Table1[[#This Row],[Age]]&lt;=35,"19-35",IF(Table1[[#This Row],[Age]]&lt;=50,"36-50",IF(Table1[[#This Row],[Age]]&lt;=65,"51-65","65+"))))</f>
        <v>19-35</v>
      </c>
    </row>
    <row r="621" spans="1:19" x14ac:dyDescent="0.3">
      <c r="A621" s="3" t="s">
        <v>1902</v>
      </c>
      <c r="B621" s="3">
        <v>61</v>
      </c>
      <c r="C621" s="3" t="s">
        <v>35</v>
      </c>
      <c r="D621" s="3" t="s">
        <v>49</v>
      </c>
      <c r="E621" s="3" t="s">
        <v>76</v>
      </c>
      <c r="F621" s="4">
        <v>43937</v>
      </c>
      <c r="G621" s="3" t="s">
        <v>1903</v>
      </c>
      <c r="H621" s="3" t="s">
        <v>1904</v>
      </c>
      <c r="I621" s="3" t="s">
        <v>30</v>
      </c>
      <c r="J621" s="5">
        <v>20651.614839143502</v>
      </c>
      <c r="K621" s="3">
        <v>470</v>
      </c>
      <c r="L621" s="3" t="s">
        <v>22</v>
      </c>
      <c r="M621" s="4">
        <v>43943</v>
      </c>
      <c r="N621" s="3" t="s">
        <v>40</v>
      </c>
      <c r="O621" s="3" t="s">
        <v>47</v>
      </c>
      <c r="P621" s="3" t="str">
        <f>IF(Table1[[#This Row],[Billing Amount]]&lt;5000,"Low",IF(Table1[[#This Row],[Billing Amount]]&lt;=15000,"Medium","High"))</f>
        <v>High</v>
      </c>
      <c r="Q621" s="3" t="str">
        <f>IF(Table1[[#This Row],[Discharge Date]]="Yes","Discharged","Under Treatment")</f>
        <v>Under Treatment</v>
      </c>
      <c r="R621" s="3" t="str">
        <f>IF(Table1[[#This Row],[Test Results]]&gt;120,"High Risk","Normal")</f>
        <v>High Risk</v>
      </c>
      <c r="S621" s="3" t="str">
        <f>IF(Table1[[#This Row],[Age]]&lt;=18,"0-18",IF(Table1[[#This Row],[Age]]&lt;=35,"19-35",IF(Table1[[#This Row],[Age]]&lt;=50,"36-50",IF(Table1[[#This Row],[Age]]&lt;=65,"51-65","65+"))))</f>
        <v>51-65</v>
      </c>
    </row>
    <row r="622" spans="1:19" x14ac:dyDescent="0.3">
      <c r="A622" s="3" t="s">
        <v>1905</v>
      </c>
      <c r="B622" s="3">
        <v>42</v>
      </c>
      <c r="C622" s="3" t="s">
        <v>35</v>
      </c>
      <c r="D622" s="3" t="s">
        <v>42</v>
      </c>
      <c r="E622" s="3" t="s">
        <v>76</v>
      </c>
      <c r="F622" s="4">
        <v>43700</v>
      </c>
      <c r="G622" s="3" t="s">
        <v>1906</v>
      </c>
      <c r="H622" s="3" t="s">
        <v>1907</v>
      </c>
      <c r="I622" s="3" t="s">
        <v>65</v>
      </c>
      <c r="J622" s="5">
        <v>31822.730852999201</v>
      </c>
      <c r="K622" s="3">
        <v>370</v>
      </c>
      <c r="L622" s="3" t="s">
        <v>31</v>
      </c>
      <c r="M622" s="4">
        <v>43713</v>
      </c>
      <c r="N622" s="3" t="s">
        <v>79</v>
      </c>
      <c r="O622" s="3" t="s">
        <v>47</v>
      </c>
      <c r="P622" s="3" t="str">
        <f>IF(Table1[[#This Row],[Billing Amount]]&lt;5000,"Low",IF(Table1[[#This Row],[Billing Amount]]&lt;=15000,"Medium","High"))</f>
        <v>High</v>
      </c>
      <c r="Q622" s="3" t="str">
        <f>IF(Table1[[#This Row],[Discharge Date]]="Yes","Discharged","Under Treatment")</f>
        <v>Under Treatment</v>
      </c>
      <c r="R622" s="3" t="str">
        <f>IF(Table1[[#This Row],[Test Results]]&gt;120,"High Risk","Normal")</f>
        <v>High Risk</v>
      </c>
      <c r="S622" s="3" t="str">
        <f>IF(Table1[[#This Row],[Age]]&lt;=18,"0-18",IF(Table1[[#This Row],[Age]]&lt;=35,"19-35",IF(Table1[[#This Row],[Age]]&lt;=50,"36-50",IF(Table1[[#This Row],[Age]]&lt;=65,"51-65","65+"))))</f>
        <v>36-50</v>
      </c>
    </row>
    <row r="623" spans="1:19" x14ac:dyDescent="0.3">
      <c r="A623" s="3" t="s">
        <v>1908</v>
      </c>
      <c r="B623" s="3">
        <v>44</v>
      </c>
      <c r="C623" s="3" t="s">
        <v>16</v>
      </c>
      <c r="D623" s="3" t="s">
        <v>59</v>
      </c>
      <c r="E623" s="3" t="s">
        <v>43</v>
      </c>
      <c r="F623" s="4">
        <v>44378</v>
      </c>
      <c r="G623" s="3" t="s">
        <v>1909</v>
      </c>
      <c r="H623" s="3" t="s">
        <v>1910</v>
      </c>
      <c r="I623" s="3" t="s">
        <v>57</v>
      </c>
      <c r="J623" s="5">
        <v>21856.738254657401</v>
      </c>
      <c r="K623" s="3">
        <v>482</v>
      </c>
      <c r="L623" s="3" t="s">
        <v>46</v>
      </c>
      <c r="M623" s="4">
        <v>44400</v>
      </c>
      <c r="N623" s="3" t="s">
        <v>23</v>
      </c>
      <c r="O623" s="3" t="s">
        <v>33</v>
      </c>
      <c r="P623" s="3" t="str">
        <f>IF(Table1[[#This Row],[Billing Amount]]&lt;5000,"Low",IF(Table1[[#This Row],[Billing Amount]]&lt;=15000,"Medium","High"))</f>
        <v>High</v>
      </c>
      <c r="Q623" s="3" t="str">
        <f>IF(Table1[[#This Row],[Discharge Date]]="Yes","Discharged","Under Treatment")</f>
        <v>Under Treatment</v>
      </c>
      <c r="R623" s="3" t="str">
        <f>IF(Table1[[#This Row],[Test Results]]&gt;120,"High Risk","Normal")</f>
        <v>High Risk</v>
      </c>
      <c r="S623" s="3" t="str">
        <f>IF(Table1[[#This Row],[Age]]&lt;=18,"0-18",IF(Table1[[#This Row],[Age]]&lt;=35,"19-35",IF(Table1[[#This Row],[Age]]&lt;=50,"36-50",IF(Table1[[#This Row],[Age]]&lt;=65,"51-65","65+"))))</f>
        <v>36-50</v>
      </c>
    </row>
    <row r="624" spans="1:19" x14ac:dyDescent="0.3">
      <c r="A624" s="3" t="s">
        <v>1911</v>
      </c>
      <c r="B624" s="3">
        <v>18</v>
      </c>
      <c r="C624" s="3" t="s">
        <v>35</v>
      </c>
      <c r="D624" s="3" t="s">
        <v>103</v>
      </c>
      <c r="E624" s="3" t="s">
        <v>27</v>
      </c>
      <c r="F624" s="4">
        <v>44794</v>
      </c>
      <c r="G624" s="3" t="s">
        <v>922</v>
      </c>
      <c r="H624" s="3" t="s">
        <v>1912</v>
      </c>
      <c r="I624" s="3" t="s">
        <v>30</v>
      </c>
      <c r="J624" s="5">
        <v>45326.914860092002</v>
      </c>
      <c r="K624" s="3">
        <v>260</v>
      </c>
      <c r="L624" s="3" t="s">
        <v>31</v>
      </c>
      <c r="M624" s="4">
        <v>44808</v>
      </c>
      <c r="N624" s="3" t="s">
        <v>32</v>
      </c>
      <c r="O624" s="3" t="s">
        <v>47</v>
      </c>
      <c r="P624" s="3" t="str">
        <f>IF(Table1[[#This Row],[Billing Amount]]&lt;5000,"Low",IF(Table1[[#This Row],[Billing Amount]]&lt;=15000,"Medium","High"))</f>
        <v>High</v>
      </c>
      <c r="Q624" s="3" t="str">
        <f>IF(Table1[[#This Row],[Discharge Date]]="Yes","Discharged","Under Treatment")</f>
        <v>Under Treatment</v>
      </c>
      <c r="R624" s="3" t="str">
        <f>IF(Table1[[#This Row],[Test Results]]&gt;120,"High Risk","Normal")</f>
        <v>High Risk</v>
      </c>
      <c r="S624" s="3" t="str">
        <f>IF(Table1[[#This Row],[Age]]&lt;=18,"0-18",IF(Table1[[#This Row],[Age]]&lt;=35,"19-35",IF(Table1[[#This Row],[Age]]&lt;=50,"36-50",IF(Table1[[#This Row],[Age]]&lt;=65,"51-65","65+"))))</f>
        <v>0-18</v>
      </c>
    </row>
    <row r="625" spans="1:19" x14ac:dyDescent="0.3">
      <c r="A625" s="3" t="s">
        <v>1913</v>
      </c>
      <c r="B625" s="3">
        <v>51</v>
      </c>
      <c r="C625" s="3" t="s">
        <v>16</v>
      </c>
      <c r="D625" s="3" t="s">
        <v>36</v>
      </c>
      <c r="E625" s="3" t="s">
        <v>18</v>
      </c>
      <c r="F625" s="4">
        <v>44049</v>
      </c>
      <c r="G625" s="3" t="s">
        <v>1914</v>
      </c>
      <c r="H625" s="3" t="s">
        <v>1915</v>
      </c>
      <c r="I625" s="3" t="s">
        <v>57</v>
      </c>
      <c r="J625" s="5">
        <v>25152.293887858701</v>
      </c>
      <c r="K625" s="3">
        <v>103</v>
      </c>
      <c r="L625" s="3" t="s">
        <v>31</v>
      </c>
      <c r="M625" s="4">
        <v>44069</v>
      </c>
      <c r="N625" s="3" t="s">
        <v>79</v>
      </c>
      <c r="O625" s="3" t="s">
        <v>47</v>
      </c>
      <c r="P625" s="3" t="str">
        <f>IF(Table1[[#This Row],[Billing Amount]]&lt;5000,"Low",IF(Table1[[#This Row],[Billing Amount]]&lt;=15000,"Medium","High"))</f>
        <v>High</v>
      </c>
      <c r="Q625" s="3" t="str">
        <f>IF(Table1[[#This Row],[Discharge Date]]="Yes","Discharged","Under Treatment")</f>
        <v>Under Treatment</v>
      </c>
      <c r="R625" s="3" t="str">
        <f>IF(Table1[[#This Row],[Test Results]]&gt;120,"High Risk","Normal")</f>
        <v>High Risk</v>
      </c>
      <c r="S625" s="3" t="str">
        <f>IF(Table1[[#This Row],[Age]]&lt;=18,"0-18",IF(Table1[[#This Row],[Age]]&lt;=35,"19-35",IF(Table1[[#This Row],[Age]]&lt;=50,"36-50",IF(Table1[[#This Row],[Age]]&lt;=65,"51-65","65+"))))</f>
        <v>51-65</v>
      </c>
    </row>
    <row r="626" spans="1:19" x14ac:dyDescent="0.3">
      <c r="A626" s="3" t="s">
        <v>1916</v>
      </c>
      <c r="B626" s="3">
        <v>39</v>
      </c>
      <c r="C626" s="3" t="s">
        <v>16</v>
      </c>
      <c r="D626" s="3" t="s">
        <v>122</v>
      </c>
      <c r="E626" s="3" t="s">
        <v>76</v>
      </c>
      <c r="F626" s="4">
        <v>44764</v>
      </c>
      <c r="G626" s="3" t="s">
        <v>1917</v>
      </c>
      <c r="H626" s="3" t="s">
        <v>1918</v>
      </c>
      <c r="I626" s="3" t="s">
        <v>65</v>
      </c>
      <c r="J626" s="5">
        <v>13869.7885226571</v>
      </c>
      <c r="K626" s="3">
        <v>314</v>
      </c>
      <c r="L626" s="3" t="s">
        <v>22</v>
      </c>
      <c r="M626" s="4">
        <v>44766</v>
      </c>
      <c r="N626" s="3" t="s">
        <v>40</v>
      </c>
      <c r="O626" s="3" t="s">
        <v>47</v>
      </c>
      <c r="P626" s="3" t="str">
        <f>IF(Table1[[#This Row],[Billing Amount]]&lt;5000,"Low",IF(Table1[[#This Row],[Billing Amount]]&lt;=15000,"Medium","High"))</f>
        <v>Medium</v>
      </c>
      <c r="Q626" s="3" t="str">
        <f>IF(Table1[[#This Row],[Discharge Date]]="Yes","Discharged","Under Treatment")</f>
        <v>Under Treatment</v>
      </c>
      <c r="R626" s="3" t="str">
        <f>IF(Table1[[#This Row],[Test Results]]&gt;120,"High Risk","Normal")</f>
        <v>High Risk</v>
      </c>
      <c r="S626" s="3" t="str">
        <f>IF(Table1[[#This Row],[Age]]&lt;=18,"0-18",IF(Table1[[#This Row],[Age]]&lt;=35,"19-35",IF(Table1[[#This Row],[Age]]&lt;=50,"36-50",IF(Table1[[#This Row],[Age]]&lt;=65,"51-65","65+"))))</f>
        <v>36-50</v>
      </c>
    </row>
    <row r="627" spans="1:19" x14ac:dyDescent="0.3">
      <c r="A627" s="3" t="s">
        <v>1919</v>
      </c>
      <c r="B627" s="3">
        <v>21</v>
      </c>
      <c r="C627" s="3" t="s">
        <v>16</v>
      </c>
      <c r="D627" s="3" t="s">
        <v>122</v>
      </c>
      <c r="E627" s="3" t="s">
        <v>54</v>
      </c>
      <c r="F627" s="4">
        <v>45198</v>
      </c>
      <c r="G627" s="3" t="s">
        <v>1920</v>
      </c>
      <c r="H627" s="3" t="s">
        <v>1921</v>
      </c>
      <c r="I627" s="3" t="s">
        <v>21</v>
      </c>
      <c r="J627" s="5">
        <v>41208.167588520402</v>
      </c>
      <c r="K627" s="3">
        <v>359</v>
      </c>
      <c r="L627" s="3" t="s">
        <v>31</v>
      </c>
      <c r="M627" s="4">
        <v>45205</v>
      </c>
      <c r="N627" s="3" t="s">
        <v>23</v>
      </c>
      <c r="O627" s="3" t="s">
        <v>24</v>
      </c>
      <c r="P627" s="3" t="str">
        <f>IF(Table1[[#This Row],[Billing Amount]]&lt;5000,"Low",IF(Table1[[#This Row],[Billing Amount]]&lt;=15000,"Medium","High"))</f>
        <v>High</v>
      </c>
      <c r="Q627" s="3" t="str">
        <f>IF(Table1[[#This Row],[Discharge Date]]="Yes","Discharged","Under Treatment")</f>
        <v>Under Treatment</v>
      </c>
      <c r="R627" s="3" t="str">
        <f>IF(Table1[[#This Row],[Test Results]]&gt;120,"High Risk","Normal")</f>
        <v>High Risk</v>
      </c>
      <c r="S627" s="3" t="str">
        <f>IF(Table1[[#This Row],[Age]]&lt;=18,"0-18",IF(Table1[[#This Row],[Age]]&lt;=35,"19-35",IF(Table1[[#This Row],[Age]]&lt;=50,"36-50",IF(Table1[[#This Row],[Age]]&lt;=65,"51-65","65+"))))</f>
        <v>19-35</v>
      </c>
    </row>
    <row r="628" spans="1:19" x14ac:dyDescent="0.3">
      <c r="A628" s="3" t="s">
        <v>1922</v>
      </c>
      <c r="B628" s="3">
        <v>61</v>
      </c>
      <c r="C628" s="3" t="s">
        <v>35</v>
      </c>
      <c r="D628" s="3" t="s">
        <v>59</v>
      </c>
      <c r="E628" s="3" t="s">
        <v>18</v>
      </c>
      <c r="F628" s="4">
        <v>44004</v>
      </c>
      <c r="G628" s="3" t="s">
        <v>1923</v>
      </c>
      <c r="H628" s="3" t="s">
        <v>1924</v>
      </c>
      <c r="I628" s="3" t="s">
        <v>39</v>
      </c>
      <c r="J628" s="5">
        <v>17722.9610787116</v>
      </c>
      <c r="K628" s="3">
        <v>221</v>
      </c>
      <c r="L628" s="3" t="s">
        <v>31</v>
      </c>
      <c r="M628" s="4">
        <v>44032</v>
      </c>
      <c r="N628" s="3" t="s">
        <v>32</v>
      </c>
      <c r="O628" s="3" t="s">
        <v>47</v>
      </c>
      <c r="P628" s="3" t="str">
        <f>IF(Table1[[#This Row],[Billing Amount]]&lt;5000,"Low",IF(Table1[[#This Row],[Billing Amount]]&lt;=15000,"Medium","High"))</f>
        <v>High</v>
      </c>
      <c r="Q628" s="3" t="str">
        <f>IF(Table1[[#This Row],[Discharge Date]]="Yes","Discharged","Under Treatment")</f>
        <v>Under Treatment</v>
      </c>
      <c r="R628" s="3" t="str">
        <f>IF(Table1[[#This Row],[Test Results]]&gt;120,"High Risk","Normal")</f>
        <v>High Risk</v>
      </c>
      <c r="S628" s="3" t="str">
        <f>IF(Table1[[#This Row],[Age]]&lt;=18,"0-18",IF(Table1[[#This Row],[Age]]&lt;=35,"19-35",IF(Table1[[#This Row],[Age]]&lt;=50,"36-50",IF(Table1[[#This Row],[Age]]&lt;=65,"51-65","65+"))))</f>
        <v>51-65</v>
      </c>
    </row>
    <row r="629" spans="1:19" x14ac:dyDescent="0.3">
      <c r="A629" s="3" t="s">
        <v>1925</v>
      </c>
      <c r="B629" s="3">
        <v>59</v>
      </c>
      <c r="C629" s="3" t="s">
        <v>35</v>
      </c>
      <c r="D629" s="3" t="s">
        <v>59</v>
      </c>
      <c r="E629" s="3" t="s">
        <v>27</v>
      </c>
      <c r="F629" s="4">
        <v>43764</v>
      </c>
      <c r="G629" s="3" t="s">
        <v>1926</v>
      </c>
      <c r="H629" s="3" t="s">
        <v>1927</v>
      </c>
      <c r="I629" s="3" t="s">
        <v>39</v>
      </c>
      <c r="J629" s="5">
        <v>21125.321978632201</v>
      </c>
      <c r="K629" s="3">
        <v>264</v>
      </c>
      <c r="L629" s="3" t="s">
        <v>46</v>
      </c>
      <c r="M629" s="4">
        <v>43767</v>
      </c>
      <c r="N629" s="3" t="s">
        <v>79</v>
      </c>
      <c r="O629" s="3" t="s">
        <v>24</v>
      </c>
      <c r="P629" s="3" t="str">
        <f>IF(Table1[[#This Row],[Billing Amount]]&lt;5000,"Low",IF(Table1[[#This Row],[Billing Amount]]&lt;=15000,"Medium","High"))</f>
        <v>High</v>
      </c>
      <c r="Q629" s="3" t="str">
        <f>IF(Table1[[#This Row],[Discharge Date]]="Yes","Discharged","Under Treatment")</f>
        <v>Under Treatment</v>
      </c>
      <c r="R629" s="3" t="str">
        <f>IF(Table1[[#This Row],[Test Results]]&gt;120,"High Risk","Normal")</f>
        <v>High Risk</v>
      </c>
      <c r="S629" s="3" t="str">
        <f>IF(Table1[[#This Row],[Age]]&lt;=18,"0-18",IF(Table1[[#This Row],[Age]]&lt;=35,"19-35",IF(Table1[[#This Row],[Age]]&lt;=50,"36-50",IF(Table1[[#This Row],[Age]]&lt;=65,"51-65","65+"))))</f>
        <v>51-65</v>
      </c>
    </row>
    <row r="630" spans="1:19" x14ac:dyDescent="0.3">
      <c r="A630" s="3" t="s">
        <v>1928</v>
      </c>
      <c r="B630" s="3">
        <v>51</v>
      </c>
      <c r="C630" s="3" t="s">
        <v>35</v>
      </c>
      <c r="D630" s="3" t="s">
        <v>42</v>
      </c>
      <c r="E630" s="3" t="s">
        <v>93</v>
      </c>
      <c r="F630" s="4">
        <v>45343</v>
      </c>
      <c r="G630" s="3" t="s">
        <v>1929</v>
      </c>
      <c r="H630" s="3" t="s">
        <v>1930</v>
      </c>
      <c r="I630" s="3" t="s">
        <v>57</v>
      </c>
      <c r="J630" s="5">
        <v>5164.5538563353703</v>
      </c>
      <c r="K630" s="3">
        <v>470</v>
      </c>
      <c r="L630" s="3" t="s">
        <v>22</v>
      </c>
      <c r="M630" s="4">
        <v>45370</v>
      </c>
      <c r="N630" s="3" t="s">
        <v>23</v>
      </c>
      <c r="O630" s="3" t="s">
        <v>47</v>
      </c>
      <c r="P630" s="3" t="str">
        <f>IF(Table1[[#This Row],[Billing Amount]]&lt;5000,"Low",IF(Table1[[#This Row],[Billing Amount]]&lt;=15000,"Medium","High"))</f>
        <v>Medium</v>
      </c>
      <c r="Q630" s="3" t="str">
        <f>IF(Table1[[#This Row],[Discharge Date]]="Yes","Discharged","Under Treatment")</f>
        <v>Under Treatment</v>
      </c>
      <c r="R630" s="3" t="str">
        <f>IF(Table1[[#This Row],[Test Results]]&gt;120,"High Risk","Normal")</f>
        <v>High Risk</v>
      </c>
      <c r="S630" s="3" t="str">
        <f>IF(Table1[[#This Row],[Age]]&lt;=18,"0-18",IF(Table1[[#This Row],[Age]]&lt;=35,"19-35",IF(Table1[[#This Row],[Age]]&lt;=50,"36-50",IF(Table1[[#This Row],[Age]]&lt;=65,"51-65","65+"))))</f>
        <v>51-65</v>
      </c>
    </row>
    <row r="631" spans="1:19" x14ac:dyDescent="0.3">
      <c r="A631" s="3" t="s">
        <v>1932</v>
      </c>
      <c r="B631" s="3">
        <v>49</v>
      </c>
      <c r="C631" s="3" t="s">
        <v>16</v>
      </c>
      <c r="D631" s="3" t="s">
        <v>42</v>
      </c>
      <c r="E631" s="3" t="s">
        <v>27</v>
      </c>
      <c r="F631" s="4">
        <v>44908</v>
      </c>
      <c r="G631" s="3" t="s">
        <v>1933</v>
      </c>
      <c r="H631" s="3" t="s">
        <v>1934</v>
      </c>
      <c r="I631" s="3" t="s">
        <v>30</v>
      </c>
      <c r="J631" s="5">
        <v>6327.80102622511</v>
      </c>
      <c r="K631" s="3">
        <v>371</v>
      </c>
      <c r="L631" s="3" t="s">
        <v>31</v>
      </c>
      <c r="M631" s="4">
        <v>44923</v>
      </c>
      <c r="N631" s="3" t="s">
        <v>40</v>
      </c>
      <c r="O631" s="3" t="s">
        <v>47</v>
      </c>
      <c r="P631" s="3" t="str">
        <f>IF(Table1[[#This Row],[Billing Amount]]&lt;5000,"Low",IF(Table1[[#This Row],[Billing Amount]]&lt;=15000,"Medium","High"))</f>
        <v>Medium</v>
      </c>
      <c r="Q631" s="3" t="str">
        <f>IF(Table1[[#This Row],[Discharge Date]]="Yes","Discharged","Under Treatment")</f>
        <v>Under Treatment</v>
      </c>
      <c r="R631" s="3" t="str">
        <f>IF(Table1[[#This Row],[Test Results]]&gt;120,"High Risk","Normal")</f>
        <v>High Risk</v>
      </c>
      <c r="S631" s="3" t="str">
        <f>IF(Table1[[#This Row],[Age]]&lt;=18,"0-18",IF(Table1[[#This Row],[Age]]&lt;=35,"19-35",IF(Table1[[#This Row],[Age]]&lt;=50,"36-50",IF(Table1[[#This Row],[Age]]&lt;=65,"51-65","65+"))))</f>
        <v>36-50</v>
      </c>
    </row>
    <row r="632" spans="1:19" x14ac:dyDescent="0.3">
      <c r="A632" s="3" t="s">
        <v>1935</v>
      </c>
      <c r="B632" s="3">
        <v>68</v>
      </c>
      <c r="C632" s="3" t="s">
        <v>35</v>
      </c>
      <c r="D632" s="3" t="s">
        <v>122</v>
      </c>
      <c r="E632" s="3" t="s">
        <v>76</v>
      </c>
      <c r="F632" s="4">
        <v>44881</v>
      </c>
      <c r="G632" s="3" t="s">
        <v>1936</v>
      </c>
      <c r="H632" s="3" t="s">
        <v>1937</v>
      </c>
      <c r="I632" s="3" t="s">
        <v>21</v>
      </c>
      <c r="J632" s="5">
        <v>29526.3215250996</v>
      </c>
      <c r="K632" s="3">
        <v>384</v>
      </c>
      <c r="L632" s="3" t="s">
        <v>46</v>
      </c>
      <c r="M632" s="4">
        <v>44886</v>
      </c>
      <c r="N632" s="3" t="s">
        <v>40</v>
      </c>
      <c r="O632" s="3" t="s">
        <v>33</v>
      </c>
      <c r="P632" s="3" t="str">
        <f>IF(Table1[[#This Row],[Billing Amount]]&lt;5000,"Low",IF(Table1[[#This Row],[Billing Amount]]&lt;=15000,"Medium","High"))</f>
        <v>High</v>
      </c>
      <c r="Q632" s="3" t="str">
        <f>IF(Table1[[#This Row],[Discharge Date]]="Yes","Discharged","Under Treatment")</f>
        <v>Under Treatment</v>
      </c>
      <c r="R632" s="3" t="str">
        <f>IF(Table1[[#This Row],[Test Results]]&gt;120,"High Risk","Normal")</f>
        <v>High Risk</v>
      </c>
      <c r="S632" s="3" t="str">
        <f>IF(Table1[[#This Row],[Age]]&lt;=18,"0-18",IF(Table1[[#This Row],[Age]]&lt;=35,"19-35",IF(Table1[[#This Row],[Age]]&lt;=50,"36-50",IF(Table1[[#This Row],[Age]]&lt;=65,"51-65","65+"))))</f>
        <v>65+</v>
      </c>
    </row>
    <row r="633" spans="1:19" x14ac:dyDescent="0.3">
      <c r="A633" s="3" t="s">
        <v>1938</v>
      </c>
      <c r="B633" s="3">
        <v>69</v>
      </c>
      <c r="C633" s="3" t="s">
        <v>35</v>
      </c>
      <c r="D633" s="3" t="s">
        <v>42</v>
      </c>
      <c r="E633" s="3" t="s">
        <v>54</v>
      </c>
      <c r="F633" s="4">
        <v>43635</v>
      </c>
      <c r="G633" s="3" t="s">
        <v>1939</v>
      </c>
      <c r="H633" s="3" t="s">
        <v>1940</v>
      </c>
      <c r="I633" s="3" t="s">
        <v>30</v>
      </c>
      <c r="J633" s="5">
        <v>38989.5337611512</v>
      </c>
      <c r="K633" s="3">
        <v>165</v>
      </c>
      <c r="L633" s="3" t="s">
        <v>46</v>
      </c>
      <c r="M633" s="4">
        <v>43663</v>
      </c>
      <c r="N633" s="3" t="s">
        <v>52</v>
      </c>
      <c r="O633" s="3" t="s">
        <v>33</v>
      </c>
      <c r="P633" s="3" t="str">
        <f>IF(Table1[[#This Row],[Billing Amount]]&lt;5000,"Low",IF(Table1[[#This Row],[Billing Amount]]&lt;=15000,"Medium","High"))</f>
        <v>High</v>
      </c>
      <c r="Q633" s="3" t="str">
        <f>IF(Table1[[#This Row],[Discharge Date]]="Yes","Discharged","Under Treatment")</f>
        <v>Under Treatment</v>
      </c>
      <c r="R633" s="3" t="str">
        <f>IF(Table1[[#This Row],[Test Results]]&gt;120,"High Risk","Normal")</f>
        <v>High Risk</v>
      </c>
      <c r="S633" s="3" t="str">
        <f>IF(Table1[[#This Row],[Age]]&lt;=18,"0-18",IF(Table1[[#This Row],[Age]]&lt;=35,"19-35",IF(Table1[[#This Row],[Age]]&lt;=50,"36-50",IF(Table1[[#This Row],[Age]]&lt;=65,"51-65","65+"))))</f>
        <v>65+</v>
      </c>
    </row>
    <row r="634" spans="1:19" x14ac:dyDescent="0.3">
      <c r="A634" s="3" t="s">
        <v>1941</v>
      </c>
      <c r="B634" s="3">
        <v>49</v>
      </c>
      <c r="C634" s="3" t="s">
        <v>35</v>
      </c>
      <c r="D634" s="3" t="s">
        <v>103</v>
      </c>
      <c r="E634" s="3" t="s">
        <v>27</v>
      </c>
      <c r="F634" s="4">
        <v>44955</v>
      </c>
      <c r="G634" s="3" t="s">
        <v>1942</v>
      </c>
      <c r="H634" s="3" t="s">
        <v>1943</v>
      </c>
      <c r="I634" s="3" t="s">
        <v>21</v>
      </c>
      <c r="J634" s="5">
        <v>33395.1036616005</v>
      </c>
      <c r="K634" s="3">
        <v>490</v>
      </c>
      <c r="L634" s="3" t="s">
        <v>31</v>
      </c>
      <c r="M634" s="4">
        <v>44975</v>
      </c>
      <c r="N634" s="3" t="s">
        <v>32</v>
      </c>
      <c r="O634" s="3" t="s">
        <v>24</v>
      </c>
      <c r="P634" s="3" t="str">
        <f>IF(Table1[[#This Row],[Billing Amount]]&lt;5000,"Low",IF(Table1[[#This Row],[Billing Amount]]&lt;=15000,"Medium","High"))</f>
        <v>High</v>
      </c>
      <c r="Q634" s="3" t="str">
        <f>IF(Table1[[#This Row],[Discharge Date]]="Yes","Discharged","Under Treatment")</f>
        <v>Under Treatment</v>
      </c>
      <c r="R634" s="3" t="str">
        <f>IF(Table1[[#This Row],[Test Results]]&gt;120,"High Risk","Normal")</f>
        <v>High Risk</v>
      </c>
      <c r="S634" s="3" t="str">
        <f>IF(Table1[[#This Row],[Age]]&lt;=18,"0-18",IF(Table1[[#This Row],[Age]]&lt;=35,"19-35",IF(Table1[[#This Row],[Age]]&lt;=50,"36-50",IF(Table1[[#This Row],[Age]]&lt;=65,"51-65","65+"))))</f>
        <v>36-50</v>
      </c>
    </row>
    <row r="635" spans="1:19" x14ac:dyDescent="0.3">
      <c r="A635" s="3" t="s">
        <v>1944</v>
      </c>
      <c r="B635" s="3">
        <v>27</v>
      </c>
      <c r="C635" s="3" t="s">
        <v>35</v>
      </c>
      <c r="D635" s="3" t="s">
        <v>122</v>
      </c>
      <c r="E635" s="3" t="s">
        <v>18</v>
      </c>
      <c r="F635" s="4">
        <v>45260</v>
      </c>
      <c r="G635" s="3" t="s">
        <v>1945</v>
      </c>
      <c r="H635" s="3" t="s">
        <v>1946</v>
      </c>
      <c r="I635" s="3" t="s">
        <v>65</v>
      </c>
      <c r="J635" s="5">
        <v>20258.780318593501</v>
      </c>
      <c r="K635" s="3">
        <v>491</v>
      </c>
      <c r="L635" s="3" t="s">
        <v>46</v>
      </c>
      <c r="M635" s="4">
        <v>45272</v>
      </c>
      <c r="N635" s="3" t="s">
        <v>23</v>
      </c>
      <c r="O635" s="3" t="s">
        <v>47</v>
      </c>
      <c r="P635" s="3" t="str">
        <f>IF(Table1[[#This Row],[Billing Amount]]&lt;5000,"Low",IF(Table1[[#This Row],[Billing Amount]]&lt;=15000,"Medium","High"))</f>
        <v>High</v>
      </c>
      <c r="Q635" s="3" t="str">
        <f>IF(Table1[[#This Row],[Discharge Date]]="Yes","Discharged","Under Treatment")</f>
        <v>Under Treatment</v>
      </c>
      <c r="R635" s="3" t="str">
        <f>IF(Table1[[#This Row],[Test Results]]&gt;120,"High Risk","Normal")</f>
        <v>High Risk</v>
      </c>
      <c r="S635" s="3" t="str">
        <f>IF(Table1[[#This Row],[Age]]&lt;=18,"0-18",IF(Table1[[#This Row],[Age]]&lt;=35,"19-35",IF(Table1[[#This Row],[Age]]&lt;=50,"36-50",IF(Table1[[#This Row],[Age]]&lt;=65,"51-65","65+"))))</f>
        <v>19-35</v>
      </c>
    </row>
    <row r="636" spans="1:19" x14ac:dyDescent="0.3">
      <c r="A636" s="3" t="s">
        <v>1947</v>
      </c>
      <c r="B636" s="3">
        <v>73</v>
      </c>
      <c r="C636" s="3" t="s">
        <v>16</v>
      </c>
      <c r="D636" s="3" t="s">
        <v>26</v>
      </c>
      <c r="E636" s="3" t="s">
        <v>27</v>
      </c>
      <c r="F636" s="4">
        <v>44281</v>
      </c>
      <c r="G636" s="3" t="s">
        <v>1948</v>
      </c>
      <c r="H636" s="3" t="s">
        <v>1949</v>
      </c>
      <c r="I636" s="3" t="s">
        <v>30</v>
      </c>
      <c r="J636" s="5">
        <v>43050.8313822153</v>
      </c>
      <c r="K636" s="3">
        <v>340</v>
      </c>
      <c r="L636" s="3" t="s">
        <v>22</v>
      </c>
      <c r="M636" s="4">
        <v>44306</v>
      </c>
      <c r="N636" s="3" t="s">
        <v>52</v>
      </c>
      <c r="O636" s="3" t="s">
        <v>47</v>
      </c>
      <c r="P636" s="3" t="str">
        <f>IF(Table1[[#This Row],[Billing Amount]]&lt;5000,"Low",IF(Table1[[#This Row],[Billing Amount]]&lt;=15000,"Medium","High"))</f>
        <v>High</v>
      </c>
      <c r="Q636" s="3" t="str">
        <f>IF(Table1[[#This Row],[Discharge Date]]="Yes","Discharged","Under Treatment")</f>
        <v>Under Treatment</v>
      </c>
      <c r="R636" s="3" t="str">
        <f>IF(Table1[[#This Row],[Test Results]]&gt;120,"High Risk","Normal")</f>
        <v>High Risk</v>
      </c>
      <c r="S636" s="3" t="str">
        <f>IF(Table1[[#This Row],[Age]]&lt;=18,"0-18",IF(Table1[[#This Row],[Age]]&lt;=35,"19-35",IF(Table1[[#This Row],[Age]]&lt;=50,"36-50",IF(Table1[[#This Row],[Age]]&lt;=65,"51-65","65+"))))</f>
        <v>65+</v>
      </c>
    </row>
    <row r="637" spans="1:19" x14ac:dyDescent="0.3">
      <c r="A637" s="3" t="s">
        <v>1950</v>
      </c>
      <c r="B637" s="3">
        <v>59</v>
      </c>
      <c r="C637" s="3" t="s">
        <v>35</v>
      </c>
      <c r="D637" s="3" t="s">
        <v>122</v>
      </c>
      <c r="E637" s="3" t="s">
        <v>18</v>
      </c>
      <c r="F637" s="4">
        <v>45294</v>
      </c>
      <c r="G637" s="3" t="s">
        <v>1951</v>
      </c>
      <c r="H637" s="3" t="s">
        <v>1952</v>
      </c>
      <c r="I637" s="3" t="s">
        <v>21</v>
      </c>
      <c r="J637" s="5">
        <v>42434.776861682803</v>
      </c>
      <c r="K637" s="3">
        <v>494</v>
      </c>
      <c r="L637" s="3" t="s">
        <v>22</v>
      </c>
      <c r="M637" s="4">
        <v>45316</v>
      </c>
      <c r="N637" s="3" t="s">
        <v>79</v>
      </c>
      <c r="O637" s="3" t="s">
        <v>47</v>
      </c>
      <c r="P637" s="3" t="str">
        <f>IF(Table1[[#This Row],[Billing Amount]]&lt;5000,"Low",IF(Table1[[#This Row],[Billing Amount]]&lt;=15000,"Medium","High"))</f>
        <v>High</v>
      </c>
      <c r="Q637" s="3" t="str">
        <f>IF(Table1[[#This Row],[Discharge Date]]="Yes","Discharged","Under Treatment")</f>
        <v>Under Treatment</v>
      </c>
      <c r="R637" s="3" t="str">
        <f>IF(Table1[[#This Row],[Test Results]]&gt;120,"High Risk","Normal")</f>
        <v>High Risk</v>
      </c>
      <c r="S637" s="3" t="str">
        <f>IF(Table1[[#This Row],[Age]]&lt;=18,"0-18",IF(Table1[[#This Row],[Age]]&lt;=35,"19-35",IF(Table1[[#This Row],[Age]]&lt;=50,"36-50",IF(Table1[[#This Row],[Age]]&lt;=65,"51-65","65+"))))</f>
        <v>51-65</v>
      </c>
    </row>
    <row r="638" spans="1:19" x14ac:dyDescent="0.3">
      <c r="A638" s="3" t="s">
        <v>1953</v>
      </c>
      <c r="B638" s="3">
        <v>61</v>
      </c>
      <c r="C638" s="3" t="s">
        <v>35</v>
      </c>
      <c r="D638" s="3" t="s">
        <v>26</v>
      </c>
      <c r="E638" s="3" t="s">
        <v>18</v>
      </c>
      <c r="F638" s="4">
        <v>44898</v>
      </c>
      <c r="G638" s="3" t="s">
        <v>1954</v>
      </c>
      <c r="H638" s="3" t="s">
        <v>1955</v>
      </c>
      <c r="I638" s="3" t="s">
        <v>30</v>
      </c>
      <c r="J638" s="5">
        <v>22108.971999392601</v>
      </c>
      <c r="K638" s="3">
        <v>334</v>
      </c>
      <c r="L638" s="3" t="s">
        <v>31</v>
      </c>
      <c r="M638" s="4">
        <v>44905</v>
      </c>
      <c r="N638" s="3" t="s">
        <v>23</v>
      </c>
      <c r="O638" s="3" t="s">
        <v>33</v>
      </c>
      <c r="P638" s="3" t="str">
        <f>IF(Table1[[#This Row],[Billing Amount]]&lt;5000,"Low",IF(Table1[[#This Row],[Billing Amount]]&lt;=15000,"Medium","High"))</f>
        <v>High</v>
      </c>
      <c r="Q638" s="3" t="str">
        <f>IF(Table1[[#This Row],[Discharge Date]]="Yes","Discharged","Under Treatment")</f>
        <v>Under Treatment</v>
      </c>
      <c r="R638" s="3" t="str">
        <f>IF(Table1[[#This Row],[Test Results]]&gt;120,"High Risk","Normal")</f>
        <v>High Risk</v>
      </c>
      <c r="S638" s="3" t="str">
        <f>IF(Table1[[#This Row],[Age]]&lt;=18,"0-18",IF(Table1[[#This Row],[Age]]&lt;=35,"19-35",IF(Table1[[#This Row],[Age]]&lt;=50,"36-50",IF(Table1[[#This Row],[Age]]&lt;=65,"51-65","65+"))))</f>
        <v>51-65</v>
      </c>
    </row>
    <row r="639" spans="1:19" x14ac:dyDescent="0.3">
      <c r="A639" s="3" t="s">
        <v>1956</v>
      </c>
      <c r="B639" s="3">
        <v>50</v>
      </c>
      <c r="C639" s="3" t="s">
        <v>16</v>
      </c>
      <c r="D639" s="3" t="s">
        <v>103</v>
      </c>
      <c r="E639" s="3" t="s">
        <v>54</v>
      </c>
      <c r="F639" s="4">
        <v>44464</v>
      </c>
      <c r="G639" s="3" t="s">
        <v>1957</v>
      </c>
      <c r="H639" s="3" t="s">
        <v>1958</v>
      </c>
      <c r="I639" s="3" t="s">
        <v>57</v>
      </c>
      <c r="J639" s="5">
        <v>40783.150303669303</v>
      </c>
      <c r="K639" s="3">
        <v>366</v>
      </c>
      <c r="L639" s="3" t="s">
        <v>22</v>
      </c>
      <c r="M639" s="4">
        <v>44492</v>
      </c>
      <c r="N639" s="3" t="s">
        <v>52</v>
      </c>
      <c r="O639" s="3" t="s">
        <v>33</v>
      </c>
      <c r="P639" s="3" t="str">
        <f>IF(Table1[[#This Row],[Billing Amount]]&lt;5000,"Low",IF(Table1[[#This Row],[Billing Amount]]&lt;=15000,"Medium","High"))</f>
        <v>High</v>
      </c>
      <c r="Q639" s="3" t="str">
        <f>IF(Table1[[#This Row],[Discharge Date]]="Yes","Discharged","Under Treatment")</f>
        <v>Under Treatment</v>
      </c>
      <c r="R639" s="3" t="str">
        <f>IF(Table1[[#This Row],[Test Results]]&gt;120,"High Risk","Normal")</f>
        <v>High Risk</v>
      </c>
      <c r="S639" s="3" t="str">
        <f>IF(Table1[[#This Row],[Age]]&lt;=18,"0-18",IF(Table1[[#This Row],[Age]]&lt;=35,"19-35",IF(Table1[[#This Row],[Age]]&lt;=50,"36-50",IF(Table1[[#This Row],[Age]]&lt;=65,"51-65","65+"))))</f>
        <v>36-50</v>
      </c>
    </row>
    <row r="640" spans="1:19" x14ac:dyDescent="0.3">
      <c r="A640" s="3" t="s">
        <v>1959</v>
      </c>
      <c r="B640" s="3">
        <v>37</v>
      </c>
      <c r="C640" s="3" t="s">
        <v>35</v>
      </c>
      <c r="D640" s="3" t="s">
        <v>49</v>
      </c>
      <c r="E640" s="3" t="s">
        <v>43</v>
      </c>
      <c r="F640" s="4">
        <v>44774</v>
      </c>
      <c r="G640" s="3" t="s">
        <v>1960</v>
      </c>
      <c r="H640" s="3" t="s">
        <v>1961</v>
      </c>
      <c r="I640" s="3" t="s">
        <v>57</v>
      </c>
      <c r="J640" s="5">
        <v>41548.150825872501</v>
      </c>
      <c r="K640" s="3">
        <v>157</v>
      </c>
      <c r="L640" s="3" t="s">
        <v>46</v>
      </c>
      <c r="M640" s="4">
        <v>44803</v>
      </c>
      <c r="N640" s="3" t="s">
        <v>79</v>
      </c>
      <c r="O640" s="3" t="s">
        <v>33</v>
      </c>
      <c r="P640" s="3" t="str">
        <f>IF(Table1[[#This Row],[Billing Amount]]&lt;5000,"Low",IF(Table1[[#This Row],[Billing Amount]]&lt;=15000,"Medium","High"))</f>
        <v>High</v>
      </c>
      <c r="Q640" s="3" t="str">
        <f>IF(Table1[[#This Row],[Discharge Date]]="Yes","Discharged","Under Treatment")</f>
        <v>Under Treatment</v>
      </c>
      <c r="R640" s="3" t="str">
        <f>IF(Table1[[#This Row],[Test Results]]&gt;120,"High Risk","Normal")</f>
        <v>High Risk</v>
      </c>
      <c r="S640" s="3" t="str">
        <f>IF(Table1[[#This Row],[Age]]&lt;=18,"0-18",IF(Table1[[#This Row],[Age]]&lt;=35,"19-35",IF(Table1[[#This Row],[Age]]&lt;=50,"36-50",IF(Table1[[#This Row],[Age]]&lt;=65,"51-65","65+"))))</f>
        <v>36-50</v>
      </c>
    </row>
    <row r="641" spans="1:19" x14ac:dyDescent="0.3">
      <c r="A641" s="3" t="s">
        <v>1962</v>
      </c>
      <c r="B641" s="3">
        <v>18</v>
      </c>
      <c r="C641" s="3" t="s">
        <v>16</v>
      </c>
      <c r="D641" s="3" t="s">
        <v>49</v>
      </c>
      <c r="E641" s="3" t="s">
        <v>76</v>
      </c>
      <c r="F641" s="4">
        <v>44120</v>
      </c>
      <c r="G641" s="3" t="s">
        <v>1963</v>
      </c>
      <c r="H641" s="3" t="s">
        <v>1964</v>
      </c>
      <c r="I641" s="3" t="s">
        <v>65</v>
      </c>
      <c r="J641" s="5">
        <v>41248.130837810597</v>
      </c>
      <c r="K641" s="3">
        <v>125</v>
      </c>
      <c r="L641" s="3" t="s">
        <v>46</v>
      </c>
      <c r="M641" s="4">
        <v>44121</v>
      </c>
      <c r="N641" s="3" t="s">
        <v>79</v>
      </c>
      <c r="O641" s="3" t="s">
        <v>47</v>
      </c>
      <c r="P641" s="3" t="str">
        <f>IF(Table1[[#This Row],[Billing Amount]]&lt;5000,"Low",IF(Table1[[#This Row],[Billing Amount]]&lt;=15000,"Medium","High"))</f>
        <v>High</v>
      </c>
      <c r="Q641" s="3" t="str">
        <f>IF(Table1[[#This Row],[Discharge Date]]="Yes","Discharged","Under Treatment")</f>
        <v>Under Treatment</v>
      </c>
      <c r="R641" s="3" t="str">
        <f>IF(Table1[[#This Row],[Test Results]]&gt;120,"High Risk","Normal")</f>
        <v>High Risk</v>
      </c>
      <c r="S641" s="3" t="str">
        <f>IF(Table1[[#This Row],[Age]]&lt;=18,"0-18",IF(Table1[[#This Row],[Age]]&lt;=35,"19-35",IF(Table1[[#This Row],[Age]]&lt;=50,"36-50",IF(Table1[[#This Row],[Age]]&lt;=65,"51-65","65+"))))</f>
        <v>0-18</v>
      </c>
    </row>
    <row r="642" spans="1:19" x14ac:dyDescent="0.3">
      <c r="A642" s="3" t="s">
        <v>1965</v>
      </c>
      <c r="B642" s="3">
        <v>25</v>
      </c>
      <c r="C642" s="3" t="s">
        <v>35</v>
      </c>
      <c r="D642" s="3" t="s">
        <v>26</v>
      </c>
      <c r="E642" s="3" t="s">
        <v>18</v>
      </c>
      <c r="F642" s="4">
        <v>45411</v>
      </c>
      <c r="G642" s="3" t="s">
        <v>1966</v>
      </c>
      <c r="H642" s="3" t="s">
        <v>1967</v>
      </c>
      <c r="I642" s="3" t="s">
        <v>57</v>
      </c>
      <c r="J642" s="5">
        <v>6162.3459594781698</v>
      </c>
      <c r="K642" s="3">
        <v>332</v>
      </c>
      <c r="L642" s="3" t="s">
        <v>31</v>
      </c>
      <c r="M642" s="4">
        <v>45431</v>
      </c>
      <c r="N642" s="3" t="s">
        <v>40</v>
      </c>
      <c r="O642" s="3" t="s">
        <v>33</v>
      </c>
      <c r="P642" s="3" t="str">
        <f>IF(Table1[[#This Row],[Billing Amount]]&lt;5000,"Low",IF(Table1[[#This Row],[Billing Amount]]&lt;=15000,"Medium","High"))</f>
        <v>Medium</v>
      </c>
      <c r="Q642" s="3" t="str">
        <f>IF(Table1[[#This Row],[Discharge Date]]="Yes","Discharged","Under Treatment")</f>
        <v>Under Treatment</v>
      </c>
      <c r="R642" s="3" t="str">
        <f>IF(Table1[[#This Row],[Test Results]]&gt;120,"High Risk","Normal")</f>
        <v>High Risk</v>
      </c>
      <c r="S642" s="3" t="str">
        <f>IF(Table1[[#This Row],[Age]]&lt;=18,"0-18",IF(Table1[[#This Row],[Age]]&lt;=35,"19-35",IF(Table1[[#This Row],[Age]]&lt;=50,"36-50",IF(Table1[[#This Row],[Age]]&lt;=65,"51-65","65+"))))</f>
        <v>19-35</v>
      </c>
    </row>
    <row r="643" spans="1:19" x14ac:dyDescent="0.3">
      <c r="A643" s="3" t="s">
        <v>1969</v>
      </c>
      <c r="B643" s="3">
        <v>59</v>
      </c>
      <c r="C643" s="3" t="s">
        <v>35</v>
      </c>
      <c r="D643" s="3" t="s">
        <v>59</v>
      </c>
      <c r="E643" s="3" t="s">
        <v>93</v>
      </c>
      <c r="F643" s="4">
        <v>44816</v>
      </c>
      <c r="G643" s="3" t="s">
        <v>1970</v>
      </c>
      <c r="H643" s="3" t="s">
        <v>1971</v>
      </c>
      <c r="I643" s="3" t="s">
        <v>65</v>
      </c>
      <c r="J643" s="5">
        <v>23154.638501228801</v>
      </c>
      <c r="K643" s="3">
        <v>418</v>
      </c>
      <c r="L643" s="3" t="s">
        <v>31</v>
      </c>
      <c r="M643" s="4">
        <v>44825</v>
      </c>
      <c r="N643" s="3" t="s">
        <v>40</v>
      </c>
      <c r="O643" s="3" t="s">
        <v>24</v>
      </c>
      <c r="P643" s="3" t="str">
        <f>IF(Table1[[#This Row],[Billing Amount]]&lt;5000,"Low",IF(Table1[[#This Row],[Billing Amount]]&lt;=15000,"Medium","High"))</f>
        <v>High</v>
      </c>
      <c r="Q643" s="3" t="str">
        <f>IF(Table1[[#This Row],[Discharge Date]]="Yes","Discharged","Under Treatment")</f>
        <v>Under Treatment</v>
      </c>
      <c r="R643" s="3" t="str">
        <f>IF(Table1[[#This Row],[Test Results]]&gt;120,"High Risk","Normal")</f>
        <v>High Risk</v>
      </c>
      <c r="S643" s="3" t="str">
        <f>IF(Table1[[#This Row],[Age]]&lt;=18,"0-18",IF(Table1[[#This Row],[Age]]&lt;=35,"19-35",IF(Table1[[#This Row],[Age]]&lt;=50,"36-50",IF(Table1[[#This Row],[Age]]&lt;=65,"51-65","65+"))))</f>
        <v>51-65</v>
      </c>
    </row>
    <row r="644" spans="1:19" x14ac:dyDescent="0.3">
      <c r="A644" s="3" t="s">
        <v>1972</v>
      </c>
      <c r="B644" s="3">
        <v>82</v>
      </c>
      <c r="C644" s="3" t="s">
        <v>16</v>
      </c>
      <c r="D644" s="3" t="s">
        <v>42</v>
      </c>
      <c r="E644" s="3" t="s">
        <v>43</v>
      </c>
      <c r="F644" s="4">
        <v>43646</v>
      </c>
      <c r="G644" s="3" t="s">
        <v>1973</v>
      </c>
      <c r="H644" s="3" t="s">
        <v>1974</v>
      </c>
      <c r="I644" s="3" t="s">
        <v>57</v>
      </c>
      <c r="J644" s="5">
        <v>6653.5915604930296</v>
      </c>
      <c r="K644" s="3">
        <v>449</v>
      </c>
      <c r="L644" s="3" t="s">
        <v>31</v>
      </c>
      <c r="M644" s="4">
        <v>43668</v>
      </c>
      <c r="N644" s="3" t="s">
        <v>52</v>
      </c>
      <c r="O644" s="3" t="s">
        <v>24</v>
      </c>
      <c r="P644" s="3" t="str">
        <f>IF(Table1[[#This Row],[Billing Amount]]&lt;5000,"Low",IF(Table1[[#This Row],[Billing Amount]]&lt;=15000,"Medium","High"))</f>
        <v>Medium</v>
      </c>
      <c r="Q644" s="3" t="str">
        <f>IF(Table1[[#This Row],[Discharge Date]]="Yes","Discharged","Under Treatment")</f>
        <v>Under Treatment</v>
      </c>
      <c r="R644" s="3" t="str">
        <f>IF(Table1[[#This Row],[Test Results]]&gt;120,"High Risk","Normal")</f>
        <v>High Risk</v>
      </c>
      <c r="S644" s="3" t="str">
        <f>IF(Table1[[#This Row],[Age]]&lt;=18,"0-18",IF(Table1[[#This Row],[Age]]&lt;=35,"19-35",IF(Table1[[#This Row],[Age]]&lt;=50,"36-50",IF(Table1[[#This Row],[Age]]&lt;=65,"51-65","65+"))))</f>
        <v>65+</v>
      </c>
    </row>
    <row r="645" spans="1:19" x14ac:dyDescent="0.3">
      <c r="A645" s="3" t="s">
        <v>1975</v>
      </c>
      <c r="B645" s="3">
        <v>63</v>
      </c>
      <c r="C645" s="3" t="s">
        <v>35</v>
      </c>
      <c r="D645" s="3" t="s">
        <v>59</v>
      </c>
      <c r="E645" s="3" t="s">
        <v>27</v>
      </c>
      <c r="F645" s="4">
        <v>43853</v>
      </c>
      <c r="G645" s="3" t="s">
        <v>1976</v>
      </c>
      <c r="H645" s="3" t="s">
        <v>1977</v>
      </c>
      <c r="I645" s="3" t="s">
        <v>65</v>
      </c>
      <c r="J645" s="5">
        <v>31457.797306905199</v>
      </c>
      <c r="K645" s="3">
        <v>316</v>
      </c>
      <c r="L645" s="3" t="s">
        <v>46</v>
      </c>
      <c r="M645" s="4">
        <v>43862</v>
      </c>
      <c r="N645" s="3" t="s">
        <v>40</v>
      </c>
      <c r="O645" s="3" t="s">
        <v>24</v>
      </c>
      <c r="P645" s="3" t="str">
        <f>IF(Table1[[#This Row],[Billing Amount]]&lt;5000,"Low",IF(Table1[[#This Row],[Billing Amount]]&lt;=15000,"Medium","High"))</f>
        <v>High</v>
      </c>
      <c r="Q645" s="3" t="str">
        <f>IF(Table1[[#This Row],[Discharge Date]]="Yes","Discharged","Under Treatment")</f>
        <v>Under Treatment</v>
      </c>
      <c r="R645" s="3" t="str">
        <f>IF(Table1[[#This Row],[Test Results]]&gt;120,"High Risk","Normal")</f>
        <v>High Risk</v>
      </c>
      <c r="S645" s="3" t="str">
        <f>IF(Table1[[#This Row],[Age]]&lt;=18,"0-18",IF(Table1[[#This Row],[Age]]&lt;=35,"19-35",IF(Table1[[#This Row],[Age]]&lt;=50,"36-50",IF(Table1[[#This Row],[Age]]&lt;=65,"51-65","65+"))))</f>
        <v>51-65</v>
      </c>
    </row>
    <row r="646" spans="1:19" x14ac:dyDescent="0.3">
      <c r="A646" s="3" t="s">
        <v>1978</v>
      </c>
      <c r="B646" s="3">
        <v>66</v>
      </c>
      <c r="C646" s="3" t="s">
        <v>16</v>
      </c>
      <c r="D646" s="3" t="s">
        <v>59</v>
      </c>
      <c r="E646" s="3" t="s">
        <v>18</v>
      </c>
      <c r="F646" s="4">
        <v>44956</v>
      </c>
      <c r="G646" s="3" t="s">
        <v>1979</v>
      </c>
      <c r="H646" s="3" t="s">
        <v>1980</v>
      </c>
      <c r="I646" s="3" t="s">
        <v>30</v>
      </c>
      <c r="J646" s="5">
        <v>41413.809391901501</v>
      </c>
      <c r="K646" s="3">
        <v>323</v>
      </c>
      <c r="L646" s="3" t="s">
        <v>31</v>
      </c>
      <c r="M646" s="4">
        <v>44984</v>
      </c>
      <c r="N646" s="3" t="s">
        <v>32</v>
      </c>
      <c r="O646" s="3" t="s">
        <v>33</v>
      </c>
      <c r="P646" s="3" t="str">
        <f>IF(Table1[[#This Row],[Billing Amount]]&lt;5000,"Low",IF(Table1[[#This Row],[Billing Amount]]&lt;=15000,"Medium","High"))</f>
        <v>High</v>
      </c>
      <c r="Q646" s="3" t="str">
        <f>IF(Table1[[#This Row],[Discharge Date]]="Yes","Discharged","Under Treatment")</f>
        <v>Under Treatment</v>
      </c>
      <c r="R646" s="3" t="str">
        <f>IF(Table1[[#This Row],[Test Results]]&gt;120,"High Risk","Normal")</f>
        <v>High Risk</v>
      </c>
      <c r="S646" s="3" t="str">
        <f>IF(Table1[[#This Row],[Age]]&lt;=18,"0-18",IF(Table1[[#This Row],[Age]]&lt;=35,"19-35",IF(Table1[[#This Row],[Age]]&lt;=50,"36-50",IF(Table1[[#This Row],[Age]]&lt;=65,"51-65","65+"))))</f>
        <v>65+</v>
      </c>
    </row>
    <row r="647" spans="1:19" x14ac:dyDescent="0.3">
      <c r="A647" s="3" t="s">
        <v>1981</v>
      </c>
      <c r="B647" s="3">
        <v>58</v>
      </c>
      <c r="C647" s="3" t="s">
        <v>16</v>
      </c>
      <c r="D647" s="3" t="s">
        <v>42</v>
      </c>
      <c r="E647" s="3" t="s">
        <v>93</v>
      </c>
      <c r="F647" s="4">
        <v>43701</v>
      </c>
      <c r="G647" s="3" t="s">
        <v>1982</v>
      </c>
      <c r="H647" s="3" t="s">
        <v>1983</v>
      </c>
      <c r="I647" s="3" t="s">
        <v>39</v>
      </c>
      <c r="J647" s="5">
        <v>16352.5862779409</v>
      </c>
      <c r="K647" s="3">
        <v>478</v>
      </c>
      <c r="L647" s="3" t="s">
        <v>22</v>
      </c>
      <c r="M647" s="4">
        <v>43725</v>
      </c>
      <c r="N647" s="3" t="s">
        <v>40</v>
      </c>
      <c r="O647" s="3" t="s">
        <v>24</v>
      </c>
      <c r="P647" s="3" t="str">
        <f>IF(Table1[[#This Row],[Billing Amount]]&lt;5000,"Low",IF(Table1[[#This Row],[Billing Amount]]&lt;=15000,"Medium","High"))</f>
        <v>High</v>
      </c>
      <c r="Q647" s="3" t="str">
        <f>IF(Table1[[#This Row],[Discharge Date]]="Yes","Discharged","Under Treatment")</f>
        <v>Under Treatment</v>
      </c>
      <c r="R647" s="3" t="str">
        <f>IF(Table1[[#This Row],[Test Results]]&gt;120,"High Risk","Normal")</f>
        <v>High Risk</v>
      </c>
      <c r="S647" s="3" t="str">
        <f>IF(Table1[[#This Row],[Age]]&lt;=18,"0-18",IF(Table1[[#This Row],[Age]]&lt;=35,"19-35",IF(Table1[[#This Row],[Age]]&lt;=50,"36-50",IF(Table1[[#This Row],[Age]]&lt;=65,"51-65","65+"))))</f>
        <v>51-65</v>
      </c>
    </row>
    <row r="648" spans="1:19" x14ac:dyDescent="0.3">
      <c r="A648" s="3" t="s">
        <v>1984</v>
      </c>
      <c r="B648" s="3">
        <v>28</v>
      </c>
      <c r="C648" s="3" t="s">
        <v>35</v>
      </c>
      <c r="D648" s="3" t="s">
        <v>26</v>
      </c>
      <c r="E648" s="3" t="s">
        <v>93</v>
      </c>
      <c r="F648" s="4">
        <v>45327</v>
      </c>
      <c r="G648" s="3" t="s">
        <v>1985</v>
      </c>
      <c r="H648" s="3" t="s">
        <v>1986</v>
      </c>
      <c r="I648" s="3" t="s">
        <v>57</v>
      </c>
      <c r="J648" s="5">
        <v>1805.52280570939</v>
      </c>
      <c r="K648" s="3">
        <v>205</v>
      </c>
      <c r="L648" s="3" t="s">
        <v>22</v>
      </c>
      <c r="M648" s="4">
        <v>45328</v>
      </c>
      <c r="N648" s="3" t="s">
        <v>52</v>
      </c>
      <c r="O648" s="3" t="s">
        <v>24</v>
      </c>
      <c r="P648" s="3" t="str">
        <f>IF(Table1[[#This Row],[Billing Amount]]&lt;5000,"Low",IF(Table1[[#This Row],[Billing Amount]]&lt;=15000,"Medium","High"))</f>
        <v>Low</v>
      </c>
      <c r="Q648" s="3" t="str">
        <f>IF(Table1[[#This Row],[Discharge Date]]="Yes","Discharged","Under Treatment")</f>
        <v>Under Treatment</v>
      </c>
      <c r="R648" s="3" t="str">
        <f>IF(Table1[[#This Row],[Test Results]]&gt;120,"High Risk","Normal")</f>
        <v>High Risk</v>
      </c>
      <c r="S648" s="3" t="str">
        <f>IF(Table1[[#This Row],[Age]]&lt;=18,"0-18",IF(Table1[[#This Row],[Age]]&lt;=35,"19-35",IF(Table1[[#This Row],[Age]]&lt;=50,"36-50",IF(Table1[[#This Row],[Age]]&lt;=65,"51-65","65+"))))</f>
        <v>19-35</v>
      </c>
    </row>
    <row r="649" spans="1:19" x14ac:dyDescent="0.3">
      <c r="A649" s="3" t="s">
        <v>1987</v>
      </c>
      <c r="B649" s="3">
        <v>18</v>
      </c>
      <c r="C649" s="3" t="s">
        <v>35</v>
      </c>
      <c r="D649" s="3" t="s">
        <v>42</v>
      </c>
      <c r="E649" s="3" t="s">
        <v>93</v>
      </c>
      <c r="F649" s="4">
        <v>44438</v>
      </c>
      <c r="G649" s="3" t="s">
        <v>1988</v>
      </c>
      <c r="H649" s="3" t="s">
        <v>1989</v>
      </c>
      <c r="I649" s="3" t="s">
        <v>21</v>
      </c>
      <c r="J649" s="5">
        <v>38363.261268971903</v>
      </c>
      <c r="K649" s="3">
        <v>286</v>
      </c>
      <c r="L649" s="3" t="s">
        <v>31</v>
      </c>
      <c r="M649" s="4">
        <v>44464</v>
      </c>
      <c r="N649" s="3" t="s">
        <v>52</v>
      </c>
      <c r="O649" s="3" t="s">
        <v>33</v>
      </c>
      <c r="P649" s="3" t="str">
        <f>IF(Table1[[#This Row],[Billing Amount]]&lt;5000,"Low",IF(Table1[[#This Row],[Billing Amount]]&lt;=15000,"Medium","High"))</f>
        <v>High</v>
      </c>
      <c r="Q649" s="3" t="str">
        <f>IF(Table1[[#This Row],[Discharge Date]]="Yes","Discharged","Under Treatment")</f>
        <v>Under Treatment</v>
      </c>
      <c r="R649" s="3" t="str">
        <f>IF(Table1[[#This Row],[Test Results]]&gt;120,"High Risk","Normal")</f>
        <v>High Risk</v>
      </c>
      <c r="S649" s="3" t="str">
        <f>IF(Table1[[#This Row],[Age]]&lt;=18,"0-18",IF(Table1[[#This Row],[Age]]&lt;=35,"19-35",IF(Table1[[#This Row],[Age]]&lt;=50,"36-50",IF(Table1[[#This Row],[Age]]&lt;=65,"51-65","65+"))))</f>
        <v>0-18</v>
      </c>
    </row>
    <row r="650" spans="1:19" x14ac:dyDescent="0.3">
      <c r="A650" s="3" t="s">
        <v>1990</v>
      </c>
      <c r="B650" s="3">
        <v>46</v>
      </c>
      <c r="C650" s="3" t="s">
        <v>35</v>
      </c>
      <c r="D650" s="3" t="s">
        <v>103</v>
      </c>
      <c r="E650" s="3" t="s">
        <v>54</v>
      </c>
      <c r="F650" s="4">
        <v>44568</v>
      </c>
      <c r="G650" s="3" t="s">
        <v>1991</v>
      </c>
      <c r="H650" s="3" t="s">
        <v>1992</v>
      </c>
      <c r="I650" s="3" t="s">
        <v>65</v>
      </c>
      <c r="J650" s="5">
        <v>32746.5563747251</v>
      </c>
      <c r="K650" s="3">
        <v>416</v>
      </c>
      <c r="L650" s="3" t="s">
        <v>22</v>
      </c>
      <c r="M650" s="4">
        <v>44586</v>
      </c>
      <c r="N650" s="3" t="s">
        <v>32</v>
      </c>
      <c r="O650" s="3" t="s">
        <v>24</v>
      </c>
      <c r="P650" s="3" t="str">
        <f>IF(Table1[[#This Row],[Billing Amount]]&lt;5000,"Low",IF(Table1[[#This Row],[Billing Amount]]&lt;=15000,"Medium","High"))</f>
        <v>High</v>
      </c>
      <c r="Q650" s="3" t="str">
        <f>IF(Table1[[#This Row],[Discharge Date]]="Yes","Discharged","Under Treatment")</f>
        <v>Under Treatment</v>
      </c>
      <c r="R650" s="3" t="str">
        <f>IF(Table1[[#This Row],[Test Results]]&gt;120,"High Risk","Normal")</f>
        <v>High Risk</v>
      </c>
      <c r="S650" s="3" t="str">
        <f>IF(Table1[[#This Row],[Age]]&lt;=18,"0-18",IF(Table1[[#This Row],[Age]]&lt;=35,"19-35",IF(Table1[[#This Row],[Age]]&lt;=50,"36-50",IF(Table1[[#This Row],[Age]]&lt;=65,"51-65","65+"))))</f>
        <v>36-50</v>
      </c>
    </row>
    <row r="651" spans="1:19" x14ac:dyDescent="0.3">
      <c r="A651" s="3" t="s">
        <v>1993</v>
      </c>
      <c r="B651" s="3">
        <v>24</v>
      </c>
      <c r="C651" s="3" t="s">
        <v>35</v>
      </c>
      <c r="D651" s="3" t="s">
        <v>103</v>
      </c>
      <c r="E651" s="3" t="s">
        <v>18</v>
      </c>
      <c r="F651" s="4">
        <v>43890</v>
      </c>
      <c r="G651" s="3" t="s">
        <v>1994</v>
      </c>
      <c r="H651" s="3" t="s">
        <v>1995</v>
      </c>
      <c r="I651" s="3" t="s">
        <v>57</v>
      </c>
      <c r="J651" s="5">
        <v>32993.492398907198</v>
      </c>
      <c r="K651" s="3">
        <v>151</v>
      </c>
      <c r="L651" s="3" t="s">
        <v>22</v>
      </c>
      <c r="M651" s="4">
        <v>43907</v>
      </c>
      <c r="N651" s="3" t="s">
        <v>79</v>
      </c>
      <c r="O651" s="3" t="s">
        <v>24</v>
      </c>
      <c r="P651" s="3" t="str">
        <f>IF(Table1[[#This Row],[Billing Amount]]&lt;5000,"Low",IF(Table1[[#This Row],[Billing Amount]]&lt;=15000,"Medium","High"))</f>
        <v>High</v>
      </c>
      <c r="Q651" s="3" t="str">
        <f>IF(Table1[[#This Row],[Discharge Date]]="Yes","Discharged","Under Treatment")</f>
        <v>Under Treatment</v>
      </c>
      <c r="R651" s="3" t="str">
        <f>IF(Table1[[#This Row],[Test Results]]&gt;120,"High Risk","Normal")</f>
        <v>High Risk</v>
      </c>
      <c r="S651" s="3" t="str">
        <f>IF(Table1[[#This Row],[Age]]&lt;=18,"0-18",IF(Table1[[#This Row],[Age]]&lt;=35,"19-35",IF(Table1[[#This Row],[Age]]&lt;=50,"36-50",IF(Table1[[#This Row],[Age]]&lt;=65,"51-65","65+"))))</f>
        <v>19-35</v>
      </c>
    </row>
    <row r="652" spans="1:19" x14ac:dyDescent="0.3">
      <c r="A652" s="3" t="s">
        <v>1996</v>
      </c>
      <c r="B652" s="3">
        <v>53</v>
      </c>
      <c r="C652" s="3" t="s">
        <v>16</v>
      </c>
      <c r="D652" s="3" t="s">
        <v>26</v>
      </c>
      <c r="E652" s="3" t="s">
        <v>27</v>
      </c>
      <c r="F652" s="4">
        <v>43683</v>
      </c>
      <c r="G652" s="3" t="s">
        <v>1997</v>
      </c>
      <c r="H652" s="3" t="s">
        <v>1998</v>
      </c>
      <c r="I652" s="3" t="s">
        <v>57</v>
      </c>
      <c r="J652" s="5">
        <v>3338.2155112066498</v>
      </c>
      <c r="K652" s="3">
        <v>362</v>
      </c>
      <c r="L652" s="3" t="s">
        <v>31</v>
      </c>
      <c r="M652" s="4">
        <v>43711</v>
      </c>
      <c r="N652" s="3" t="s">
        <v>79</v>
      </c>
      <c r="O652" s="3" t="s">
        <v>24</v>
      </c>
      <c r="P652" s="3" t="str">
        <f>IF(Table1[[#This Row],[Billing Amount]]&lt;5000,"Low",IF(Table1[[#This Row],[Billing Amount]]&lt;=15000,"Medium","High"))</f>
        <v>Low</v>
      </c>
      <c r="Q652" s="3" t="str">
        <f>IF(Table1[[#This Row],[Discharge Date]]="Yes","Discharged","Under Treatment")</f>
        <v>Under Treatment</v>
      </c>
      <c r="R652" s="3" t="str">
        <f>IF(Table1[[#This Row],[Test Results]]&gt;120,"High Risk","Normal")</f>
        <v>High Risk</v>
      </c>
      <c r="S652" s="3" t="str">
        <f>IF(Table1[[#This Row],[Age]]&lt;=18,"0-18",IF(Table1[[#This Row],[Age]]&lt;=35,"19-35",IF(Table1[[#This Row],[Age]]&lt;=50,"36-50",IF(Table1[[#This Row],[Age]]&lt;=65,"51-65","65+"))))</f>
        <v>51-65</v>
      </c>
    </row>
    <row r="653" spans="1:19" x14ac:dyDescent="0.3">
      <c r="A653" s="3" t="s">
        <v>1999</v>
      </c>
      <c r="B653" s="3">
        <v>72</v>
      </c>
      <c r="C653" s="3" t="s">
        <v>35</v>
      </c>
      <c r="D653" s="3" t="s">
        <v>42</v>
      </c>
      <c r="E653" s="3" t="s">
        <v>54</v>
      </c>
      <c r="F653" s="4">
        <v>44536</v>
      </c>
      <c r="G653" s="3" t="s">
        <v>1192</v>
      </c>
      <c r="H653" s="3" t="s">
        <v>2000</v>
      </c>
      <c r="I653" s="3" t="s">
        <v>21</v>
      </c>
      <c r="J653" s="5">
        <v>35828.319502236402</v>
      </c>
      <c r="K653" s="3">
        <v>248</v>
      </c>
      <c r="L653" s="3" t="s">
        <v>31</v>
      </c>
      <c r="M653" s="4">
        <v>44542</v>
      </c>
      <c r="N653" s="3" t="s">
        <v>40</v>
      </c>
      <c r="O653" s="3" t="s">
        <v>33</v>
      </c>
      <c r="P653" s="3" t="str">
        <f>IF(Table1[[#This Row],[Billing Amount]]&lt;5000,"Low",IF(Table1[[#This Row],[Billing Amount]]&lt;=15000,"Medium","High"))</f>
        <v>High</v>
      </c>
      <c r="Q653" s="3" t="str">
        <f>IF(Table1[[#This Row],[Discharge Date]]="Yes","Discharged","Under Treatment")</f>
        <v>Under Treatment</v>
      </c>
      <c r="R653" s="3" t="str">
        <f>IF(Table1[[#This Row],[Test Results]]&gt;120,"High Risk","Normal")</f>
        <v>High Risk</v>
      </c>
      <c r="S653" s="3" t="str">
        <f>IF(Table1[[#This Row],[Age]]&lt;=18,"0-18",IF(Table1[[#This Row],[Age]]&lt;=35,"19-35",IF(Table1[[#This Row],[Age]]&lt;=50,"36-50",IF(Table1[[#This Row],[Age]]&lt;=65,"51-65","65+"))))</f>
        <v>65+</v>
      </c>
    </row>
    <row r="654" spans="1:19" x14ac:dyDescent="0.3">
      <c r="A654" s="3" t="s">
        <v>2001</v>
      </c>
      <c r="B654" s="3">
        <v>73</v>
      </c>
      <c r="C654" s="3" t="s">
        <v>16</v>
      </c>
      <c r="D654" s="3" t="s">
        <v>49</v>
      </c>
      <c r="E654" s="3" t="s">
        <v>76</v>
      </c>
      <c r="F654" s="4">
        <v>43826</v>
      </c>
      <c r="G654" s="3" t="s">
        <v>2002</v>
      </c>
      <c r="H654" s="3" t="s">
        <v>2003</v>
      </c>
      <c r="I654" s="3" t="s">
        <v>30</v>
      </c>
      <c r="J654" s="5">
        <v>30283.174586609999</v>
      </c>
      <c r="K654" s="3">
        <v>311</v>
      </c>
      <c r="L654" s="3" t="s">
        <v>31</v>
      </c>
      <c r="M654" s="4">
        <v>43828</v>
      </c>
      <c r="N654" s="3" t="s">
        <v>79</v>
      </c>
      <c r="O654" s="3" t="s">
        <v>47</v>
      </c>
      <c r="P654" s="3" t="str">
        <f>IF(Table1[[#This Row],[Billing Amount]]&lt;5000,"Low",IF(Table1[[#This Row],[Billing Amount]]&lt;=15000,"Medium","High"))</f>
        <v>High</v>
      </c>
      <c r="Q654" s="3" t="str">
        <f>IF(Table1[[#This Row],[Discharge Date]]="Yes","Discharged","Under Treatment")</f>
        <v>Under Treatment</v>
      </c>
      <c r="R654" s="3" t="str">
        <f>IF(Table1[[#This Row],[Test Results]]&gt;120,"High Risk","Normal")</f>
        <v>High Risk</v>
      </c>
      <c r="S654" s="3" t="str">
        <f>IF(Table1[[#This Row],[Age]]&lt;=18,"0-18",IF(Table1[[#This Row],[Age]]&lt;=35,"19-35",IF(Table1[[#This Row],[Age]]&lt;=50,"36-50",IF(Table1[[#This Row],[Age]]&lt;=65,"51-65","65+"))))</f>
        <v>65+</v>
      </c>
    </row>
    <row r="655" spans="1:19" x14ac:dyDescent="0.3">
      <c r="A655" s="3" t="s">
        <v>2004</v>
      </c>
      <c r="B655" s="3">
        <v>69</v>
      </c>
      <c r="C655" s="3" t="s">
        <v>35</v>
      </c>
      <c r="D655" s="3" t="s">
        <v>59</v>
      </c>
      <c r="E655" s="3" t="s">
        <v>18</v>
      </c>
      <c r="F655" s="4">
        <v>44716</v>
      </c>
      <c r="G655" s="3" t="s">
        <v>2005</v>
      </c>
      <c r="H655" s="3" t="s">
        <v>2006</v>
      </c>
      <c r="I655" s="3" t="s">
        <v>65</v>
      </c>
      <c r="J655" s="5">
        <v>31419.119372499099</v>
      </c>
      <c r="K655" s="3">
        <v>201</v>
      </c>
      <c r="L655" s="3" t="s">
        <v>22</v>
      </c>
      <c r="M655" s="4">
        <v>44725</v>
      </c>
      <c r="N655" s="3" t="s">
        <v>52</v>
      </c>
      <c r="O655" s="3" t="s">
        <v>24</v>
      </c>
      <c r="P655" s="3" t="str">
        <f>IF(Table1[[#This Row],[Billing Amount]]&lt;5000,"Low",IF(Table1[[#This Row],[Billing Amount]]&lt;=15000,"Medium","High"))</f>
        <v>High</v>
      </c>
      <c r="Q655" s="3" t="str">
        <f>IF(Table1[[#This Row],[Discharge Date]]="Yes","Discharged","Under Treatment")</f>
        <v>Under Treatment</v>
      </c>
      <c r="R655" s="3" t="str">
        <f>IF(Table1[[#This Row],[Test Results]]&gt;120,"High Risk","Normal")</f>
        <v>High Risk</v>
      </c>
      <c r="S655" s="3" t="str">
        <f>IF(Table1[[#This Row],[Age]]&lt;=18,"0-18",IF(Table1[[#This Row],[Age]]&lt;=35,"19-35",IF(Table1[[#This Row],[Age]]&lt;=50,"36-50",IF(Table1[[#This Row],[Age]]&lt;=65,"51-65","65+"))))</f>
        <v>65+</v>
      </c>
    </row>
    <row r="656" spans="1:19" x14ac:dyDescent="0.3">
      <c r="A656" s="3" t="s">
        <v>2007</v>
      </c>
      <c r="B656" s="3">
        <v>32</v>
      </c>
      <c r="C656" s="3" t="s">
        <v>16</v>
      </c>
      <c r="D656" s="3" t="s">
        <v>42</v>
      </c>
      <c r="E656" s="3" t="s">
        <v>43</v>
      </c>
      <c r="F656" s="4">
        <v>44944</v>
      </c>
      <c r="G656" s="3" t="s">
        <v>2008</v>
      </c>
      <c r="H656" s="3" t="s">
        <v>2009</v>
      </c>
      <c r="I656" s="3" t="s">
        <v>39</v>
      </c>
      <c r="J656" s="5">
        <v>23734.854011553402</v>
      </c>
      <c r="K656" s="3">
        <v>394</v>
      </c>
      <c r="L656" s="3" t="s">
        <v>31</v>
      </c>
      <c r="M656" s="4">
        <v>44960</v>
      </c>
      <c r="N656" s="3" t="s">
        <v>52</v>
      </c>
      <c r="O656" s="3" t="s">
        <v>24</v>
      </c>
      <c r="P656" s="3" t="str">
        <f>IF(Table1[[#This Row],[Billing Amount]]&lt;5000,"Low",IF(Table1[[#This Row],[Billing Amount]]&lt;=15000,"Medium","High"))</f>
        <v>High</v>
      </c>
      <c r="Q656" s="3" t="str">
        <f>IF(Table1[[#This Row],[Discharge Date]]="Yes","Discharged","Under Treatment")</f>
        <v>Under Treatment</v>
      </c>
      <c r="R656" s="3" t="str">
        <f>IF(Table1[[#This Row],[Test Results]]&gt;120,"High Risk","Normal")</f>
        <v>High Risk</v>
      </c>
      <c r="S656" s="3" t="str">
        <f>IF(Table1[[#This Row],[Age]]&lt;=18,"0-18",IF(Table1[[#This Row],[Age]]&lt;=35,"19-35",IF(Table1[[#This Row],[Age]]&lt;=50,"36-50",IF(Table1[[#This Row],[Age]]&lt;=65,"51-65","65+"))))</f>
        <v>19-35</v>
      </c>
    </row>
    <row r="657" spans="1:19" x14ac:dyDescent="0.3">
      <c r="A657" s="3" t="s">
        <v>2010</v>
      </c>
      <c r="B657" s="3">
        <v>29</v>
      </c>
      <c r="C657" s="3" t="s">
        <v>16</v>
      </c>
      <c r="D657" s="3" t="s">
        <v>103</v>
      </c>
      <c r="E657" s="3" t="s">
        <v>43</v>
      </c>
      <c r="F657" s="4">
        <v>45132</v>
      </c>
      <c r="G657" s="3" t="s">
        <v>2011</v>
      </c>
      <c r="H657" s="3" t="s">
        <v>2012</v>
      </c>
      <c r="I657" s="3" t="s">
        <v>39</v>
      </c>
      <c r="J657" s="5">
        <v>45417.642346733497</v>
      </c>
      <c r="K657" s="3">
        <v>167</v>
      </c>
      <c r="L657" s="3" t="s">
        <v>46</v>
      </c>
      <c r="M657" s="4">
        <v>45135</v>
      </c>
      <c r="N657" s="3" t="s">
        <v>79</v>
      </c>
      <c r="O657" s="3" t="s">
        <v>33</v>
      </c>
      <c r="P657" s="3" t="str">
        <f>IF(Table1[[#This Row],[Billing Amount]]&lt;5000,"Low",IF(Table1[[#This Row],[Billing Amount]]&lt;=15000,"Medium","High"))</f>
        <v>High</v>
      </c>
      <c r="Q657" s="3" t="str">
        <f>IF(Table1[[#This Row],[Discharge Date]]="Yes","Discharged","Under Treatment")</f>
        <v>Under Treatment</v>
      </c>
      <c r="R657" s="3" t="str">
        <f>IF(Table1[[#This Row],[Test Results]]&gt;120,"High Risk","Normal")</f>
        <v>High Risk</v>
      </c>
      <c r="S657" s="3" t="str">
        <f>IF(Table1[[#This Row],[Age]]&lt;=18,"0-18",IF(Table1[[#This Row],[Age]]&lt;=35,"19-35",IF(Table1[[#This Row],[Age]]&lt;=50,"36-50",IF(Table1[[#This Row],[Age]]&lt;=65,"51-65","65+"))))</f>
        <v>19-35</v>
      </c>
    </row>
    <row r="658" spans="1:19" x14ac:dyDescent="0.3">
      <c r="A658" s="3" t="s">
        <v>2013</v>
      </c>
      <c r="B658" s="3">
        <v>82</v>
      </c>
      <c r="C658" s="3" t="s">
        <v>35</v>
      </c>
      <c r="D658" s="3" t="s">
        <v>26</v>
      </c>
      <c r="E658" s="3" t="s">
        <v>93</v>
      </c>
      <c r="F658" s="4">
        <v>44029</v>
      </c>
      <c r="G658" s="3" t="s">
        <v>2014</v>
      </c>
      <c r="H658" s="3" t="s">
        <v>2015</v>
      </c>
      <c r="I658" s="3" t="s">
        <v>21</v>
      </c>
      <c r="J658" s="5">
        <v>12822.7832871436</v>
      </c>
      <c r="K658" s="3">
        <v>356</v>
      </c>
      <c r="L658" s="3" t="s">
        <v>22</v>
      </c>
      <c r="M658" s="4">
        <v>44052</v>
      </c>
      <c r="N658" s="3" t="s">
        <v>79</v>
      </c>
      <c r="O658" s="3" t="s">
        <v>33</v>
      </c>
      <c r="P658" s="3" t="str">
        <f>IF(Table1[[#This Row],[Billing Amount]]&lt;5000,"Low",IF(Table1[[#This Row],[Billing Amount]]&lt;=15000,"Medium","High"))</f>
        <v>Medium</v>
      </c>
      <c r="Q658" s="3" t="str">
        <f>IF(Table1[[#This Row],[Discharge Date]]="Yes","Discharged","Under Treatment")</f>
        <v>Under Treatment</v>
      </c>
      <c r="R658" s="3" t="str">
        <f>IF(Table1[[#This Row],[Test Results]]&gt;120,"High Risk","Normal")</f>
        <v>High Risk</v>
      </c>
      <c r="S658" s="3" t="str">
        <f>IF(Table1[[#This Row],[Age]]&lt;=18,"0-18",IF(Table1[[#This Row],[Age]]&lt;=35,"19-35",IF(Table1[[#This Row],[Age]]&lt;=50,"36-50",IF(Table1[[#This Row],[Age]]&lt;=65,"51-65","65+"))))</f>
        <v>65+</v>
      </c>
    </row>
    <row r="659" spans="1:19" x14ac:dyDescent="0.3">
      <c r="A659" s="3" t="s">
        <v>2016</v>
      </c>
      <c r="B659" s="3">
        <v>19</v>
      </c>
      <c r="C659" s="3" t="s">
        <v>16</v>
      </c>
      <c r="D659" s="3" t="s">
        <v>122</v>
      </c>
      <c r="E659" s="3" t="s">
        <v>27</v>
      </c>
      <c r="F659" s="4">
        <v>44960</v>
      </c>
      <c r="G659" s="3" t="s">
        <v>2017</v>
      </c>
      <c r="H659" s="3" t="s">
        <v>2018</v>
      </c>
      <c r="I659" s="3" t="s">
        <v>39</v>
      </c>
      <c r="J659" s="5">
        <v>25856.220204485999</v>
      </c>
      <c r="K659" s="3">
        <v>441</v>
      </c>
      <c r="L659" s="3" t="s">
        <v>31</v>
      </c>
      <c r="M659" s="4">
        <v>44980</v>
      </c>
      <c r="N659" s="3" t="s">
        <v>79</v>
      </c>
      <c r="O659" s="3" t="s">
        <v>47</v>
      </c>
      <c r="P659" s="3" t="str">
        <f>IF(Table1[[#This Row],[Billing Amount]]&lt;5000,"Low",IF(Table1[[#This Row],[Billing Amount]]&lt;=15000,"Medium","High"))</f>
        <v>High</v>
      </c>
      <c r="Q659" s="3" t="str">
        <f>IF(Table1[[#This Row],[Discharge Date]]="Yes","Discharged","Under Treatment")</f>
        <v>Under Treatment</v>
      </c>
      <c r="R659" s="3" t="str">
        <f>IF(Table1[[#This Row],[Test Results]]&gt;120,"High Risk","Normal")</f>
        <v>High Risk</v>
      </c>
      <c r="S659" s="3" t="str">
        <f>IF(Table1[[#This Row],[Age]]&lt;=18,"0-18",IF(Table1[[#This Row],[Age]]&lt;=35,"19-35",IF(Table1[[#This Row],[Age]]&lt;=50,"36-50",IF(Table1[[#This Row],[Age]]&lt;=65,"51-65","65+"))))</f>
        <v>19-35</v>
      </c>
    </row>
    <row r="660" spans="1:19" x14ac:dyDescent="0.3">
      <c r="A660" s="3" t="s">
        <v>2019</v>
      </c>
      <c r="B660" s="3">
        <v>63</v>
      </c>
      <c r="C660" s="3" t="s">
        <v>16</v>
      </c>
      <c r="D660" s="3" t="s">
        <v>36</v>
      </c>
      <c r="E660" s="3" t="s">
        <v>93</v>
      </c>
      <c r="F660" s="4">
        <v>44527</v>
      </c>
      <c r="G660" s="3" t="s">
        <v>2020</v>
      </c>
      <c r="H660" s="3" t="s">
        <v>2021</v>
      </c>
      <c r="I660" s="3" t="s">
        <v>57</v>
      </c>
      <c r="J660" s="5">
        <v>10443.6777697778</v>
      </c>
      <c r="K660" s="3">
        <v>125</v>
      </c>
      <c r="L660" s="3" t="s">
        <v>46</v>
      </c>
      <c r="M660" s="4">
        <v>44538</v>
      </c>
      <c r="N660" s="3" t="s">
        <v>52</v>
      </c>
      <c r="O660" s="3" t="s">
        <v>24</v>
      </c>
      <c r="P660" s="3" t="str">
        <f>IF(Table1[[#This Row],[Billing Amount]]&lt;5000,"Low",IF(Table1[[#This Row],[Billing Amount]]&lt;=15000,"Medium","High"))</f>
        <v>Medium</v>
      </c>
      <c r="Q660" s="3" t="str">
        <f>IF(Table1[[#This Row],[Discharge Date]]="Yes","Discharged","Under Treatment")</f>
        <v>Under Treatment</v>
      </c>
      <c r="R660" s="3" t="str">
        <f>IF(Table1[[#This Row],[Test Results]]&gt;120,"High Risk","Normal")</f>
        <v>High Risk</v>
      </c>
      <c r="S660" s="3" t="str">
        <f>IF(Table1[[#This Row],[Age]]&lt;=18,"0-18",IF(Table1[[#This Row],[Age]]&lt;=35,"19-35",IF(Table1[[#This Row],[Age]]&lt;=50,"36-50",IF(Table1[[#This Row],[Age]]&lt;=65,"51-65","65+"))))</f>
        <v>51-65</v>
      </c>
    </row>
    <row r="661" spans="1:19" x14ac:dyDescent="0.3">
      <c r="A661" s="3" t="s">
        <v>2022</v>
      </c>
      <c r="B661" s="3">
        <v>38</v>
      </c>
      <c r="C661" s="3" t="s">
        <v>16</v>
      </c>
      <c r="D661" s="3" t="s">
        <v>36</v>
      </c>
      <c r="E661" s="3" t="s">
        <v>76</v>
      </c>
      <c r="F661" s="4">
        <v>44061</v>
      </c>
      <c r="G661" s="3" t="s">
        <v>2023</v>
      </c>
      <c r="H661" s="3" t="s">
        <v>2024</v>
      </c>
      <c r="I661" s="3" t="s">
        <v>21</v>
      </c>
      <c r="J661" s="5">
        <v>40606.458482727197</v>
      </c>
      <c r="K661" s="3">
        <v>496</v>
      </c>
      <c r="L661" s="3" t="s">
        <v>31</v>
      </c>
      <c r="M661" s="4">
        <v>44067</v>
      </c>
      <c r="N661" s="3" t="s">
        <v>23</v>
      </c>
      <c r="O661" s="3" t="s">
        <v>33</v>
      </c>
      <c r="P661" s="3" t="str">
        <f>IF(Table1[[#This Row],[Billing Amount]]&lt;5000,"Low",IF(Table1[[#This Row],[Billing Amount]]&lt;=15000,"Medium","High"))</f>
        <v>High</v>
      </c>
      <c r="Q661" s="3" t="str">
        <f>IF(Table1[[#This Row],[Discharge Date]]="Yes","Discharged","Under Treatment")</f>
        <v>Under Treatment</v>
      </c>
      <c r="R661" s="3" t="str">
        <f>IF(Table1[[#This Row],[Test Results]]&gt;120,"High Risk","Normal")</f>
        <v>High Risk</v>
      </c>
      <c r="S661" s="3" t="str">
        <f>IF(Table1[[#This Row],[Age]]&lt;=18,"0-18",IF(Table1[[#This Row],[Age]]&lt;=35,"19-35",IF(Table1[[#This Row],[Age]]&lt;=50,"36-50",IF(Table1[[#This Row],[Age]]&lt;=65,"51-65","65+"))))</f>
        <v>36-50</v>
      </c>
    </row>
    <row r="662" spans="1:19" x14ac:dyDescent="0.3">
      <c r="A662" s="3" t="s">
        <v>2025</v>
      </c>
      <c r="B662" s="3">
        <v>38</v>
      </c>
      <c r="C662" s="3" t="s">
        <v>16</v>
      </c>
      <c r="D662" s="3" t="s">
        <v>17</v>
      </c>
      <c r="E662" s="3" t="s">
        <v>54</v>
      </c>
      <c r="F662" s="4">
        <v>45339</v>
      </c>
      <c r="G662" s="3" t="s">
        <v>2026</v>
      </c>
      <c r="H662" s="3" t="s">
        <v>2027</v>
      </c>
      <c r="I662" s="3" t="s">
        <v>57</v>
      </c>
      <c r="J662" s="5">
        <v>34557.2886363492</v>
      </c>
      <c r="K662" s="3">
        <v>174</v>
      </c>
      <c r="L662" s="3" t="s">
        <v>31</v>
      </c>
      <c r="M662" s="4">
        <v>45341</v>
      </c>
      <c r="N662" s="3" t="s">
        <v>79</v>
      </c>
      <c r="O662" s="3" t="s">
        <v>24</v>
      </c>
      <c r="P662" s="3" t="str">
        <f>IF(Table1[[#This Row],[Billing Amount]]&lt;5000,"Low",IF(Table1[[#This Row],[Billing Amount]]&lt;=15000,"Medium","High"))</f>
        <v>High</v>
      </c>
      <c r="Q662" s="3" t="str">
        <f>IF(Table1[[#This Row],[Discharge Date]]="Yes","Discharged","Under Treatment")</f>
        <v>Under Treatment</v>
      </c>
      <c r="R662" s="3" t="str">
        <f>IF(Table1[[#This Row],[Test Results]]&gt;120,"High Risk","Normal")</f>
        <v>High Risk</v>
      </c>
      <c r="S662" s="3" t="str">
        <f>IF(Table1[[#This Row],[Age]]&lt;=18,"0-18",IF(Table1[[#This Row],[Age]]&lt;=35,"19-35",IF(Table1[[#This Row],[Age]]&lt;=50,"36-50",IF(Table1[[#This Row],[Age]]&lt;=65,"51-65","65+"))))</f>
        <v>36-50</v>
      </c>
    </row>
    <row r="663" spans="1:19" x14ac:dyDescent="0.3">
      <c r="A663" s="3" t="s">
        <v>2028</v>
      </c>
      <c r="B663" s="3">
        <v>36</v>
      </c>
      <c r="C663" s="3" t="s">
        <v>16</v>
      </c>
      <c r="D663" s="3" t="s">
        <v>49</v>
      </c>
      <c r="E663" s="3" t="s">
        <v>43</v>
      </c>
      <c r="F663" s="4">
        <v>44547</v>
      </c>
      <c r="G663" s="3" t="s">
        <v>2029</v>
      </c>
      <c r="H663" s="3" t="s">
        <v>2030</v>
      </c>
      <c r="I663" s="3" t="s">
        <v>21</v>
      </c>
      <c r="J663" s="5">
        <v>28270.3035717442</v>
      </c>
      <c r="K663" s="3">
        <v>119</v>
      </c>
      <c r="L663" s="3" t="s">
        <v>46</v>
      </c>
      <c r="M663" s="4">
        <v>44568</v>
      </c>
      <c r="N663" s="3" t="s">
        <v>32</v>
      </c>
      <c r="O663" s="3" t="s">
        <v>33</v>
      </c>
      <c r="P663" s="3" t="str">
        <f>IF(Table1[[#This Row],[Billing Amount]]&lt;5000,"Low",IF(Table1[[#This Row],[Billing Amount]]&lt;=15000,"Medium","High"))</f>
        <v>High</v>
      </c>
      <c r="Q663" s="3" t="str">
        <f>IF(Table1[[#This Row],[Discharge Date]]="Yes","Discharged","Under Treatment")</f>
        <v>Under Treatment</v>
      </c>
      <c r="R663" s="3" t="str">
        <f>IF(Table1[[#This Row],[Test Results]]&gt;120,"High Risk","Normal")</f>
        <v>High Risk</v>
      </c>
      <c r="S663" s="3" t="str">
        <f>IF(Table1[[#This Row],[Age]]&lt;=18,"0-18",IF(Table1[[#This Row],[Age]]&lt;=35,"19-35",IF(Table1[[#This Row],[Age]]&lt;=50,"36-50",IF(Table1[[#This Row],[Age]]&lt;=65,"51-65","65+"))))</f>
        <v>36-50</v>
      </c>
    </row>
    <row r="664" spans="1:19" x14ac:dyDescent="0.3">
      <c r="A664" s="3" t="s">
        <v>2031</v>
      </c>
      <c r="B664" s="3">
        <v>67</v>
      </c>
      <c r="C664" s="3" t="s">
        <v>35</v>
      </c>
      <c r="D664" s="3" t="s">
        <v>26</v>
      </c>
      <c r="E664" s="3" t="s">
        <v>93</v>
      </c>
      <c r="F664" s="4">
        <v>44824</v>
      </c>
      <c r="G664" s="3" t="s">
        <v>2032</v>
      </c>
      <c r="H664" s="3" t="s">
        <v>2033</v>
      </c>
      <c r="I664" s="3" t="s">
        <v>21</v>
      </c>
      <c r="J664" s="5">
        <v>47734.987870708297</v>
      </c>
      <c r="K664" s="3">
        <v>143</v>
      </c>
      <c r="L664" s="3" t="s">
        <v>31</v>
      </c>
      <c r="M664" s="4">
        <v>44841</v>
      </c>
      <c r="N664" s="3" t="s">
        <v>40</v>
      </c>
      <c r="O664" s="3" t="s">
        <v>47</v>
      </c>
      <c r="P664" s="3" t="str">
        <f>IF(Table1[[#This Row],[Billing Amount]]&lt;5000,"Low",IF(Table1[[#This Row],[Billing Amount]]&lt;=15000,"Medium","High"))</f>
        <v>High</v>
      </c>
      <c r="Q664" s="3" t="str">
        <f>IF(Table1[[#This Row],[Discharge Date]]="Yes","Discharged","Under Treatment")</f>
        <v>Under Treatment</v>
      </c>
      <c r="R664" s="3" t="str">
        <f>IF(Table1[[#This Row],[Test Results]]&gt;120,"High Risk","Normal")</f>
        <v>High Risk</v>
      </c>
      <c r="S664" s="3" t="str">
        <f>IF(Table1[[#This Row],[Age]]&lt;=18,"0-18",IF(Table1[[#This Row],[Age]]&lt;=35,"19-35",IF(Table1[[#This Row],[Age]]&lt;=50,"36-50",IF(Table1[[#This Row],[Age]]&lt;=65,"51-65","65+"))))</f>
        <v>65+</v>
      </c>
    </row>
    <row r="665" spans="1:19" x14ac:dyDescent="0.3">
      <c r="A665" s="3" t="s">
        <v>2034</v>
      </c>
      <c r="B665" s="3">
        <v>39</v>
      </c>
      <c r="C665" s="3" t="s">
        <v>16</v>
      </c>
      <c r="D665" s="3" t="s">
        <v>26</v>
      </c>
      <c r="E665" s="3" t="s">
        <v>93</v>
      </c>
      <c r="F665" s="4">
        <v>44481</v>
      </c>
      <c r="G665" s="3" t="s">
        <v>2035</v>
      </c>
      <c r="H665" s="3" t="s">
        <v>2036</v>
      </c>
      <c r="I665" s="3" t="s">
        <v>21</v>
      </c>
      <c r="J665" s="5">
        <v>8731.4822745908004</v>
      </c>
      <c r="K665" s="3">
        <v>219</v>
      </c>
      <c r="L665" s="3" t="s">
        <v>31</v>
      </c>
      <c r="M665" s="4">
        <v>44496</v>
      </c>
      <c r="N665" s="3" t="s">
        <v>32</v>
      </c>
      <c r="O665" s="3" t="s">
        <v>24</v>
      </c>
      <c r="P665" s="3" t="str">
        <f>IF(Table1[[#This Row],[Billing Amount]]&lt;5000,"Low",IF(Table1[[#This Row],[Billing Amount]]&lt;=15000,"Medium","High"))</f>
        <v>Medium</v>
      </c>
      <c r="Q665" s="3" t="str">
        <f>IF(Table1[[#This Row],[Discharge Date]]="Yes","Discharged","Under Treatment")</f>
        <v>Under Treatment</v>
      </c>
      <c r="R665" s="3" t="str">
        <f>IF(Table1[[#This Row],[Test Results]]&gt;120,"High Risk","Normal")</f>
        <v>High Risk</v>
      </c>
      <c r="S665" s="3" t="str">
        <f>IF(Table1[[#This Row],[Age]]&lt;=18,"0-18",IF(Table1[[#This Row],[Age]]&lt;=35,"19-35",IF(Table1[[#This Row],[Age]]&lt;=50,"36-50",IF(Table1[[#This Row],[Age]]&lt;=65,"51-65","65+"))))</f>
        <v>36-50</v>
      </c>
    </row>
    <row r="666" spans="1:19" x14ac:dyDescent="0.3">
      <c r="A666" s="3" t="s">
        <v>2037</v>
      </c>
      <c r="B666" s="3">
        <v>55</v>
      </c>
      <c r="C666" s="3" t="s">
        <v>16</v>
      </c>
      <c r="D666" s="3" t="s">
        <v>122</v>
      </c>
      <c r="E666" s="3" t="s">
        <v>54</v>
      </c>
      <c r="F666" s="4">
        <v>45146</v>
      </c>
      <c r="G666" s="3" t="s">
        <v>2038</v>
      </c>
      <c r="H666" s="3" t="s">
        <v>2039</v>
      </c>
      <c r="I666" s="3" t="s">
        <v>30</v>
      </c>
      <c r="J666" s="5">
        <v>19249.687186475301</v>
      </c>
      <c r="K666" s="3">
        <v>107</v>
      </c>
      <c r="L666" s="3" t="s">
        <v>31</v>
      </c>
      <c r="M666" s="4">
        <v>45159</v>
      </c>
      <c r="N666" s="3" t="s">
        <v>40</v>
      </c>
      <c r="O666" s="3" t="s">
        <v>47</v>
      </c>
      <c r="P666" s="3" t="str">
        <f>IF(Table1[[#This Row],[Billing Amount]]&lt;5000,"Low",IF(Table1[[#This Row],[Billing Amount]]&lt;=15000,"Medium","High"))</f>
        <v>High</v>
      </c>
      <c r="Q666" s="3" t="str">
        <f>IF(Table1[[#This Row],[Discharge Date]]="Yes","Discharged","Under Treatment")</f>
        <v>Under Treatment</v>
      </c>
      <c r="R666" s="3" t="str">
        <f>IF(Table1[[#This Row],[Test Results]]&gt;120,"High Risk","Normal")</f>
        <v>High Risk</v>
      </c>
      <c r="S666" s="3" t="str">
        <f>IF(Table1[[#This Row],[Age]]&lt;=18,"0-18",IF(Table1[[#This Row],[Age]]&lt;=35,"19-35",IF(Table1[[#This Row],[Age]]&lt;=50,"36-50",IF(Table1[[#This Row],[Age]]&lt;=65,"51-65","65+"))))</f>
        <v>51-65</v>
      </c>
    </row>
    <row r="667" spans="1:19" x14ac:dyDescent="0.3">
      <c r="A667" s="3" t="s">
        <v>2040</v>
      </c>
      <c r="B667" s="3">
        <v>80</v>
      </c>
      <c r="C667" s="3" t="s">
        <v>16</v>
      </c>
      <c r="D667" s="3" t="s">
        <v>59</v>
      </c>
      <c r="E667" s="3" t="s">
        <v>27</v>
      </c>
      <c r="F667" s="4">
        <v>43784</v>
      </c>
      <c r="G667" s="3" t="s">
        <v>2041</v>
      </c>
      <c r="H667" s="3" t="s">
        <v>2042</v>
      </c>
      <c r="I667" s="3" t="s">
        <v>39</v>
      </c>
      <c r="J667" s="5">
        <v>22758.637601322302</v>
      </c>
      <c r="K667" s="3">
        <v>170</v>
      </c>
      <c r="L667" s="3" t="s">
        <v>46</v>
      </c>
      <c r="M667" s="4">
        <v>43812</v>
      </c>
      <c r="N667" s="3" t="s">
        <v>40</v>
      </c>
      <c r="O667" s="3" t="s">
        <v>33</v>
      </c>
      <c r="P667" s="3" t="str">
        <f>IF(Table1[[#This Row],[Billing Amount]]&lt;5000,"Low",IF(Table1[[#This Row],[Billing Amount]]&lt;=15000,"Medium","High"))</f>
        <v>High</v>
      </c>
      <c r="Q667" s="3" t="str">
        <f>IF(Table1[[#This Row],[Discharge Date]]="Yes","Discharged","Under Treatment")</f>
        <v>Under Treatment</v>
      </c>
      <c r="R667" s="3" t="str">
        <f>IF(Table1[[#This Row],[Test Results]]&gt;120,"High Risk","Normal")</f>
        <v>High Risk</v>
      </c>
      <c r="S667" s="3" t="str">
        <f>IF(Table1[[#This Row],[Age]]&lt;=18,"0-18",IF(Table1[[#This Row],[Age]]&lt;=35,"19-35",IF(Table1[[#This Row],[Age]]&lt;=50,"36-50",IF(Table1[[#This Row],[Age]]&lt;=65,"51-65","65+"))))</f>
        <v>65+</v>
      </c>
    </row>
    <row r="668" spans="1:19" x14ac:dyDescent="0.3">
      <c r="A668" s="3" t="s">
        <v>2044</v>
      </c>
      <c r="B668" s="3">
        <v>41</v>
      </c>
      <c r="C668" s="3" t="s">
        <v>16</v>
      </c>
      <c r="D668" s="3" t="s">
        <v>42</v>
      </c>
      <c r="E668" s="3" t="s">
        <v>18</v>
      </c>
      <c r="F668" s="4">
        <v>44873</v>
      </c>
      <c r="G668" s="3" t="s">
        <v>2045</v>
      </c>
      <c r="H668" s="3" t="s">
        <v>2046</v>
      </c>
      <c r="I668" s="3" t="s">
        <v>65</v>
      </c>
      <c r="J668" s="5">
        <v>3899.8636407651702</v>
      </c>
      <c r="K668" s="3">
        <v>234</v>
      </c>
      <c r="L668" s="3" t="s">
        <v>31</v>
      </c>
      <c r="M668" s="4">
        <v>44876</v>
      </c>
      <c r="N668" s="3" t="s">
        <v>52</v>
      </c>
      <c r="O668" s="3" t="s">
        <v>47</v>
      </c>
      <c r="P668" s="3" t="str">
        <f>IF(Table1[[#This Row],[Billing Amount]]&lt;5000,"Low",IF(Table1[[#This Row],[Billing Amount]]&lt;=15000,"Medium","High"))</f>
        <v>Low</v>
      </c>
      <c r="Q668" s="3" t="str">
        <f>IF(Table1[[#This Row],[Discharge Date]]="Yes","Discharged","Under Treatment")</f>
        <v>Under Treatment</v>
      </c>
      <c r="R668" s="3" t="str">
        <f>IF(Table1[[#This Row],[Test Results]]&gt;120,"High Risk","Normal")</f>
        <v>High Risk</v>
      </c>
      <c r="S668" s="3" t="str">
        <f>IF(Table1[[#This Row],[Age]]&lt;=18,"0-18",IF(Table1[[#This Row],[Age]]&lt;=35,"19-35",IF(Table1[[#This Row],[Age]]&lt;=50,"36-50",IF(Table1[[#This Row],[Age]]&lt;=65,"51-65","65+"))))</f>
        <v>36-50</v>
      </c>
    </row>
    <row r="669" spans="1:19" x14ac:dyDescent="0.3">
      <c r="A669" s="3" t="s">
        <v>2047</v>
      </c>
      <c r="B669" s="3">
        <v>81</v>
      </c>
      <c r="C669" s="3" t="s">
        <v>16</v>
      </c>
      <c r="D669" s="3" t="s">
        <v>26</v>
      </c>
      <c r="E669" s="3" t="s">
        <v>93</v>
      </c>
      <c r="F669" s="4">
        <v>43885</v>
      </c>
      <c r="G669" s="3" t="s">
        <v>2048</v>
      </c>
      <c r="H669" s="3" t="s">
        <v>2049</v>
      </c>
      <c r="I669" s="3" t="s">
        <v>21</v>
      </c>
      <c r="J669" s="5">
        <v>19698.000742558201</v>
      </c>
      <c r="K669" s="3">
        <v>279</v>
      </c>
      <c r="L669" s="3" t="s">
        <v>46</v>
      </c>
      <c r="M669" s="4">
        <v>43906</v>
      </c>
      <c r="N669" s="3" t="s">
        <v>23</v>
      </c>
      <c r="O669" s="3" t="s">
        <v>47</v>
      </c>
      <c r="P669" s="3" t="str">
        <f>IF(Table1[[#This Row],[Billing Amount]]&lt;5000,"Low",IF(Table1[[#This Row],[Billing Amount]]&lt;=15000,"Medium","High"))</f>
        <v>High</v>
      </c>
      <c r="Q669" s="3" t="str">
        <f>IF(Table1[[#This Row],[Discharge Date]]="Yes","Discharged","Under Treatment")</f>
        <v>Under Treatment</v>
      </c>
      <c r="R669" s="3" t="str">
        <f>IF(Table1[[#This Row],[Test Results]]&gt;120,"High Risk","Normal")</f>
        <v>High Risk</v>
      </c>
      <c r="S669" s="3" t="str">
        <f>IF(Table1[[#This Row],[Age]]&lt;=18,"0-18",IF(Table1[[#This Row],[Age]]&lt;=35,"19-35",IF(Table1[[#This Row],[Age]]&lt;=50,"36-50",IF(Table1[[#This Row],[Age]]&lt;=65,"51-65","65+"))))</f>
        <v>65+</v>
      </c>
    </row>
    <row r="670" spans="1:19" x14ac:dyDescent="0.3">
      <c r="A670" s="3" t="s">
        <v>2050</v>
      </c>
      <c r="B670" s="3">
        <v>66</v>
      </c>
      <c r="C670" s="3" t="s">
        <v>35</v>
      </c>
      <c r="D670" s="3" t="s">
        <v>42</v>
      </c>
      <c r="E670" s="3" t="s">
        <v>54</v>
      </c>
      <c r="F670" s="4">
        <v>44709</v>
      </c>
      <c r="G670" s="3" t="s">
        <v>2051</v>
      </c>
      <c r="H670" s="3" t="s">
        <v>2052</v>
      </c>
      <c r="I670" s="3" t="s">
        <v>39</v>
      </c>
      <c r="J670" s="5">
        <v>34060.2729478252</v>
      </c>
      <c r="K670" s="3">
        <v>111</v>
      </c>
      <c r="L670" s="3" t="s">
        <v>46</v>
      </c>
      <c r="M670" s="4">
        <v>44734</v>
      </c>
      <c r="N670" s="3" t="s">
        <v>79</v>
      </c>
      <c r="O670" s="3" t="s">
        <v>33</v>
      </c>
      <c r="P670" s="3" t="str">
        <f>IF(Table1[[#This Row],[Billing Amount]]&lt;5000,"Low",IF(Table1[[#This Row],[Billing Amount]]&lt;=15000,"Medium","High"))</f>
        <v>High</v>
      </c>
      <c r="Q670" s="3" t="str">
        <f>IF(Table1[[#This Row],[Discharge Date]]="Yes","Discharged","Under Treatment")</f>
        <v>Under Treatment</v>
      </c>
      <c r="R670" s="3" t="str">
        <f>IF(Table1[[#This Row],[Test Results]]&gt;120,"High Risk","Normal")</f>
        <v>High Risk</v>
      </c>
      <c r="S670" s="3" t="str">
        <f>IF(Table1[[#This Row],[Age]]&lt;=18,"0-18",IF(Table1[[#This Row],[Age]]&lt;=35,"19-35",IF(Table1[[#This Row],[Age]]&lt;=50,"36-50",IF(Table1[[#This Row],[Age]]&lt;=65,"51-65","65+"))))</f>
        <v>65+</v>
      </c>
    </row>
    <row r="671" spans="1:19" x14ac:dyDescent="0.3">
      <c r="A671" s="3" t="s">
        <v>2053</v>
      </c>
      <c r="B671" s="3">
        <v>44</v>
      </c>
      <c r="C671" s="3" t="s">
        <v>16</v>
      </c>
      <c r="D671" s="3" t="s">
        <v>26</v>
      </c>
      <c r="E671" s="3" t="s">
        <v>76</v>
      </c>
      <c r="F671" s="4">
        <v>44807</v>
      </c>
      <c r="G671" s="3" t="s">
        <v>2054</v>
      </c>
      <c r="H671" s="3" t="s">
        <v>2055</v>
      </c>
      <c r="I671" s="3" t="s">
        <v>57</v>
      </c>
      <c r="J671" s="5">
        <v>40367.634173431703</v>
      </c>
      <c r="K671" s="3">
        <v>317</v>
      </c>
      <c r="L671" s="3" t="s">
        <v>46</v>
      </c>
      <c r="M671" s="4">
        <v>44834</v>
      </c>
      <c r="N671" s="3" t="s">
        <v>40</v>
      </c>
      <c r="O671" s="3" t="s">
        <v>33</v>
      </c>
      <c r="P671" s="3" t="str">
        <f>IF(Table1[[#This Row],[Billing Amount]]&lt;5000,"Low",IF(Table1[[#This Row],[Billing Amount]]&lt;=15000,"Medium","High"))</f>
        <v>High</v>
      </c>
      <c r="Q671" s="3" t="str">
        <f>IF(Table1[[#This Row],[Discharge Date]]="Yes","Discharged","Under Treatment")</f>
        <v>Under Treatment</v>
      </c>
      <c r="R671" s="3" t="str">
        <f>IF(Table1[[#This Row],[Test Results]]&gt;120,"High Risk","Normal")</f>
        <v>High Risk</v>
      </c>
      <c r="S671" s="3" t="str">
        <f>IF(Table1[[#This Row],[Age]]&lt;=18,"0-18",IF(Table1[[#This Row],[Age]]&lt;=35,"19-35",IF(Table1[[#This Row],[Age]]&lt;=50,"36-50",IF(Table1[[#This Row],[Age]]&lt;=65,"51-65","65+"))))</f>
        <v>36-50</v>
      </c>
    </row>
    <row r="672" spans="1:19" x14ac:dyDescent="0.3">
      <c r="A672" s="3" t="s">
        <v>2056</v>
      </c>
      <c r="B672" s="3">
        <v>81</v>
      </c>
      <c r="C672" s="3" t="s">
        <v>35</v>
      </c>
      <c r="D672" s="3" t="s">
        <v>59</v>
      </c>
      <c r="E672" s="3" t="s">
        <v>93</v>
      </c>
      <c r="F672" s="4">
        <v>43928</v>
      </c>
      <c r="G672" s="3" t="s">
        <v>2057</v>
      </c>
      <c r="H672" s="3" t="s">
        <v>2058</v>
      </c>
      <c r="I672" s="3" t="s">
        <v>65</v>
      </c>
      <c r="J672" s="5">
        <v>3638.2461963533001</v>
      </c>
      <c r="K672" s="3">
        <v>125</v>
      </c>
      <c r="L672" s="3" t="s">
        <v>31</v>
      </c>
      <c r="M672" s="4">
        <v>43951</v>
      </c>
      <c r="N672" s="3" t="s">
        <v>40</v>
      </c>
      <c r="O672" s="3" t="s">
        <v>47</v>
      </c>
      <c r="P672" s="3" t="str">
        <f>IF(Table1[[#This Row],[Billing Amount]]&lt;5000,"Low",IF(Table1[[#This Row],[Billing Amount]]&lt;=15000,"Medium","High"))</f>
        <v>Low</v>
      </c>
      <c r="Q672" s="3" t="str">
        <f>IF(Table1[[#This Row],[Discharge Date]]="Yes","Discharged","Under Treatment")</f>
        <v>Under Treatment</v>
      </c>
      <c r="R672" s="3" t="str">
        <f>IF(Table1[[#This Row],[Test Results]]&gt;120,"High Risk","Normal")</f>
        <v>High Risk</v>
      </c>
      <c r="S672" s="3" t="str">
        <f>IF(Table1[[#This Row],[Age]]&lt;=18,"0-18",IF(Table1[[#This Row],[Age]]&lt;=35,"19-35",IF(Table1[[#This Row],[Age]]&lt;=50,"36-50",IF(Table1[[#This Row],[Age]]&lt;=65,"51-65","65+"))))</f>
        <v>65+</v>
      </c>
    </row>
    <row r="673" spans="1:19" x14ac:dyDescent="0.3">
      <c r="A673" s="3" t="s">
        <v>2059</v>
      </c>
      <c r="B673" s="3">
        <v>77</v>
      </c>
      <c r="C673" s="3" t="s">
        <v>16</v>
      </c>
      <c r="D673" s="3" t="s">
        <v>42</v>
      </c>
      <c r="E673" s="3" t="s">
        <v>93</v>
      </c>
      <c r="F673" s="4">
        <v>43702</v>
      </c>
      <c r="G673" s="3" t="s">
        <v>2060</v>
      </c>
      <c r="H673" s="3" t="s">
        <v>2061</v>
      </c>
      <c r="I673" s="3" t="s">
        <v>65</v>
      </c>
      <c r="J673" s="5">
        <v>46134.925978635998</v>
      </c>
      <c r="K673" s="3">
        <v>107</v>
      </c>
      <c r="L673" s="3" t="s">
        <v>46</v>
      </c>
      <c r="M673" s="4">
        <v>43712</v>
      </c>
      <c r="N673" s="3" t="s">
        <v>40</v>
      </c>
      <c r="O673" s="3" t="s">
        <v>33</v>
      </c>
      <c r="P673" s="3" t="str">
        <f>IF(Table1[[#This Row],[Billing Amount]]&lt;5000,"Low",IF(Table1[[#This Row],[Billing Amount]]&lt;=15000,"Medium","High"))</f>
        <v>High</v>
      </c>
      <c r="Q673" s="3" t="str">
        <f>IF(Table1[[#This Row],[Discharge Date]]="Yes","Discharged","Under Treatment")</f>
        <v>Under Treatment</v>
      </c>
      <c r="R673" s="3" t="str">
        <f>IF(Table1[[#This Row],[Test Results]]&gt;120,"High Risk","Normal")</f>
        <v>High Risk</v>
      </c>
      <c r="S673" s="3" t="str">
        <f>IF(Table1[[#This Row],[Age]]&lt;=18,"0-18",IF(Table1[[#This Row],[Age]]&lt;=35,"19-35",IF(Table1[[#This Row],[Age]]&lt;=50,"36-50",IF(Table1[[#This Row],[Age]]&lt;=65,"51-65","65+"))))</f>
        <v>65+</v>
      </c>
    </row>
    <row r="674" spans="1:19" x14ac:dyDescent="0.3">
      <c r="A674" s="3" t="s">
        <v>2062</v>
      </c>
      <c r="B674" s="3">
        <v>78</v>
      </c>
      <c r="C674" s="3" t="s">
        <v>16</v>
      </c>
      <c r="D674" s="3" t="s">
        <v>42</v>
      </c>
      <c r="E674" s="3" t="s">
        <v>18</v>
      </c>
      <c r="F674" s="4">
        <v>45347</v>
      </c>
      <c r="G674" s="3" t="s">
        <v>2063</v>
      </c>
      <c r="H674" s="3" t="s">
        <v>2064</v>
      </c>
      <c r="I674" s="3" t="s">
        <v>39</v>
      </c>
      <c r="J674" s="5">
        <v>30549.6533247304</v>
      </c>
      <c r="K674" s="3">
        <v>314</v>
      </c>
      <c r="L674" s="3" t="s">
        <v>31</v>
      </c>
      <c r="M674" s="4">
        <v>45359</v>
      </c>
      <c r="N674" s="3" t="s">
        <v>23</v>
      </c>
      <c r="O674" s="3" t="s">
        <v>33</v>
      </c>
      <c r="P674" s="3" t="str">
        <f>IF(Table1[[#This Row],[Billing Amount]]&lt;5000,"Low",IF(Table1[[#This Row],[Billing Amount]]&lt;=15000,"Medium","High"))</f>
        <v>High</v>
      </c>
      <c r="Q674" s="3" t="str">
        <f>IF(Table1[[#This Row],[Discharge Date]]="Yes","Discharged","Under Treatment")</f>
        <v>Under Treatment</v>
      </c>
      <c r="R674" s="3" t="str">
        <f>IF(Table1[[#This Row],[Test Results]]&gt;120,"High Risk","Normal")</f>
        <v>High Risk</v>
      </c>
      <c r="S674" s="3" t="str">
        <f>IF(Table1[[#This Row],[Age]]&lt;=18,"0-18",IF(Table1[[#This Row],[Age]]&lt;=35,"19-35",IF(Table1[[#This Row],[Age]]&lt;=50,"36-50",IF(Table1[[#This Row],[Age]]&lt;=65,"51-65","65+"))))</f>
        <v>65+</v>
      </c>
    </row>
    <row r="675" spans="1:19" x14ac:dyDescent="0.3">
      <c r="A675" s="3" t="s">
        <v>2065</v>
      </c>
      <c r="B675" s="3">
        <v>70</v>
      </c>
      <c r="C675" s="3" t="s">
        <v>16</v>
      </c>
      <c r="D675" s="3" t="s">
        <v>42</v>
      </c>
      <c r="E675" s="3" t="s">
        <v>43</v>
      </c>
      <c r="F675" s="4">
        <v>43716</v>
      </c>
      <c r="G675" s="3" t="s">
        <v>2066</v>
      </c>
      <c r="H675" s="3" t="s">
        <v>2067</v>
      </c>
      <c r="I675" s="3" t="s">
        <v>30</v>
      </c>
      <c r="J675" s="5">
        <v>13666.17587126</v>
      </c>
      <c r="K675" s="3">
        <v>331</v>
      </c>
      <c r="L675" s="3" t="s">
        <v>46</v>
      </c>
      <c r="M675" s="4">
        <v>43717</v>
      </c>
      <c r="N675" s="3" t="s">
        <v>79</v>
      </c>
      <c r="O675" s="3" t="s">
        <v>24</v>
      </c>
      <c r="P675" s="3" t="str">
        <f>IF(Table1[[#This Row],[Billing Amount]]&lt;5000,"Low",IF(Table1[[#This Row],[Billing Amount]]&lt;=15000,"Medium","High"))</f>
        <v>Medium</v>
      </c>
      <c r="Q675" s="3" t="str">
        <f>IF(Table1[[#This Row],[Discharge Date]]="Yes","Discharged","Under Treatment")</f>
        <v>Under Treatment</v>
      </c>
      <c r="R675" s="3" t="str">
        <f>IF(Table1[[#This Row],[Test Results]]&gt;120,"High Risk","Normal")</f>
        <v>High Risk</v>
      </c>
      <c r="S675" s="3" t="str">
        <f>IF(Table1[[#This Row],[Age]]&lt;=18,"0-18",IF(Table1[[#This Row],[Age]]&lt;=35,"19-35",IF(Table1[[#This Row],[Age]]&lt;=50,"36-50",IF(Table1[[#This Row],[Age]]&lt;=65,"51-65","65+"))))</f>
        <v>65+</v>
      </c>
    </row>
    <row r="676" spans="1:19" x14ac:dyDescent="0.3">
      <c r="A676" s="3" t="s">
        <v>2068</v>
      </c>
      <c r="B676" s="3">
        <v>33</v>
      </c>
      <c r="C676" s="3" t="s">
        <v>16</v>
      </c>
      <c r="D676" s="3" t="s">
        <v>17</v>
      </c>
      <c r="E676" s="3" t="s">
        <v>54</v>
      </c>
      <c r="F676" s="4">
        <v>45071</v>
      </c>
      <c r="G676" s="3" t="s">
        <v>2069</v>
      </c>
      <c r="H676" s="3" t="s">
        <v>2070</v>
      </c>
      <c r="I676" s="3" t="s">
        <v>39</v>
      </c>
      <c r="J676" s="5">
        <v>45199.273308814103</v>
      </c>
      <c r="K676" s="3">
        <v>388</v>
      </c>
      <c r="L676" s="3" t="s">
        <v>46</v>
      </c>
      <c r="M676" s="4">
        <v>45075</v>
      </c>
      <c r="N676" s="3" t="s">
        <v>79</v>
      </c>
      <c r="O676" s="3" t="s">
        <v>47</v>
      </c>
      <c r="P676" s="3" t="str">
        <f>IF(Table1[[#This Row],[Billing Amount]]&lt;5000,"Low",IF(Table1[[#This Row],[Billing Amount]]&lt;=15000,"Medium","High"))</f>
        <v>High</v>
      </c>
      <c r="Q676" s="3" t="str">
        <f>IF(Table1[[#This Row],[Discharge Date]]="Yes","Discharged","Under Treatment")</f>
        <v>Under Treatment</v>
      </c>
      <c r="R676" s="3" t="str">
        <f>IF(Table1[[#This Row],[Test Results]]&gt;120,"High Risk","Normal")</f>
        <v>High Risk</v>
      </c>
      <c r="S676" s="3" t="str">
        <f>IF(Table1[[#This Row],[Age]]&lt;=18,"0-18",IF(Table1[[#This Row],[Age]]&lt;=35,"19-35",IF(Table1[[#This Row],[Age]]&lt;=50,"36-50",IF(Table1[[#This Row],[Age]]&lt;=65,"51-65","65+"))))</f>
        <v>19-35</v>
      </c>
    </row>
    <row r="677" spans="1:19" x14ac:dyDescent="0.3">
      <c r="A677" s="3" t="s">
        <v>2071</v>
      </c>
      <c r="B677" s="3">
        <v>56</v>
      </c>
      <c r="C677" s="3" t="s">
        <v>35</v>
      </c>
      <c r="D677" s="3" t="s">
        <v>59</v>
      </c>
      <c r="E677" s="3" t="s">
        <v>93</v>
      </c>
      <c r="F677" s="4">
        <v>45118</v>
      </c>
      <c r="G677" s="3" t="s">
        <v>2072</v>
      </c>
      <c r="H677" s="3" t="s">
        <v>2073</v>
      </c>
      <c r="I677" s="3" t="s">
        <v>30</v>
      </c>
      <c r="J677" s="5">
        <v>20514.400178780699</v>
      </c>
      <c r="K677" s="3">
        <v>214</v>
      </c>
      <c r="L677" s="3" t="s">
        <v>46</v>
      </c>
      <c r="M677" s="4">
        <v>45139</v>
      </c>
      <c r="N677" s="3" t="s">
        <v>32</v>
      </c>
      <c r="O677" s="3" t="s">
        <v>47</v>
      </c>
      <c r="P677" s="3" t="str">
        <f>IF(Table1[[#This Row],[Billing Amount]]&lt;5000,"Low",IF(Table1[[#This Row],[Billing Amount]]&lt;=15000,"Medium","High"))</f>
        <v>High</v>
      </c>
      <c r="Q677" s="3" t="str">
        <f>IF(Table1[[#This Row],[Discharge Date]]="Yes","Discharged","Under Treatment")</f>
        <v>Under Treatment</v>
      </c>
      <c r="R677" s="3" t="str">
        <f>IF(Table1[[#This Row],[Test Results]]&gt;120,"High Risk","Normal")</f>
        <v>High Risk</v>
      </c>
      <c r="S677" s="3" t="str">
        <f>IF(Table1[[#This Row],[Age]]&lt;=18,"0-18",IF(Table1[[#This Row],[Age]]&lt;=35,"19-35",IF(Table1[[#This Row],[Age]]&lt;=50,"36-50",IF(Table1[[#This Row],[Age]]&lt;=65,"51-65","65+"))))</f>
        <v>51-65</v>
      </c>
    </row>
    <row r="678" spans="1:19" x14ac:dyDescent="0.3">
      <c r="A678" s="3" t="s">
        <v>2074</v>
      </c>
      <c r="B678" s="3">
        <v>33</v>
      </c>
      <c r="C678" s="3" t="s">
        <v>16</v>
      </c>
      <c r="D678" s="3" t="s">
        <v>49</v>
      </c>
      <c r="E678" s="3" t="s">
        <v>76</v>
      </c>
      <c r="F678" s="4">
        <v>44505</v>
      </c>
      <c r="G678" s="3" t="s">
        <v>2075</v>
      </c>
      <c r="H678" s="3" t="s">
        <v>2076</v>
      </c>
      <c r="I678" s="3" t="s">
        <v>30</v>
      </c>
      <c r="J678" s="5">
        <v>2462.2103195749701</v>
      </c>
      <c r="K678" s="3">
        <v>329</v>
      </c>
      <c r="L678" s="3" t="s">
        <v>22</v>
      </c>
      <c r="M678" s="4">
        <v>44506</v>
      </c>
      <c r="N678" s="3" t="s">
        <v>23</v>
      </c>
      <c r="O678" s="3" t="s">
        <v>33</v>
      </c>
      <c r="P678" s="3" t="str">
        <f>IF(Table1[[#This Row],[Billing Amount]]&lt;5000,"Low",IF(Table1[[#This Row],[Billing Amount]]&lt;=15000,"Medium","High"))</f>
        <v>Low</v>
      </c>
      <c r="Q678" s="3" t="str">
        <f>IF(Table1[[#This Row],[Discharge Date]]="Yes","Discharged","Under Treatment")</f>
        <v>Under Treatment</v>
      </c>
      <c r="R678" s="3" t="str">
        <f>IF(Table1[[#This Row],[Test Results]]&gt;120,"High Risk","Normal")</f>
        <v>High Risk</v>
      </c>
      <c r="S678" s="3" t="str">
        <f>IF(Table1[[#This Row],[Age]]&lt;=18,"0-18",IF(Table1[[#This Row],[Age]]&lt;=35,"19-35",IF(Table1[[#This Row],[Age]]&lt;=50,"36-50",IF(Table1[[#This Row],[Age]]&lt;=65,"51-65","65+"))))</f>
        <v>19-35</v>
      </c>
    </row>
    <row r="679" spans="1:19" x14ac:dyDescent="0.3">
      <c r="A679" s="3" t="s">
        <v>2077</v>
      </c>
      <c r="B679" s="3">
        <v>25</v>
      </c>
      <c r="C679" s="3" t="s">
        <v>16</v>
      </c>
      <c r="D679" s="3" t="s">
        <v>122</v>
      </c>
      <c r="E679" s="3" t="s">
        <v>76</v>
      </c>
      <c r="F679" s="4">
        <v>45165</v>
      </c>
      <c r="G679" s="3" t="s">
        <v>2078</v>
      </c>
      <c r="H679" s="3" t="s">
        <v>2079</v>
      </c>
      <c r="I679" s="3" t="s">
        <v>39</v>
      </c>
      <c r="J679" s="5">
        <v>31401.501850284902</v>
      </c>
      <c r="K679" s="3">
        <v>265</v>
      </c>
      <c r="L679" s="3" t="s">
        <v>22</v>
      </c>
      <c r="M679" s="4">
        <v>45166</v>
      </c>
      <c r="N679" s="3" t="s">
        <v>79</v>
      </c>
      <c r="O679" s="3" t="s">
        <v>33</v>
      </c>
      <c r="P679" s="3" t="str">
        <f>IF(Table1[[#This Row],[Billing Amount]]&lt;5000,"Low",IF(Table1[[#This Row],[Billing Amount]]&lt;=15000,"Medium","High"))</f>
        <v>High</v>
      </c>
      <c r="Q679" s="3" t="str">
        <f>IF(Table1[[#This Row],[Discharge Date]]="Yes","Discharged","Under Treatment")</f>
        <v>Under Treatment</v>
      </c>
      <c r="R679" s="3" t="str">
        <f>IF(Table1[[#This Row],[Test Results]]&gt;120,"High Risk","Normal")</f>
        <v>High Risk</v>
      </c>
      <c r="S679" s="3" t="str">
        <f>IF(Table1[[#This Row],[Age]]&lt;=18,"0-18",IF(Table1[[#This Row],[Age]]&lt;=35,"19-35",IF(Table1[[#This Row],[Age]]&lt;=50,"36-50",IF(Table1[[#This Row],[Age]]&lt;=65,"51-65","65+"))))</f>
        <v>19-35</v>
      </c>
    </row>
    <row r="680" spans="1:19" x14ac:dyDescent="0.3">
      <c r="A680" s="3" t="s">
        <v>2080</v>
      </c>
      <c r="B680" s="3">
        <v>66</v>
      </c>
      <c r="C680" s="3" t="s">
        <v>35</v>
      </c>
      <c r="D680" s="3" t="s">
        <v>17</v>
      </c>
      <c r="E680" s="3" t="s">
        <v>27</v>
      </c>
      <c r="F680" s="4">
        <v>44707</v>
      </c>
      <c r="G680" s="3" t="s">
        <v>2081</v>
      </c>
      <c r="H680" s="3" t="s">
        <v>2082</v>
      </c>
      <c r="I680" s="3" t="s">
        <v>57</v>
      </c>
      <c r="J680" s="5">
        <v>20749.862818116799</v>
      </c>
      <c r="K680" s="3">
        <v>179</v>
      </c>
      <c r="L680" s="3" t="s">
        <v>46</v>
      </c>
      <c r="M680" s="4">
        <v>44711</v>
      </c>
      <c r="N680" s="3" t="s">
        <v>23</v>
      </c>
      <c r="O680" s="3" t="s">
        <v>33</v>
      </c>
      <c r="P680" s="3" t="str">
        <f>IF(Table1[[#This Row],[Billing Amount]]&lt;5000,"Low",IF(Table1[[#This Row],[Billing Amount]]&lt;=15000,"Medium","High"))</f>
        <v>High</v>
      </c>
      <c r="Q680" s="3" t="str">
        <f>IF(Table1[[#This Row],[Discharge Date]]="Yes","Discharged","Under Treatment")</f>
        <v>Under Treatment</v>
      </c>
      <c r="R680" s="3" t="str">
        <f>IF(Table1[[#This Row],[Test Results]]&gt;120,"High Risk","Normal")</f>
        <v>High Risk</v>
      </c>
      <c r="S680" s="3" t="str">
        <f>IF(Table1[[#This Row],[Age]]&lt;=18,"0-18",IF(Table1[[#This Row],[Age]]&lt;=35,"19-35",IF(Table1[[#This Row],[Age]]&lt;=50,"36-50",IF(Table1[[#This Row],[Age]]&lt;=65,"51-65","65+"))))</f>
        <v>65+</v>
      </c>
    </row>
    <row r="681" spans="1:19" x14ac:dyDescent="0.3">
      <c r="A681" s="3" t="s">
        <v>2083</v>
      </c>
      <c r="B681" s="3">
        <v>37</v>
      </c>
      <c r="C681" s="3" t="s">
        <v>16</v>
      </c>
      <c r="D681" s="3" t="s">
        <v>49</v>
      </c>
      <c r="E681" s="3" t="s">
        <v>54</v>
      </c>
      <c r="F681" s="4">
        <v>44830</v>
      </c>
      <c r="G681" s="3" t="s">
        <v>2084</v>
      </c>
      <c r="H681" s="3" t="s">
        <v>2085</v>
      </c>
      <c r="I681" s="3" t="s">
        <v>65</v>
      </c>
      <c r="J681" s="5">
        <v>35821.649335478003</v>
      </c>
      <c r="K681" s="3">
        <v>230</v>
      </c>
      <c r="L681" s="3" t="s">
        <v>22</v>
      </c>
      <c r="M681" s="4">
        <v>44858</v>
      </c>
      <c r="N681" s="3" t="s">
        <v>23</v>
      </c>
      <c r="O681" s="3" t="s">
        <v>24</v>
      </c>
      <c r="P681" s="3" t="str">
        <f>IF(Table1[[#This Row],[Billing Amount]]&lt;5000,"Low",IF(Table1[[#This Row],[Billing Amount]]&lt;=15000,"Medium","High"))</f>
        <v>High</v>
      </c>
      <c r="Q681" s="3" t="str">
        <f>IF(Table1[[#This Row],[Discharge Date]]="Yes","Discharged","Under Treatment")</f>
        <v>Under Treatment</v>
      </c>
      <c r="R681" s="3" t="str">
        <f>IF(Table1[[#This Row],[Test Results]]&gt;120,"High Risk","Normal")</f>
        <v>High Risk</v>
      </c>
      <c r="S681" s="3" t="str">
        <f>IF(Table1[[#This Row],[Age]]&lt;=18,"0-18",IF(Table1[[#This Row],[Age]]&lt;=35,"19-35",IF(Table1[[#This Row],[Age]]&lt;=50,"36-50",IF(Table1[[#This Row],[Age]]&lt;=65,"51-65","65+"))))</f>
        <v>36-50</v>
      </c>
    </row>
    <row r="682" spans="1:19" x14ac:dyDescent="0.3">
      <c r="A682" s="3" t="s">
        <v>2086</v>
      </c>
      <c r="B682" s="3">
        <v>56</v>
      </c>
      <c r="C682" s="3" t="s">
        <v>16</v>
      </c>
      <c r="D682" s="3" t="s">
        <v>36</v>
      </c>
      <c r="E682" s="3" t="s">
        <v>93</v>
      </c>
      <c r="F682" s="4">
        <v>43825</v>
      </c>
      <c r="G682" s="3" t="s">
        <v>2087</v>
      </c>
      <c r="H682" s="3" t="s">
        <v>2088</v>
      </c>
      <c r="I682" s="3" t="s">
        <v>30</v>
      </c>
      <c r="J682" s="5">
        <v>21633.327763436599</v>
      </c>
      <c r="K682" s="3">
        <v>111</v>
      </c>
      <c r="L682" s="3" t="s">
        <v>46</v>
      </c>
      <c r="M682" s="4">
        <v>43826</v>
      </c>
      <c r="N682" s="3" t="s">
        <v>23</v>
      </c>
      <c r="O682" s="3" t="s">
        <v>33</v>
      </c>
      <c r="P682" s="3" t="str">
        <f>IF(Table1[[#This Row],[Billing Amount]]&lt;5000,"Low",IF(Table1[[#This Row],[Billing Amount]]&lt;=15000,"Medium","High"))</f>
        <v>High</v>
      </c>
      <c r="Q682" s="3" t="str">
        <f>IF(Table1[[#This Row],[Discharge Date]]="Yes","Discharged","Under Treatment")</f>
        <v>Under Treatment</v>
      </c>
      <c r="R682" s="3" t="str">
        <f>IF(Table1[[#This Row],[Test Results]]&gt;120,"High Risk","Normal")</f>
        <v>High Risk</v>
      </c>
      <c r="S682" s="3" t="str">
        <f>IF(Table1[[#This Row],[Age]]&lt;=18,"0-18",IF(Table1[[#This Row],[Age]]&lt;=35,"19-35",IF(Table1[[#This Row],[Age]]&lt;=50,"36-50",IF(Table1[[#This Row],[Age]]&lt;=65,"51-65","65+"))))</f>
        <v>51-65</v>
      </c>
    </row>
    <row r="683" spans="1:19" x14ac:dyDescent="0.3">
      <c r="A683" s="3" t="s">
        <v>2089</v>
      </c>
      <c r="B683" s="3">
        <v>51</v>
      </c>
      <c r="C683" s="3" t="s">
        <v>16</v>
      </c>
      <c r="D683" s="3" t="s">
        <v>36</v>
      </c>
      <c r="E683" s="3" t="s">
        <v>93</v>
      </c>
      <c r="F683" s="4">
        <v>44214</v>
      </c>
      <c r="G683" s="3" t="s">
        <v>2090</v>
      </c>
      <c r="H683" s="3" t="s">
        <v>2091</v>
      </c>
      <c r="I683" s="3" t="s">
        <v>21</v>
      </c>
      <c r="J683" s="5">
        <v>39448.886509397802</v>
      </c>
      <c r="K683" s="3">
        <v>124</v>
      </c>
      <c r="L683" s="3" t="s">
        <v>46</v>
      </c>
      <c r="M683" s="4">
        <v>44238</v>
      </c>
      <c r="N683" s="3" t="s">
        <v>40</v>
      </c>
      <c r="O683" s="3" t="s">
        <v>33</v>
      </c>
      <c r="P683" s="3" t="str">
        <f>IF(Table1[[#This Row],[Billing Amount]]&lt;5000,"Low",IF(Table1[[#This Row],[Billing Amount]]&lt;=15000,"Medium","High"))</f>
        <v>High</v>
      </c>
      <c r="Q683" s="3" t="str">
        <f>IF(Table1[[#This Row],[Discharge Date]]="Yes","Discharged","Under Treatment")</f>
        <v>Under Treatment</v>
      </c>
      <c r="R683" s="3" t="str">
        <f>IF(Table1[[#This Row],[Test Results]]&gt;120,"High Risk","Normal")</f>
        <v>High Risk</v>
      </c>
      <c r="S683" s="3" t="str">
        <f>IF(Table1[[#This Row],[Age]]&lt;=18,"0-18",IF(Table1[[#This Row],[Age]]&lt;=35,"19-35",IF(Table1[[#This Row],[Age]]&lt;=50,"36-50",IF(Table1[[#This Row],[Age]]&lt;=65,"51-65","65+"))))</f>
        <v>51-65</v>
      </c>
    </row>
    <row r="684" spans="1:19" x14ac:dyDescent="0.3">
      <c r="A684" s="3" t="s">
        <v>2092</v>
      </c>
      <c r="B684" s="3">
        <v>40</v>
      </c>
      <c r="C684" s="3" t="s">
        <v>35</v>
      </c>
      <c r="D684" s="3" t="s">
        <v>122</v>
      </c>
      <c r="E684" s="3" t="s">
        <v>18</v>
      </c>
      <c r="F684" s="4">
        <v>44250</v>
      </c>
      <c r="G684" s="3" t="s">
        <v>2093</v>
      </c>
      <c r="H684" s="3" t="s">
        <v>2094</v>
      </c>
      <c r="I684" s="3" t="s">
        <v>30</v>
      </c>
      <c r="J684" s="5">
        <v>8867.7466691417594</v>
      </c>
      <c r="K684" s="3">
        <v>302</v>
      </c>
      <c r="L684" s="3" t="s">
        <v>31</v>
      </c>
      <c r="M684" s="4">
        <v>44275</v>
      </c>
      <c r="N684" s="3" t="s">
        <v>79</v>
      </c>
      <c r="O684" s="3" t="s">
        <v>33</v>
      </c>
      <c r="P684" s="3" t="str">
        <f>IF(Table1[[#This Row],[Billing Amount]]&lt;5000,"Low",IF(Table1[[#This Row],[Billing Amount]]&lt;=15000,"Medium","High"))</f>
        <v>Medium</v>
      </c>
      <c r="Q684" s="3" t="str">
        <f>IF(Table1[[#This Row],[Discharge Date]]="Yes","Discharged","Under Treatment")</f>
        <v>Under Treatment</v>
      </c>
      <c r="R684" s="3" t="str">
        <f>IF(Table1[[#This Row],[Test Results]]&gt;120,"High Risk","Normal")</f>
        <v>High Risk</v>
      </c>
      <c r="S684" s="3" t="str">
        <f>IF(Table1[[#This Row],[Age]]&lt;=18,"0-18",IF(Table1[[#This Row],[Age]]&lt;=35,"19-35",IF(Table1[[#This Row],[Age]]&lt;=50,"36-50",IF(Table1[[#This Row],[Age]]&lt;=65,"51-65","65+"))))</f>
        <v>36-50</v>
      </c>
    </row>
    <row r="685" spans="1:19" x14ac:dyDescent="0.3">
      <c r="A685" s="3" t="s">
        <v>2095</v>
      </c>
      <c r="B685" s="3">
        <v>76</v>
      </c>
      <c r="C685" s="3" t="s">
        <v>16</v>
      </c>
      <c r="D685" s="3" t="s">
        <v>26</v>
      </c>
      <c r="E685" s="3" t="s">
        <v>54</v>
      </c>
      <c r="F685" s="4">
        <v>43730</v>
      </c>
      <c r="G685" s="3" t="s">
        <v>2096</v>
      </c>
      <c r="H685" s="3" t="s">
        <v>2097</v>
      </c>
      <c r="I685" s="3" t="s">
        <v>39</v>
      </c>
      <c r="J685" s="5">
        <v>13014.3300004474</v>
      </c>
      <c r="K685" s="3">
        <v>108</v>
      </c>
      <c r="L685" s="3" t="s">
        <v>31</v>
      </c>
      <c r="M685" s="4">
        <v>43736</v>
      </c>
      <c r="N685" s="3" t="s">
        <v>40</v>
      </c>
      <c r="O685" s="3" t="s">
        <v>47</v>
      </c>
      <c r="P685" s="3" t="str">
        <f>IF(Table1[[#This Row],[Billing Amount]]&lt;5000,"Low",IF(Table1[[#This Row],[Billing Amount]]&lt;=15000,"Medium","High"))</f>
        <v>Medium</v>
      </c>
      <c r="Q685" s="3" t="str">
        <f>IF(Table1[[#This Row],[Discharge Date]]="Yes","Discharged","Under Treatment")</f>
        <v>Under Treatment</v>
      </c>
      <c r="R685" s="3" t="str">
        <f>IF(Table1[[#This Row],[Test Results]]&gt;120,"High Risk","Normal")</f>
        <v>High Risk</v>
      </c>
      <c r="S685" s="3" t="str">
        <f>IF(Table1[[#This Row],[Age]]&lt;=18,"0-18",IF(Table1[[#This Row],[Age]]&lt;=35,"19-35",IF(Table1[[#This Row],[Age]]&lt;=50,"36-50",IF(Table1[[#This Row],[Age]]&lt;=65,"51-65","65+"))))</f>
        <v>65+</v>
      </c>
    </row>
    <row r="686" spans="1:19" x14ac:dyDescent="0.3">
      <c r="A686" s="3" t="s">
        <v>2098</v>
      </c>
      <c r="B686" s="3">
        <v>54</v>
      </c>
      <c r="C686" s="3" t="s">
        <v>16</v>
      </c>
      <c r="D686" s="3" t="s">
        <v>42</v>
      </c>
      <c r="E686" s="3" t="s">
        <v>27</v>
      </c>
      <c r="F686" s="4">
        <v>43963</v>
      </c>
      <c r="G686" s="3" t="s">
        <v>2099</v>
      </c>
      <c r="H686" s="3" t="s">
        <v>2100</v>
      </c>
      <c r="I686" s="3" t="s">
        <v>30</v>
      </c>
      <c r="J686" s="5">
        <v>41307.895829138302</v>
      </c>
      <c r="K686" s="3">
        <v>141</v>
      </c>
      <c r="L686" s="3" t="s">
        <v>46</v>
      </c>
      <c r="M686" s="4">
        <v>43968</v>
      </c>
      <c r="N686" s="3" t="s">
        <v>52</v>
      </c>
      <c r="O686" s="3" t="s">
        <v>24</v>
      </c>
      <c r="P686" s="3" t="str">
        <f>IF(Table1[[#This Row],[Billing Amount]]&lt;5000,"Low",IF(Table1[[#This Row],[Billing Amount]]&lt;=15000,"Medium","High"))</f>
        <v>High</v>
      </c>
      <c r="Q686" s="3" t="str">
        <f>IF(Table1[[#This Row],[Discharge Date]]="Yes","Discharged","Under Treatment")</f>
        <v>Under Treatment</v>
      </c>
      <c r="R686" s="3" t="str">
        <f>IF(Table1[[#This Row],[Test Results]]&gt;120,"High Risk","Normal")</f>
        <v>High Risk</v>
      </c>
      <c r="S686" s="3" t="str">
        <f>IF(Table1[[#This Row],[Age]]&lt;=18,"0-18",IF(Table1[[#This Row],[Age]]&lt;=35,"19-35",IF(Table1[[#This Row],[Age]]&lt;=50,"36-50",IF(Table1[[#This Row],[Age]]&lt;=65,"51-65","65+"))))</f>
        <v>51-65</v>
      </c>
    </row>
    <row r="687" spans="1:19" x14ac:dyDescent="0.3">
      <c r="A687" s="3" t="s">
        <v>2101</v>
      </c>
      <c r="B687" s="3">
        <v>40</v>
      </c>
      <c r="C687" s="3" t="s">
        <v>16</v>
      </c>
      <c r="D687" s="3" t="s">
        <v>103</v>
      </c>
      <c r="E687" s="3" t="s">
        <v>54</v>
      </c>
      <c r="F687" s="4">
        <v>44802</v>
      </c>
      <c r="G687" s="3" t="s">
        <v>2102</v>
      </c>
      <c r="H687" s="3" t="s">
        <v>2103</v>
      </c>
      <c r="I687" s="3" t="s">
        <v>30</v>
      </c>
      <c r="J687" s="5">
        <v>36632.318354519797</v>
      </c>
      <c r="K687" s="3">
        <v>476</v>
      </c>
      <c r="L687" s="3" t="s">
        <v>22</v>
      </c>
      <c r="M687" s="4">
        <v>44814</v>
      </c>
      <c r="N687" s="3" t="s">
        <v>52</v>
      </c>
      <c r="O687" s="3" t="s">
        <v>33</v>
      </c>
      <c r="P687" s="3" t="str">
        <f>IF(Table1[[#This Row],[Billing Amount]]&lt;5000,"Low",IF(Table1[[#This Row],[Billing Amount]]&lt;=15000,"Medium","High"))</f>
        <v>High</v>
      </c>
      <c r="Q687" s="3" t="str">
        <f>IF(Table1[[#This Row],[Discharge Date]]="Yes","Discharged","Under Treatment")</f>
        <v>Under Treatment</v>
      </c>
      <c r="R687" s="3" t="str">
        <f>IF(Table1[[#This Row],[Test Results]]&gt;120,"High Risk","Normal")</f>
        <v>High Risk</v>
      </c>
      <c r="S687" s="3" t="str">
        <f>IF(Table1[[#This Row],[Age]]&lt;=18,"0-18",IF(Table1[[#This Row],[Age]]&lt;=35,"19-35",IF(Table1[[#This Row],[Age]]&lt;=50,"36-50",IF(Table1[[#This Row],[Age]]&lt;=65,"51-65","65+"))))</f>
        <v>36-50</v>
      </c>
    </row>
    <row r="688" spans="1:19" x14ac:dyDescent="0.3">
      <c r="A688" s="3" t="s">
        <v>2104</v>
      </c>
      <c r="B688" s="3">
        <v>79</v>
      </c>
      <c r="C688" s="3" t="s">
        <v>16</v>
      </c>
      <c r="D688" s="3" t="s">
        <v>122</v>
      </c>
      <c r="E688" s="3" t="s">
        <v>18</v>
      </c>
      <c r="F688" s="4">
        <v>43770</v>
      </c>
      <c r="G688" s="3" t="s">
        <v>2105</v>
      </c>
      <c r="H688" s="3" t="s">
        <v>2106</v>
      </c>
      <c r="I688" s="3" t="s">
        <v>21</v>
      </c>
      <c r="J688" s="5">
        <v>17658.472403553402</v>
      </c>
      <c r="K688" s="3">
        <v>461</v>
      </c>
      <c r="L688" s="3" t="s">
        <v>31</v>
      </c>
      <c r="M688" s="4">
        <v>43788</v>
      </c>
      <c r="N688" s="3" t="s">
        <v>52</v>
      </c>
      <c r="O688" s="3" t="s">
        <v>33</v>
      </c>
      <c r="P688" s="3" t="str">
        <f>IF(Table1[[#This Row],[Billing Amount]]&lt;5000,"Low",IF(Table1[[#This Row],[Billing Amount]]&lt;=15000,"Medium","High"))</f>
        <v>High</v>
      </c>
      <c r="Q688" s="3" t="str">
        <f>IF(Table1[[#This Row],[Discharge Date]]="Yes","Discharged","Under Treatment")</f>
        <v>Under Treatment</v>
      </c>
      <c r="R688" s="3" t="str">
        <f>IF(Table1[[#This Row],[Test Results]]&gt;120,"High Risk","Normal")</f>
        <v>High Risk</v>
      </c>
      <c r="S688" s="3" t="str">
        <f>IF(Table1[[#This Row],[Age]]&lt;=18,"0-18",IF(Table1[[#This Row],[Age]]&lt;=35,"19-35",IF(Table1[[#This Row],[Age]]&lt;=50,"36-50",IF(Table1[[#This Row],[Age]]&lt;=65,"51-65","65+"))))</f>
        <v>65+</v>
      </c>
    </row>
    <row r="689" spans="1:19" x14ac:dyDescent="0.3">
      <c r="A689" s="3" t="s">
        <v>2107</v>
      </c>
      <c r="B689" s="3">
        <v>42</v>
      </c>
      <c r="C689" s="3" t="s">
        <v>16</v>
      </c>
      <c r="D689" s="3" t="s">
        <v>103</v>
      </c>
      <c r="E689" s="3" t="s">
        <v>43</v>
      </c>
      <c r="F689" s="4">
        <v>44255</v>
      </c>
      <c r="G689" s="3" t="s">
        <v>2108</v>
      </c>
      <c r="H689" s="3" t="s">
        <v>2109</v>
      </c>
      <c r="I689" s="3" t="s">
        <v>65</v>
      </c>
      <c r="J689" s="5">
        <v>7383.3833592049896</v>
      </c>
      <c r="K689" s="3">
        <v>395</v>
      </c>
      <c r="L689" s="3" t="s">
        <v>31</v>
      </c>
      <c r="M689" s="4">
        <v>44269</v>
      </c>
      <c r="N689" s="3" t="s">
        <v>23</v>
      </c>
      <c r="O689" s="3" t="s">
        <v>24</v>
      </c>
      <c r="P689" s="3" t="str">
        <f>IF(Table1[[#This Row],[Billing Amount]]&lt;5000,"Low",IF(Table1[[#This Row],[Billing Amount]]&lt;=15000,"Medium","High"))</f>
        <v>Medium</v>
      </c>
      <c r="Q689" s="3" t="str">
        <f>IF(Table1[[#This Row],[Discharge Date]]="Yes","Discharged","Under Treatment")</f>
        <v>Under Treatment</v>
      </c>
      <c r="R689" s="3" t="str">
        <f>IF(Table1[[#This Row],[Test Results]]&gt;120,"High Risk","Normal")</f>
        <v>High Risk</v>
      </c>
      <c r="S689" s="3" t="str">
        <f>IF(Table1[[#This Row],[Age]]&lt;=18,"0-18",IF(Table1[[#This Row],[Age]]&lt;=35,"19-35",IF(Table1[[#This Row],[Age]]&lt;=50,"36-50",IF(Table1[[#This Row],[Age]]&lt;=65,"51-65","65+"))))</f>
        <v>36-50</v>
      </c>
    </row>
    <row r="690" spans="1:19" x14ac:dyDescent="0.3">
      <c r="A690" s="3" t="s">
        <v>2110</v>
      </c>
      <c r="B690" s="3">
        <v>41</v>
      </c>
      <c r="C690" s="3" t="s">
        <v>16</v>
      </c>
      <c r="D690" s="3" t="s">
        <v>26</v>
      </c>
      <c r="E690" s="3" t="s">
        <v>54</v>
      </c>
      <c r="F690" s="4">
        <v>44081</v>
      </c>
      <c r="G690" s="3" t="s">
        <v>2111</v>
      </c>
      <c r="H690" s="3" t="s">
        <v>2112</v>
      </c>
      <c r="I690" s="3" t="s">
        <v>21</v>
      </c>
      <c r="J690" s="5">
        <v>28974.4553263161</v>
      </c>
      <c r="K690" s="3">
        <v>377</v>
      </c>
      <c r="L690" s="3" t="s">
        <v>46</v>
      </c>
      <c r="M690" s="4">
        <v>44104</v>
      </c>
      <c r="N690" s="3" t="s">
        <v>23</v>
      </c>
      <c r="O690" s="3" t="s">
        <v>24</v>
      </c>
      <c r="P690" s="3" t="str">
        <f>IF(Table1[[#This Row],[Billing Amount]]&lt;5000,"Low",IF(Table1[[#This Row],[Billing Amount]]&lt;=15000,"Medium","High"))</f>
        <v>High</v>
      </c>
      <c r="Q690" s="3" t="str">
        <f>IF(Table1[[#This Row],[Discharge Date]]="Yes","Discharged","Under Treatment")</f>
        <v>Under Treatment</v>
      </c>
      <c r="R690" s="3" t="str">
        <f>IF(Table1[[#This Row],[Test Results]]&gt;120,"High Risk","Normal")</f>
        <v>High Risk</v>
      </c>
      <c r="S690" s="3" t="str">
        <f>IF(Table1[[#This Row],[Age]]&lt;=18,"0-18",IF(Table1[[#This Row],[Age]]&lt;=35,"19-35",IF(Table1[[#This Row],[Age]]&lt;=50,"36-50",IF(Table1[[#This Row],[Age]]&lt;=65,"51-65","65+"))))</f>
        <v>36-50</v>
      </c>
    </row>
    <row r="691" spans="1:19" x14ac:dyDescent="0.3">
      <c r="A691" s="3" t="s">
        <v>2113</v>
      </c>
      <c r="B691" s="3">
        <v>26</v>
      </c>
      <c r="C691" s="3" t="s">
        <v>16</v>
      </c>
      <c r="D691" s="3" t="s">
        <v>26</v>
      </c>
      <c r="E691" s="3" t="s">
        <v>93</v>
      </c>
      <c r="F691" s="4">
        <v>45338</v>
      </c>
      <c r="G691" s="3" t="s">
        <v>2114</v>
      </c>
      <c r="H691" s="3" t="s">
        <v>2115</v>
      </c>
      <c r="I691" s="3" t="s">
        <v>21</v>
      </c>
      <c r="J691" s="5">
        <v>4697.2343343229204</v>
      </c>
      <c r="K691" s="3">
        <v>143</v>
      </c>
      <c r="L691" s="3" t="s">
        <v>46</v>
      </c>
      <c r="M691" s="4">
        <v>45350</v>
      </c>
      <c r="N691" s="3" t="s">
        <v>40</v>
      </c>
      <c r="O691" s="3" t="s">
        <v>47</v>
      </c>
      <c r="P691" s="3" t="str">
        <f>IF(Table1[[#This Row],[Billing Amount]]&lt;5000,"Low",IF(Table1[[#This Row],[Billing Amount]]&lt;=15000,"Medium","High"))</f>
        <v>Low</v>
      </c>
      <c r="Q691" s="3" t="str">
        <f>IF(Table1[[#This Row],[Discharge Date]]="Yes","Discharged","Under Treatment")</f>
        <v>Under Treatment</v>
      </c>
      <c r="R691" s="3" t="str">
        <f>IF(Table1[[#This Row],[Test Results]]&gt;120,"High Risk","Normal")</f>
        <v>High Risk</v>
      </c>
      <c r="S691" s="3" t="str">
        <f>IF(Table1[[#This Row],[Age]]&lt;=18,"0-18",IF(Table1[[#This Row],[Age]]&lt;=35,"19-35",IF(Table1[[#This Row],[Age]]&lt;=50,"36-50",IF(Table1[[#This Row],[Age]]&lt;=65,"51-65","65+"))))</f>
        <v>19-35</v>
      </c>
    </row>
    <row r="692" spans="1:19" x14ac:dyDescent="0.3">
      <c r="A692" s="3" t="s">
        <v>2116</v>
      </c>
      <c r="B692" s="3">
        <v>76</v>
      </c>
      <c r="C692" s="3" t="s">
        <v>35</v>
      </c>
      <c r="D692" s="3" t="s">
        <v>103</v>
      </c>
      <c r="E692" s="3" t="s">
        <v>18</v>
      </c>
      <c r="F692" s="4">
        <v>44212</v>
      </c>
      <c r="G692" s="3" t="s">
        <v>2117</v>
      </c>
      <c r="H692" s="3" t="s">
        <v>2118</v>
      </c>
      <c r="I692" s="3" t="s">
        <v>65</v>
      </c>
      <c r="J692" s="5">
        <v>41150.190687148097</v>
      </c>
      <c r="K692" s="3">
        <v>244</v>
      </c>
      <c r="L692" s="3" t="s">
        <v>46</v>
      </c>
      <c r="M692" s="4">
        <v>44223</v>
      </c>
      <c r="N692" s="3" t="s">
        <v>79</v>
      </c>
      <c r="O692" s="3" t="s">
        <v>47</v>
      </c>
      <c r="P692" s="3" t="str">
        <f>IF(Table1[[#This Row],[Billing Amount]]&lt;5000,"Low",IF(Table1[[#This Row],[Billing Amount]]&lt;=15000,"Medium","High"))</f>
        <v>High</v>
      </c>
      <c r="Q692" s="3" t="str">
        <f>IF(Table1[[#This Row],[Discharge Date]]="Yes","Discharged","Under Treatment")</f>
        <v>Under Treatment</v>
      </c>
      <c r="R692" s="3" t="str">
        <f>IF(Table1[[#This Row],[Test Results]]&gt;120,"High Risk","Normal")</f>
        <v>High Risk</v>
      </c>
      <c r="S692" s="3" t="str">
        <f>IF(Table1[[#This Row],[Age]]&lt;=18,"0-18",IF(Table1[[#This Row],[Age]]&lt;=35,"19-35",IF(Table1[[#This Row],[Age]]&lt;=50,"36-50",IF(Table1[[#This Row],[Age]]&lt;=65,"51-65","65+"))))</f>
        <v>65+</v>
      </c>
    </row>
    <row r="693" spans="1:19" x14ac:dyDescent="0.3">
      <c r="A693" s="3" t="s">
        <v>2119</v>
      </c>
      <c r="B693" s="3">
        <v>29</v>
      </c>
      <c r="C693" s="3" t="s">
        <v>35</v>
      </c>
      <c r="D693" s="3" t="s">
        <v>26</v>
      </c>
      <c r="E693" s="3" t="s">
        <v>93</v>
      </c>
      <c r="F693" s="4">
        <v>44957</v>
      </c>
      <c r="G693" s="3" t="s">
        <v>2120</v>
      </c>
      <c r="H693" s="3" t="s">
        <v>2121</v>
      </c>
      <c r="I693" s="3" t="s">
        <v>65</v>
      </c>
      <c r="J693" s="5">
        <v>30324.4509103686</v>
      </c>
      <c r="K693" s="3">
        <v>156</v>
      </c>
      <c r="L693" s="3" t="s">
        <v>31</v>
      </c>
      <c r="M693" s="4">
        <v>44971</v>
      </c>
      <c r="N693" s="3" t="s">
        <v>52</v>
      </c>
      <c r="O693" s="3" t="s">
        <v>24</v>
      </c>
      <c r="P693" s="3" t="str">
        <f>IF(Table1[[#This Row],[Billing Amount]]&lt;5000,"Low",IF(Table1[[#This Row],[Billing Amount]]&lt;=15000,"Medium","High"))</f>
        <v>High</v>
      </c>
      <c r="Q693" s="3" t="str">
        <f>IF(Table1[[#This Row],[Discharge Date]]="Yes","Discharged","Under Treatment")</f>
        <v>Under Treatment</v>
      </c>
      <c r="R693" s="3" t="str">
        <f>IF(Table1[[#This Row],[Test Results]]&gt;120,"High Risk","Normal")</f>
        <v>High Risk</v>
      </c>
      <c r="S693" s="3" t="str">
        <f>IF(Table1[[#This Row],[Age]]&lt;=18,"0-18",IF(Table1[[#This Row],[Age]]&lt;=35,"19-35",IF(Table1[[#This Row],[Age]]&lt;=50,"36-50",IF(Table1[[#This Row],[Age]]&lt;=65,"51-65","65+"))))</f>
        <v>19-35</v>
      </c>
    </row>
    <row r="694" spans="1:19" x14ac:dyDescent="0.3">
      <c r="A694" s="3" t="s">
        <v>2122</v>
      </c>
      <c r="B694" s="3">
        <v>30</v>
      </c>
      <c r="C694" s="3" t="s">
        <v>35</v>
      </c>
      <c r="D694" s="3" t="s">
        <v>122</v>
      </c>
      <c r="E694" s="3" t="s">
        <v>43</v>
      </c>
      <c r="F694" s="4">
        <v>44678</v>
      </c>
      <c r="G694" s="3" t="s">
        <v>2123</v>
      </c>
      <c r="H694" s="3" t="s">
        <v>2124</v>
      </c>
      <c r="I694" s="3" t="s">
        <v>65</v>
      </c>
      <c r="J694" s="5">
        <v>46717.950110965401</v>
      </c>
      <c r="K694" s="3">
        <v>147</v>
      </c>
      <c r="L694" s="3" t="s">
        <v>22</v>
      </c>
      <c r="M694" s="4">
        <v>44682</v>
      </c>
      <c r="N694" s="3" t="s">
        <v>52</v>
      </c>
      <c r="O694" s="3" t="s">
        <v>33</v>
      </c>
      <c r="P694" s="3" t="str">
        <f>IF(Table1[[#This Row],[Billing Amount]]&lt;5000,"Low",IF(Table1[[#This Row],[Billing Amount]]&lt;=15000,"Medium","High"))</f>
        <v>High</v>
      </c>
      <c r="Q694" s="3" t="str">
        <f>IF(Table1[[#This Row],[Discharge Date]]="Yes","Discharged","Under Treatment")</f>
        <v>Under Treatment</v>
      </c>
      <c r="R694" s="3" t="str">
        <f>IF(Table1[[#This Row],[Test Results]]&gt;120,"High Risk","Normal")</f>
        <v>High Risk</v>
      </c>
      <c r="S694" s="3" t="str">
        <f>IF(Table1[[#This Row],[Age]]&lt;=18,"0-18",IF(Table1[[#This Row],[Age]]&lt;=35,"19-35",IF(Table1[[#This Row],[Age]]&lt;=50,"36-50",IF(Table1[[#This Row],[Age]]&lt;=65,"51-65","65+"))))</f>
        <v>19-35</v>
      </c>
    </row>
    <row r="695" spans="1:19" x14ac:dyDescent="0.3">
      <c r="A695" s="3" t="s">
        <v>2125</v>
      </c>
      <c r="B695" s="3">
        <v>37</v>
      </c>
      <c r="C695" s="3" t="s">
        <v>35</v>
      </c>
      <c r="D695" s="3" t="s">
        <v>122</v>
      </c>
      <c r="E695" s="3" t="s">
        <v>54</v>
      </c>
      <c r="F695" s="4">
        <v>43988</v>
      </c>
      <c r="G695" s="3" t="s">
        <v>2126</v>
      </c>
      <c r="H695" s="3" t="s">
        <v>2127</v>
      </c>
      <c r="I695" s="3" t="s">
        <v>39</v>
      </c>
      <c r="J695" s="5">
        <v>49997.326369686103</v>
      </c>
      <c r="K695" s="3">
        <v>427</v>
      </c>
      <c r="L695" s="3" t="s">
        <v>46</v>
      </c>
      <c r="M695" s="4">
        <v>44004</v>
      </c>
      <c r="N695" s="3" t="s">
        <v>40</v>
      </c>
      <c r="O695" s="3" t="s">
        <v>24</v>
      </c>
      <c r="P695" s="3" t="str">
        <f>IF(Table1[[#This Row],[Billing Amount]]&lt;5000,"Low",IF(Table1[[#This Row],[Billing Amount]]&lt;=15000,"Medium","High"))</f>
        <v>High</v>
      </c>
      <c r="Q695" s="3" t="str">
        <f>IF(Table1[[#This Row],[Discharge Date]]="Yes","Discharged","Under Treatment")</f>
        <v>Under Treatment</v>
      </c>
      <c r="R695" s="3" t="str">
        <f>IF(Table1[[#This Row],[Test Results]]&gt;120,"High Risk","Normal")</f>
        <v>High Risk</v>
      </c>
      <c r="S695" s="3" t="str">
        <f>IF(Table1[[#This Row],[Age]]&lt;=18,"0-18",IF(Table1[[#This Row],[Age]]&lt;=35,"19-35",IF(Table1[[#This Row],[Age]]&lt;=50,"36-50",IF(Table1[[#This Row],[Age]]&lt;=65,"51-65","65+"))))</f>
        <v>36-50</v>
      </c>
    </row>
    <row r="696" spans="1:19" x14ac:dyDescent="0.3">
      <c r="A696" s="3" t="s">
        <v>2128</v>
      </c>
      <c r="B696" s="3">
        <v>82</v>
      </c>
      <c r="C696" s="3" t="s">
        <v>35</v>
      </c>
      <c r="D696" s="3" t="s">
        <v>59</v>
      </c>
      <c r="E696" s="3" t="s">
        <v>54</v>
      </c>
      <c r="F696" s="4">
        <v>43771</v>
      </c>
      <c r="G696" s="3" t="s">
        <v>2129</v>
      </c>
      <c r="H696" s="3" t="s">
        <v>2130</v>
      </c>
      <c r="I696" s="3" t="s">
        <v>21</v>
      </c>
      <c r="J696" s="5">
        <v>38397.023322175497</v>
      </c>
      <c r="K696" s="3">
        <v>316</v>
      </c>
      <c r="L696" s="3" t="s">
        <v>46</v>
      </c>
      <c r="M696" s="4">
        <v>43797</v>
      </c>
      <c r="N696" s="3" t="s">
        <v>52</v>
      </c>
      <c r="O696" s="3" t="s">
        <v>47</v>
      </c>
      <c r="P696" s="3" t="str">
        <f>IF(Table1[[#This Row],[Billing Amount]]&lt;5000,"Low",IF(Table1[[#This Row],[Billing Amount]]&lt;=15000,"Medium","High"))</f>
        <v>High</v>
      </c>
      <c r="Q696" s="3" t="str">
        <f>IF(Table1[[#This Row],[Discharge Date]]="Yes","Discharged","Under Treatment")</f>
        <v>Under Treatment</v>
      </c>
      <c r="R696" s="3" t="str">
        <f>IF(Table1[[#This Row],[Test Results]]&gt;120,"High Risk","Normal")</f>
        <v>High Risk</v>
      </c>
      <c r="S696" s="3" t="str">
        <f>IF(Table1[[#This Row],[Age]]&lt;=18,"0-18",IF(Table1[[#This Row],[Age]]&lt;=35,"19-35",IF(Table1[[#This Row],[Age]]&lt;=50,"36-50",IF(Table1[[#This Row],[Age]]&lt;=65,"51-65","65+"))))</f>
        <v>65+</v>
      </c>
    </row>
    <row r="697" spans="1:19" x14ac:dyDescent="0.3">
      <c r="A697" s="3" t="s">
        <v>2131</v>
      </c>
      <c r="B697" s="3">
        <v>52</v>
      </c>
      <c r="C697" s="3" t="s">
        <v>35</v>
      </c>
      <c r="D697" s="3" t="s">
        <v>26</v>
      </c>
      <c r="E697" s="3" t="s">
        <v>93</v>
      </c>
      <c r="F697" s="4">
        <v>44206</v>
      </c>
      <c r="G697" s="3" t="s">
        <v>2132</v>
      </c>
      <c r="H697" s="3" t="s">
        <v>1374</v>
      </c>
      <c r="I697" s="3" t="s">
        <v>39</v>
      </c>
      <c r="J697" s="5">
        <v>25685.625760964602</v>
      </c>
      <c r="K697" s="3">
        <v>260</v>
      </c>
      <c r="L697" s="3" t="s">
        <v>31</v>
      </c>
      <c r="M697" s="4">
        <v>44221</v>
      </c>
      <c r="N697" s="3" t="s">
        <v>23</v>
      </c>
      <c r="O697" s="3" t="s">
        <v>47</v>
      </c>
      <c r="P697" s="3" t="str">
        <f>IF(Table1[[#This Row],[Billing Amount]]&lt;5000,"Low",IF(Table1[[#This Row],[Billing Amount]]&lt;=15000,"Medium","High"))</f>
        <v>High</v>
      </c>
      <c r="Q697" s="3" t="str">
        <f>IF(Table1[[#This Row],[Discharge Date]]="Yes","Discharged","Under Treatment")</f>
        <v>Under Treatment</v>
      </c>
      <c r="R697" s="3" t="str">
        <f>IF(Table1[[#This Row],[Test Results]]&gt;120,"High Risk","Normal")</f>
        <v>High Risk</v>
      </c>
      <c r="S697" s="3" t="str">
        <f>IF(Table1[[#This Row],[Age]]&lt;=18,"0-18",IF(Table1[[#This Row],[Age]]&lt;=35,"19-35",IF(Table1[[#This Row],[Age]]&lt;=50,"36-50",IF(Table1[[#This Row],[Age]]&lt;=65,"51-65","65+"))))</f>
        <v>51-65</v>
      </c>
    </row>
    <row r="698" spans="1:19" x14ac:dyDescent="0.3">
      <c r="A698" s="3" t="s">
        <v>2133</v>
      </c>
      <c r="B698" s="3">
        <v>30</v>
      </c>
      <c r="C698" s="3" t="s">
        <v>16</v>
      </c>
      <c r="D698" s="3" t="s">
        <v>26</v>
      </c>
      <c r="E698" s="3" t="s">
        <v>18</v>
      </c>
      <c r="F698" s="4">
        <v>44244</v>
      </c>
      <c r="G698" s="3" t="s">
        <v>2134</v>
      </c>
      <c r="H698" s="3" t="s">
        <v>2135</v>
      </c>
      <c r="I698" s="3" t="s">
        <v>21</v>
      </c>
      <c r="J698" s="5">
        <v>7609.4360165669996</v>
      </c>
      <c r="K698" s="3">
        <v>404</v>
      </c>
      <c r="L698" s="3" t="s">
        <v>22</v>
      </c>
      <c r="M698" s="4">
        <v>44262</v>
      </c>
      <c r="N698" s="3" t="s">
        <v>32</v>
      </c>
      <c r="O698" s="3" t="s">
        <v>47</v>
      </c>
      <c r="P698" s="3" t="str">
        <f>IF(Table1[[#This Row],[Billing Amount]]&lt;5000,"Low",IF(Table1[[#This Row],[Billing Amount]]&lt;=15000,"Medium","High"))</f>
        <v>Medium</v>
      </c>
      <c r="Q698" s="3" t="str">
        <f>IF(Table1[[#This Row],[Discharge Date]]="Yes","Discharged","Under Treatment")</f>
        <v>Under Treatment</v>
      </c>
      <c r="R698" s="3" t="str">
        <f>IF(Table1[[#This Row],[Test Results]]&gt;120,"High Risk","Normal")</f>
        <v>High Risk</v>
      </c>
      <c r="S698" s="3" t="str">
        <f>IF(Table1[[#This Row],[Age]]&lt;=18,"0-18",IF(Table1[[#This Row],[Age]]&lt;=35,"19-35",IF(Table1[[#This Row],[Age]]&lt;=50,"36-50",IF(Table1[[#This Row],[Age]]&lt;=65,"51-65","65+"))))</f>
        <v>19-35</v>
      </c>
    </row>
    <row r="699" spans="1:19" x14ac:dyDescent="0.3">
      <c r="A699" s="3" t="s">
        <v>2136</v>
      </c>
      <c r="B699" s="3">
        <v>76</v>
      </c>
      <c r="C699" s="3" t="s">
        <v>16</v>
      </c>
      <c r="D699" s="3" t="s">
        <v>36</v>
      </c>
      <c r="E699" s="3" t="s">
        <v>43</v>
      </c>
      <c r="F699" s="4">
        <v>45081</v>
      </c>
      <c r="G699" s="3" t="s">
        <v>2137</v>
      </c>
      <c r="H699" s="3" t="s">
        <v>2138</v>
      </c>
      <c r="I699" s="3" t="s">
        <v>30</v>
      </c>
      <c r="J699" s="5">
        <v>46287.049309881702</v>
      </c>
      <c r="K699" s="3">
        <v>451</v>
      </c>
      <c r="L699" s="3" t="s">
        <v>31</v>
      </c>
      <c r="M699" s="4">
        <v>45104</v>
      </c>
      <c r="N699" s="3" t="s">
        <v>23</v>
      </c>
      <c r="O699" s="3" t="s">
        <v>33</v>
      </c>
      <c r="P699" s="3" t="str">
        <f>IF(Table1[[#This Row],[Billing Amount]]&lt;5000,"Low",IF(Table1[[#This Row],[Billing Amount]]&lt;=15000,"Medium","High"))</f>
        <v>High</v>
      </c>
      <c r="Q699" s="3" t="str">
        <f>IF(Table1[[#This Row],[Discharge Date]]="Yes","Discharged","Under Treatment")</f>
        <v>Under Treatment</v>
      </c>
      <c r="R699" s="3" t="str">
        <f>IF(Table1[[#This Row],[Test Results]]&gt;120,"High Risk","Normal")</f>
        <v>High Risk</v>
      </c>
      <c r="S699" s="3" t="str">
        <f>IF(Table1[[#This Row],[Age]]&lt;=18,"0-18",IF(Table1[[#This Row],[Age]]&lt;=35,"19-35",IF(Table1[[#This Row],[Age]]&lt;=50,"36-50",IF(Table1[[#This Row],[Age]]&lt;=65,"51-65","65+"))))</f>
        <v>65+</v>
      </c>
    </row>
    <row r="700" spans="1:19" x14ac:dyDescent="0.3">
      <c r="A700" s="3" t="s">
        <v>2139</v>
      </c>
      <c r="B700" s="3">
        <v>56</v>
      </c>
      <c r="C700" s="3" t="s">
        <v>16</v>
      </c>
      <c r="D700" s="3" t="s">
        <v>17</v>
      </c>
      <c r="E700" s="3" t="s">
        <v>43</v>
      </c>
      <c r="F700" s="4">
        <v>45176</v>
      </c>
      <c r="G700" s="3" t="s">
        <v>2140</v>
      </c>
      <c r="H700" s="3" t="s">
        <v>2141</v>
      </c>
      <c r="I700" s="3" t="s">
        <v>30</v>
      </c>
      <c r="J700" s="5">
        <v>19204.9177799971</v>
      </c>
      <c r="K700" s="3">
        <v>131</v>
      </c>
      <c r="L700" s="3" t="s">
        <v>31</v>
      </c>
      <c r="M700" s="4">
        <v>45205</v>
      </c>
      <c r="N700" s="3" t="s">
        <v>79</v>
      </c>
      <c r="O700" s="3" t="s">
        <v>33</v>
      </c>
      <c r="P700" s="3" t="str">
        <f>IF(Table1[[#This Row],[Billing Amount]]&lt;5000,"Low",IF(Table1[[#This Row],[Billing Amount]]&lt;=15000,"Medium","High"))</f>
        <v>High</v>
      </c>
      <c r="Q700" s="3" t="str">
        <f>IF(Table1[[#This Row],[Discharge Date]]="Yes","Discharged","Under Treatment")</f>
        <v>Under Treatment</v>
      </c>
      <c r="R700" s="3" t="str">
        <f>IF(Table1[[#This Row],[Test Results]]&gt;120,"High Risk","Normal")</f>
        <v>High Risk</v>
      </c>
      <c r="S700" s="3" t="str">
        <f>IF(Table1[[#This Row],[Age]]&lt;=18,"0-18",IF(Table1[[#This Row],[Age]]&lt;=35,"19-35",IF(Table1[[#This Row],[Age]]&lt;=50,"36-50",IF(Table1[[#This Row],[Age]]&lt;=65,"51-65","65+"))))</f>
        <v>51-65</v>
      </c>
    </row>
    <row r="701" spans="1:19" x14ac:dyDescent="0.3">
      <c r="A701" s="3" t="s">
        <v>2142</v>
      </c>
      <c r="B701" s="3">
        <v>65</v>
      </c>
      <c r="C701" s="3" t="s">
        <v>35</v>
      </c>
      <c r="D701" s="3" t="s">
        <v>122</v>
      </c>
      <c r="E701" s="3" t="s">
        <v>76</v>
      </c>
      <c r="F701" s="4">
        <v>44833</v>
      </c>
      <c r="G701" s="3" t="s">
        <v>2143</v>
      </c>
      <c r="H701" s="3" t="s">
        <v>2144</v>
      </c>
      <c r="I701" s="3" t="s">
        <v>57</v>
      </c>
      <c r="J701" s="5">
        <v>45019.026313259601</v>
      </c>
      <c r="K701" s="3">
        <v>237</v>
      </c>
      <c r="L701" s="3" t="s">
        <v>31</v>
      </c>
      <c r="M701" s="4">
        <v>44843</v>
      </c>
      <c r="N701" s="3" t="s">
        <v>23</v>
      </c>
      <c r="O701" s="3" t="s">
        <v>47</v>
      </c>
      <c r="P701" s="3" t="str">
        <f>IF(Table1[[#This Row],[Billing Amount]]&lt;5000,"Low",IF(Table1[[#This Row],[Billing Amount]]&lt;=15000,"Medium","High"))</f>
        <v>High</v>
      </c>
      <c r="Q701" s="3" t="str">
        <f>IF(Table1[[#This Row],[Discharge Date]]="Yes","Discharged","Under Treatment")</f>
        <v>Under Treatment</v>
      </c>
      <c r="R701" s="3" t="str">
        <f>IF(Table1[[#This Row],[Test Results]]&gt;120,"High Risk","Normal")</f>
        <v>High Risk</v>
      </c>
      <c r="S701" s="3" t="str">
        <f>IF(Table1[[#This Row],[Age]]&lt;=18,"0-18",IF(Table1[[#This Row],[Age]]&lt;=35,"19-35",IF(Table1[[#This Row],[Age]]&lt;=50,"36-50",IF(Table1[[#This Row],[Age]]&lt;=65,"51-65","65+"))))</f>
        <v>51-65</v>
      </c>
    </row>
    <row r="702" spans="1:19" x14ac:dyDescent="0.3">
      <c r="A702" s="3" t="s">
        <v>2145</v>
      </c>
      <c r="B702" s="3">
        <v>83</v>
      </c>
      <c r="C702" s="3" t="s">
        <v>35</v>
      </c>
      <c r="D702" s="3" t="s">
        <v>26</v>
      </c>
      <c r="E702" s="3" t="s">
        <v>27</v>
      </c>
      <c r="F702" s="4">
        <v>44595</v>
      </c>
      <c r="G702" s="3" t="s">
        <v>2146</v>
      </c>
      <c r="H702" s="3" t="s">
        <v>2147</v>
      </c>
      <c r="I702" s="3" t="s">
        <v>21</v>
      </c>
      <c r="J702" s="5">
        <v>44581.153495409599</v>
      </c>
      <c r="K702" s="3">
        <v>374</v>
      </c>
      <c r="L702" s="3" t="s">
        <v>22</v>
      </c>
      <c r="M702" s="4">
        <v>44600</v>
      </c>
      <c r="N702" s="3" t="s">
        <v>52</v>
      </c>
      <c r="O702" s="3" t="s">
        <v>47</v>
      </c>
      <c r="P702" s="3" t="str">
        <f>IF(Table1[[#This Row],[Billing Amount]]&lt;5000,"Low",IF(Table1[[#This Row],[Billing Amount]]&lt;=15000,"Medium","High"))</f>
        <v>High</v>
      </c>
      <c r="Q702" s="3" t="str">
        <f>IF(Table1[[#This Row],[Discharge Date]]="Yes","Discharged","Under Treatment")</f>
        <v>Under Treatment</v>
      </c>
      <c r="R702" s="3" t="str">
        <f>IF(Table1[[#This Row],[Test Results]]&gt;120,"High Risk","Normal")</f>
        <v>High Risk</v>
      </c>
      <c r="S702" s="3" t="str">
        <f>IF(Table1[[#This Row],[Age]]&lt;=18,"0-18",IF(Table1[[#This Row],[Age]]&lt;=35,"19-35",IF(Table1[[#This Row],[Age]]&lt;=50,"36-50",IF(Table1[[#This Row],[Age]]&lt;=65,"51-65","65+"))))</f>
        <v>65+</v>
      </c>
    </row>
    <row r="703" spans="1:19" x14ac:dyDescent="0.3">
      <c r="A703" s="3" t="s">
        <v>2148</v>
      </c>
      <c r="B703" s="3">
        <v>43</v>
      </c>
      <c r="C703" s="3" t="s">
        <v>35</v>
      </c>
      <c r="D703" s="3" t="s">
        <v>103</v>
      </c>
      <c r="E703" s="3" t="s">
        <v>76</v>
      </c>
      <c r="F703" s="4">
        <v>45336</v>
      </c>
      <c r="G703" s="3" t="s">
        <v>2149</v>
      </c>
      <c r="H703" s="3" t="s">
        <v>2150</v>
      </c>
      <c r="I703" s="3" t="s">
        <v>30</v>
      </c>
      <c r="J703" s="5">
        <v>8726.6990064883194</v>
      </c>
      <c r="K703" s="3">
        <v>164</v>
      </c>
      <c r="L703" s="3" t="s">
        <v>46</v>
      </c>
      <c r="M703" s="4">
        <v>45353</v>
      </c>
      <c r="N703" s="3" t="s">
        <v>52</v>
      </c>
      <c r="O703" s="3" t="s">
        <v>33</v>
      </c>
      <c r="P703" s="3" t="str">
        <f>IF(Table1[[#This Row],[Billing Amount]]&lt;5000,"Low",IF(Table1[[#This Row],[Billing Amount]]&lt;=15000,"Medium","High"))</f>
        <v>Medium</v>
      </c>
      <c r="Q703" s="3" t="str">
        <f>IF(Table1[[#This Row],[Discharge Date]]="Yes","Discharged","Under Treatment")</f>
        <v>Under Treatment</v>
      </c>
      <c r="R703" s="3" t="str">
        <f>IF(Table1[[#This Row],[Test Results]]&gt;120,"High Risk","Normal")</f>
        <v>High Risk</v>
      </c>
      <c r="S703" s="3" t="str">
        <f>IF(Table1[[#This Row],[Age]]&lt;=18,"0-18",IF(Table1[[#This Row],[Age]]&lt;=35,"19-35",IF(Table1[[#This Row],[Age]]&lt;=50,"36-50",IF(Table1[[#This Row],[Age]]&lt;=65,"51-65","65+"))))</f>
        <v>36-50</v>
      </c>
    </row>
    <row r="704" spans="1:19" x14ac:dyDescent="0.3">
      <c r="A704" s="3" t="s">
        <v>2151</v>
      </c>
      <c r="B704" s="3">
        <v>84</v>
      </c>
      <c r="C704" s="3" t="s">
        <v>16</v>
      </c>
      <c r="D704" s="3" t="s">
        <v>26</v>
      </c>
      <c r="E704" s="3" t="s">
        <v>76</v>
      </c>
      <c r="F704" s="4">
        <v>44084</v>
      </c>
      <c r="G704" s="3" t="s">
        <v>2152</v>
      </c>
      <c r="H704" s="3" t="s">
        <v>2153</v>
      </c>
      <c r="I704" s="3" t="s">
        <v>65</v>
      </c>
      <c r="J704" s="5">
        <v>41966.568909977803</v>
      </c>
      <c r="K704" s="3">
        <v>293</v>
      </c>
      <c r="L704" s="3" t="s">
        <v>22</v>
      </c>
      <c r="M704" s="4">
        <v>44095</v>
      </c>
      <c r="N704" s="3" t="s">
        <v>32</v>
      </c>
      <c r="O704" s="3" t="s">
        <v>33</v>
      </c>
      <c r="P704" s="3" t="str">
        <f>IF(Table1[[#This Row],[Billing Amount]]&lt;5000,"Low",IF(Table1[[#This Row],[Billing Amount]]&lt;=15000,"Medium","High"))</f>
        <v>High</v>
      </c>
      <c r="Q704" s="3" t="str">
        <f>IF(Table1[[#This Row],[Discharge Date]]="Yes","Discharged","Under Treatment")</f>
        <v>Under Treatment</v>
      </c>
      <c r="R704" s="3" t="str">
        <f>IF(Table1[[#This Row],[Test Results]]&gt;120,"High Risk","Normal")</f>
        <v>High Risk</v>
      </c>
      <c r="S704" s="3" t="str">
        <f>IF(Table1[[#This Row],[Age]]&lt;=18,"0-18",IF(Table1[[#This Row],[Age]]&lt;=35,"19-35",IF(Table1[[#This Row],[Age]]&lt;=50,"36-50",IF(Table1[[#This Row],[Age]]&lt;=65,"51-65","65+"))))</f>
        <v>65+</v>
      </c>
    </row>
    <row r="705" spans="1:19" x14ac:dyDescent="0.3">
      <c r="A705" s="3" t="s">
        <v>2154</v>
      </c>
      <c r="B705" s="3">
        <v>77</v>
      </c>
      <c r="C705" s="3" t="s">
        <v>16</v>
      </c>
      <c r="D705" s="3" t="s">
        <v>122</v>
      </c>
      <c r="E705" s="3" t="s">
        <v>27</v>
      </c>
      <c r="F705" s="4">
        <v>44470</v>
      </c>
      <c r="G705" s="3" t="s">
        <v>2155</v>
      </c>
      <c r="H705" s="3" t="s">
        <v>2156</v>
      </c>
      <c r="I705" s="3" t="s">
        <v>57</v>
      </c>
      <c r="J705" s="5">
        <v>43644.337080581303</v>
      </c>
      <c r="K705" s="3">
        <v>298</v>
      </c>
      <c r="L705" s="3" t="s">
        <v>31</v>
      </c>
      <c r="M705" s="4">
        <v>44492</v>
      </c>
      <c r="N705" s="3" t="s">
        <v>23</v>
      </c>
      <c r="O705" s="3" t="s">
        <v>47</v>
      </c>
      <c r="P705" s="3" t="str">
        <f>IF(Table1[[#This Row],[Billing Amount]]&lt;5000,"Low",IF(Table1[[#This Row],[Billing Amount]]&lt;=15000,"Medium","High"))</f>
        <v>High</v>
      </c>
      <c r="Q705" s="3" t="str">
        <f>IF(Table1[[#This Row],[Discharge Date]]="Yes","Discharged","Under Treatment")</f>
        <v>Under Treatment</v>
      </c>
      <c r="R705" s="3" t="str">
        <f>IF(Table1[[#This Row],[Test Results]]&gt;120,"High Risk","Normal")</f>
        <v>High Risk</v>
      </c>
      <c r="S705" s="3" t="str">
        <f>IF(Table1[[#This Row],[Age]]&lt;=18,"0-18",IF(Table1[[#This Row],[Age]]&lt;=35,"19-35",IF(Table1[[#This Row],[Age]]&lt;=50,"36-50",IF(Table1[[#This Row],[Age]]&lt;=65,"51-65","65+"))))</f>
        <v>65+</v>
      </c>
    </row>
    <row r="706" spans="1:19" x14ac:dyDescent="0.3">
      <c r="A706" s="3" t="s">
        <v>2157</v>
      </c>
      <c r="B706" s="3">
        <v>60</v>
      </c>
      <c r="C706" s="3" t="s">
        <v>16</v>
      </c>
      <c r="D706" s="3" t="s">
        <v>42</v>
      </c>
      <c r="E706" s="3" t="s">
        <v>93</v>
      </c>
      <c r="F706" s="4">
        <v>44352</v>
      </c>
      <c r="G706" s="3" t="s">
        <v>2158</v>
      </c>
      <c r="H706" s="3" t="s">
        <v>2159</v>
      </c>
      <c r="I706" s="3" t="s">
        <v>21</v>
      </c>
      <c r="J706" s="5">
        <v>45304.389497577598</v>
      </c>
      <c r="K706" s="3">
        <v>424</v>
      </c>
      <c r="L706" s="3" t="s">
        <v>46</v>
      </c>
      <c r="M706" s="4">
        <v>44358</v>
      </c>
      <c r="N706" s="3" t="s">
        <v>52</v>
      </c>
      <c r="O706" s="3" t="s">
        <v>33</v>
      </c>
      <c r="P706" s="3" t="str">
        <f>IF(Table1[[#This Row],[Billing Amount]]&lt;5000,"Low",IF(Table1[[#This Row],[Billing Amount]]&lt;=15000,"Medium","High"))</f>
        <v>High</v>
      </c>
      <c r="Q706" s="3" t="str">
        <f>IF(Table1[[#This Row],[Discharge Date]]="Yes","Discharged","Under Treatment")</f>
        <v>Under Treatment</v>
      </c>
      <c r="R706" s="3" t="str">
        <f>IF(Table1[[#This Row],[Test Results]]&gt;120,"High Risk","Normal")</f>
        <v>High Risk</v>
      </c>
      <c r="S706" s="3" t="str">
        <f>IF(Table1[[#This Row],[Age]]&lt;=18,"0-18",IF(Table1[[#This Row],[Age]]&lt;=35,"19-35",IF(Table1[[#This Row],[Age]]&lt;=50,"36-50",IF(Table1[[#This Row],[Age]]&lt;=65,"51-65","65+"))))</f>
        <v>51-65</v>
      </c>
    </row>
    <row r="707" spans="1:19" x14ac:dyDescent="0.3">
      <c r="A707" s="3" t="s">
        <v>2160</v>
      </c>
      <c r="B707" s="3">
        <v>48</v>
      </c>
      <c r="C707" s="3" t="s">
        <v>16</v>
      </c>
      <c r="D707" s="3" t="s">
        <v>42</v>
      </c>
      <c r="E707" s="3" t="s">
        <v>93</v>
      </c>
      <c r="F707" s="4">
        <v>45147</v>
      </c>
      <c r="G707" s="3" t="s">
        <v>2161</v>
      </c>
      <c r="H707" s="3" t="s">
        <v>2162</v>
      </c>
      <c r="I707" s="3" t="s">
        <v>57</v>
      </c>
      <c r="J707" s="5">
        <v>18891.920993150201</v>
      </c>
      <c r="K707" s="3">
        <v>274</v>
      </c>
      <c r="L707" s="3" t="s">
        <v>22</v>
      </c>
      <c r="M707" s="4">
        <v>45164</v>
      </c>
      <c r="N707" s="3" t="s">
        <v>23</v>
      </c>
      <c r="O707" s="3" t="s">
        <v>33</v>
      </c>
      <c r="P707" s="3" t="str">
        <f>IF(Table1[[#This Row],[Billing Amount]]&lt;5000,"Low",IF(Table1[[#This Row],[Billing Amount]]&lt;=15000,"Medium","High"))</f>
        <v>High</v>
      </c>
      <c r="Q707" s="3" t="str">
        <f>IF(Table1[[#This Row],[Discharge Date]]="Yes","Discharged","Under Treatment")</f>
        <v>Under Treatment</v>
      </c>
      <c r="R707" s="3" t="str">
        <f>IF(Table1[[#This Row],[Test Results]]&gt;120,"High Risk","Normal")</f>
        <v>High Risk</v>
      </c>
      <c r="S707" s="3" t="str">
        <f>IF(Table1[[#This Row],[Age]]&lt;=18,"0-18",IF(Table1[[#This Row],[Age]]&lt;=35,"19-35",IF(Table1[[#This Row],[Age]]&lt;=50,"36-50",IF(Table1[[#This Row],[Age]]&lt;=65,"51-65","65+"))))</f>
        <v>36-50</v>
      </c>
    </row>
    <row r="708" spans="1:19" x14ac:dyDescent="0.3">
      <c r="A708" s="3" t="s">
        <v>2164</v>
      </c>
      <c r="B708" s="3">
        <v>38</v>
      </c>
      <c r="C708" s="3" t="s">
        <v>16</v>
      </c>
      <c r="D708" s="3" t="s">
        <v>17</v>
      </c>
      <c r="E708" s="3" t="s">
        <v>93</v>
      </c>
      <c r="F708" s="4">
        <v>44321</v>
      </c>
      <c r="G708" s="3" t="s">
        <v>2165</v>
      </c>
      <c r="H708" s="3" t="s">
        <v>2166</v>
      </c>
      <c r="I708" s="3" t="s">
        <v>30</v>
      </c>
      <c r="J708" s="5">
        <v>15072.5709264739</v>
      </c>
      <c r="K708" s="3">
        <v>321</v>
      </c>
      <c r="L708" s="3" t="s">
        <v>46</v>
      </c>
      <c r="M708" s="4">
        <v>44331</v>
      </c>
      <c r="N708" s="3" t="s">
        <v>52</v>
      </c>
      <c r="O708" s="3" t="s">
        <v>47</v>
      </c>
      <c r="P708" s="3" t="str">
        <f>IF(Table1[[#This Row],[Billing Amount]]&lt;5000,"Low",IF(Table1[[#This Row],[Billing Amount]]&lt;=15000,"Medium","High"))</f>
        <v>High</v>
      </c>
      <c r="Q708" s="3" t="str">
        <f>IF(Table1[[#This Row],[Discharge Date]]="Yes","Discharged","Under Treatment")</f>
        <v>Under Treatment</v>
      </c>
      <c r="R708" s="3" t="str">
        <f>IF(Table1[[#This Row],[Test Results]]&gt;120,"High Risk","Normal")</f>
        <v>High Risk</v>
      </c>
      <c r="S708" s="3" t="str">
        <f>IF(Table1[[#This Row],[Age]]&lt;=18,"0-18",IF(Table1[[#This Row],[Age]]&lt;=35,"19-35",IF(Table1[[#This Row],[Age]]&lt;=50,"36-50",IF(Table1[[#This Row],[Age]]&lt;=65,"51-65","65+"))))</f>
        <v>36-50</v>
      </c>
    </row>
    <row r="709" spans="1:19" x14ac:dyDescent="0.3">
      <c r="A709" s="3" t="s">
        <v>2167</v>
      </c>
      <c r="B709" s="3">
        <v>72</v>
      </c>
      <c r="C709" s="3" t="s">
        <v>35</v>
      </c>
      <c r="D709" s="3" t="s">
        <v>36</v>
      </c>
      <c r="E709" s="3" t="s">
        <v>54</v>
      </c>
      <c r="F709" s="4">
        <v>45402</v>
      </c>
      <c r="G709" s="3" t="s">
        <v>2168</v>
      </c>
      <c r="H709" s="3" t="s">
        <v>2169</v>
      </c>
      <c r="I709" s="3" t="s">
        <v>65</v>
      </c>
      <c r="J709" s="5">
        <v>7380.7312983579995</v>
      </c>
      <c r="K709" s="3">
        <v>124</v>
      </c>
      <c r="L709" s="3" t="s">
        <v>46</v>
      </c>
      <c r="M709" s="4">
        <v>45422</v>
      </c>
      <c r="N709" s="3" t="s">
        <v>40</v>
      </c>
      <c r="O709" s="3" t="s">
        <v>24</v>
      </c>
      <c r="P709" s="3" t="str">
        <f>IF(Table1[[#This Row],[Billing Amount]]&lt;5000,"Low",IF(Table1[[#This Row],[Billing Amount]]&lt;=15000,"Medium","High"))</f>
        <v>Medium</v>
      </c>
      <c r="Q709" s="3" t="str">
        <f>IF(Table1[[#This Row],[Discharge Date]]="Yes","Discharged","Under Treatment")</f>
        <v>Under Treatment</v>
      </c>
      <c r="R709" s="3" t="str">
        <f>IF(Table1[[#This Row],[Test Results]]&gt;120,"High Risk","Normal")</f>
        <v>High Risk</v>
      </c>
      <c r="S709" s="3" t="str">
        <f>IF(Table1[[#This Row],[Age]]&lt;=18,"0-18",IF(Table1[[#This Row],[Age]]&lt;=35,"19-35",IF(Table1[[#This Row],[Age]]&lt;=50,"36-50",IF(Table1[[#This Row],[Age]]&lt;=65,"51-65","65+"))))</f>
        <v>65+</v>
      </c>
    </row>
    <row r="710" spans="1:19" x14ac:dyDescent="0.3">
      <c r="A710" s="3" t="s">
        <v>2170</v>
      </c>
      <c r="B710" s="3">
        <v>70</v>
      </c>
      <c r="C710" s="3" t="s">
        <v>35</v>
      </c>
      <c r="D710" s="3" t="s">
        <v>26</v>
      </c>
      <c r="E710" s="3" t="s">
        <v>54</v>
      </c>
      <c r="F710" s="4">
        <v>44725</v>
      </c>
      <c r="G710" s="3" t="s">
        <v>2171</v>
      </c>
      <c r="H710" s="3" t="s">
        <v>2172</v>
      </c>
      <c r="I710" s="3" t="s">
        <v>57</v>
      </c>
      <c r="J710" s="5">
        <v>5936.3634114612096</v>
      </c>
      <c r="K710" s="3">
        <v>117</v>
      </c>
      <c r="L710" s="3" t="s">
        <v>46</v>
      </c>
      <c r="M710" s="4">
        <v>44747</v>
      </c>
      <c r="N710" s="3" t="s">
        <v>79</v>
      </c>
      <c r="O710" s="3" t="s">
        <v>47</v>
      </c>
      <c r="P710" s="3" t="str">
        <f>IF(Table1[[#This Row],[Billing Amount]]&lt;5000,"Low",IF(Table1[[#This Row],[Billing Amount]]&lt;=15000,"Medium","High"))</f>
        <v>Medium</v>
      </c>
      <c r="Q710" s="3" t="str">
        <f>IF(Table1[[#This Row],[Discharge Date]]="Yes","Discharged","Under Treatment")</f>
        <v>Under Treatment</v>
      </c>
      <c r="R710" s="3" t="str">
        <f>IF(Table1[[#This Row],[Test Results]]&gt;120,"High Risk","Normal")</f>
        <v>High Risk</v>
      </c>
      <c r="S710" s="3" t="str">
        <f>IF(Table1[[#This Row],[Age]]&lt;=18,"0-18",IF(Table1[[#This Row],[Age]]&lt;=35,"19-35",IF(Table1[[#This Row],[Age]]&lt;=50,"36-50",IF(Table1[[#This Row],[Age]]&lt;=65,"51-65","65+"))))</f>
        <v>65+</v>
      </c>
    </row>
    <row r="711" spans="1:19" x14ac:dyDescent="0.3">
      <c r="A711" s="3" t="s">
        <v>2173</v>
      </c>
      <c r="B711" s="3">
        <v>46</v>
      </c>
      <c r="C711" s="3" t="s">
        <v>35</v>
      </c>
      <c r="D711" s="3" t="s">
        <v>42</v>
      </c>
      <c r="E711" s="3" t="s">
        <v>76</v>
      </c>
      <c r="F711" s="4">
        <v>45170</v>
      </c>
      <c r="G711" s="3" t="s">
        <v>2174</v>
      </c>
      <c r="H711" s="3" t="s">
        <v>2175</v>
      </c>
      <c r="I711" s="3" t="s">
        <v>65</v>
      </c>
      <c r="J711" s="5">
        <v>7704.3009909149996</v>
      </c>
      <c r="K711" s="3">
        <v>331</v>
      </c>
      <c r="L711" s="3" t="s">
        <v>31</v>
      </c>
      <c r="M711" s="4">
        <v>45187</v>
      </c>
      <c r="N711" s="3" t="s">
        <v>52</v>
      </c>
      <c r="O711" s="3" t="s">
        <v>47</v>
      </c>
      <c r="P711" s="3" t="str">
        <f>IF(Table1[[#This Row],[Billing Amount]]&lt;5000,"Low",IF(Table1[[#This Row],[Billing Amount]]&lt;=15000,"Medium","High"))</f>
        <v>Medium</v>
      </c>
      <c r="Q711" s="3" t="str">
        <f>IF(Table1[[#This Row],[Discharge Date]]="Yes","Discharged","Under Treatment")</f>
        <v>Under Treatment</v>
      </c>
      <c r="R711" s="3" t="str">
        <f>IF(Table1[[#This Row],[Test Results]]&gt;120,"High Risk","Normal")</f>
        <v>High Risk</v>
      </c>
      <c r="S711" s="3" t="str">
        <f>IF(Table1[[#This Row],[Age]]&lt;=18,"0-18",IF(Table1[[#This Row],[Age]]&lt;=35,"19-35",IF(Table1[[#This Row],[Age]]&lt;=50,"36-50",IF(Table1[[#This Row],[Age]]&lt;=65,"51-65","65+"))))</f>
        <v>36-50</v>
      </c>
    </row>
    <row r="712" spans="1:19" x14ac:dyDescent="0.3">
      <c r="A712" s="3" t="s">
        <v>2176</v>
      </c>
      <c r="B712" s="3">
        <v>34</v>
      </c>
      <c r="C712" s="3" t="s">
        <v>35</v>
      </c>
      <c r="D712" s="3" t="s">
        <v>42</v>
      </c>
      <c r="E712" s="3" t="s">
        <v>54</v>
      </c>
      <c r="F712" s="4">
        <v>43818</v>
      </c>
      <c r="G712" s="3" t="s">
        <v>2177</v>
      </c>
      <c r="H712" s="3" t="s">
        <v>2178</v>
      </c>
      <c r="I712" s="3" t="s">
        <v>57</v>
      </c>
      <c r="J712" s="5">
        <v>25275.9442276636</v>
      </c>
      <c r="K712" s="3">
        <v>475</v>
      </c>
      <c r="L712" s="3" t="s">
        <v>22</v>
      </c>
      <c r="M712" s="4">
        <v>43846</v>
      </c>
      <c r="N712" s="3" t="s">
        <v>32</v>
      </c>
      <c r="O712" s="3" t="s">
        <v>33</v>
      </c>
      <c r="P712" s="3" t="str">
        <f>IF(Table1[[#This Row],[Billing Amount]]&lt;5000,"Low",IF(Table1[[#This Row],[Billing Amount]]&lt;=15000,"Medium","High"))</f>
        <v>High</v>
      </c>
      <c r="Q712" s="3" t="str">
        <f>IF(Table1[[#This Row],[Discharge Date]]="Yes","Discharged","Under Treatment")</f>
        <v>Under Treatment</v>
      </c>
      <c r="R712" s="3" t="str">
        <f>IF(Table1[[#This Row],[Test Results]]&gt;120,"High Risk","Normal")</f>
        <v>High Risk</v>
      </c>
      <c r="S712" s="3" t="str">
        <f>IF(Table1[[#This Row],[Age]]&lt;=18,"0-18",IF(Table1[[#This Row],[Age]]&lt;=35,"19-35",IF(Table1[[#This Row],[Age]]&lt;=50,"36-50",IF(Table1[[#This Row],[Age]]&lt;=65,"51-65","65+"))))</f>
        <v>19-35</v>
      </c>
    </row>
    <row r="713" spans="1:19" x14ac:dyDescent="0.3">
      <c r="A713" s="3" t="s">
        <v>2179</v>
      </c>
      <c r="B713" s="3">
        <v>49</v>
      </c>
      <c r="C713" s="3" t="s">
        <v>16</v>
      </c>
      <c r="D713" s="3" t="s">
        <v>36</v>
      </c>
      <c r="E713" s="3" t="s">
        <v>76</v>
      </c>
      <c r="F713" s="4">
        <v>44171</v>
      </c>
      <c r="G713" s="3" t="s">
        <v>2180</v>
      </c>
      <c r="H713" s="3" t="s">
        <v>2181</v>
      </c>
      <c r="I713" s="3" t="s">
        <v>39</v>
      </c>
      <c r="J713" s="5">
        <v>17002.303270714299</v>
      </c>
      <c r="K713" s="3">
        <v>194</v>
      </c>
      <c r="L713" s="3" t="s">
        <v>31</v>
      </c>
      <c r="M713" s="4">
        <v>44174</v>
      </c>
      <c r="N713" s="3" t="s">
        <v>32</v>
      </c>
      <c r="O713" s="3" t="s">
        <v>24</v>
      </c>
      <c r="P713" s="3" t="str">
        <f>IF(Table1[[#This Row],[Billing Amount]]&lt;5000,"Low",IF(Table1[[#This Row],[Billing Amount]]&lt;=15000,"Medium","High"))</f>
        <v>High</v>
      </c>
      <c r="Q713" s="3" t="str">
        <f>IF(Table1[[#This Row],[Discharge Date]]="Yes","Discharged","Under Treatment")</f>
        <v>Under Treatment</v>
      </c>
      <c r="R713" s="3" t="str">
        <f>IF(Table1[[#This Row],[Test Results]]&gt;120,"High Risk","Normal")</f>
        <v>High Risk</v>
      </c>
      <c r="S713" s="3" t="str">
        <f>IF(Table1[[#This Row],[Age]]&lt;=18,"0-18",IF(Table1[[#This Row],[Age]]&lt;=35,"19-35",IF(Table1[[#This Row],[Age]]&lt;=50,"36-50",IF(Table1[[#This Row],[Age]]&lt;=65,"51-65","65+"))))</f>
        <v>36-50</v>
      </c>
    </row>
    <row r="714" spans="1:19" x14ac:dyDescent="0.3">
      <c r="A714" s="3" t="s">
        <v>2182</v>
      </c>
      <c r="B714" s="3">
        <v>44</v>
      </c>
      <c r="C714" s="3" t="s">
        <v>35</v>
      </c>
      <c r="D714" s="3" t="s">
        <v>103</v>
      </c>
      <c r="E714" s="3" t="s">
        <v>18</v>
      </c>
      <c r="F714" s="4">
        <v>43598</v>
      </c>
      <c r="G714" s="3" t="s">
        <v>2183</v>
      </c>
      <c r="H714" s="3" t="s">
        <v>2184</v>
      </c>
      <c r="I714" s="3" t="s">
        <v>30</v>
      </c>
      <c r="J714" s="5">
        <v>4794.7513545462498</v>
      </c>
      <c r="K714" s="3">
        <v>382</v>
      </c>
      <c r="L714" s="3" t="s">
        <v>31</v>
      </c>
      <c r="M714" s="4">
        <v>43626</v>
      </c>
      <c r="N714" s="3" t="s">
        <v>23</v>
      </c>
      <c r="O714" s="3" t="s">
        <v>33</v>
      </c>
      <c r="P714" s="3" t="str">
        <f>IF(Table1[[#This Row],[Billing Amount]]&lt;5000,"Low",IF(Table1[[#This Row],[Billing Amount]]&lt;=15000,"Medium","High"))</f>
        <v>Low</v>
      </c>
      <c r="Q714" s="3" t="str">
        <f>IF(Table1[[#This Row],[Discharge Date]]="Yes","Discharged","Under Treatment")</f>
        <v>Under Treatment</v>
      </c>
      <c r="R714" s="3" t="str">
        <f>IF(Table1[[#This Row],[Test Results]]&gt;120,"High Risk","Normal")</f>
        <v>High Risk</v>
      </c>
      <c r="S714" s="3" t="str">
        <f>IF(Table1[[#This Row],[Age]]&lt;=18,"0-18",IF(Table1[[#This Row],[Age]]&lt;=35,"19-35",IF(Table1[[#This Row],[Age]]&lt;=50,"36-50",IF(Table1[[#This Row],[Age]]&lt;=65,"51-65","65+"))))</f>
        <v>36-50</v>
      </c>
    </row>
    <row r="715" spans="1:19" x14ac:dyDescent="0.3">
      <c r="A715" s="3" t="s">
        <v>2185</v>
      </c>
      <c r="B715" s="3">
        <v>37</v>
      </c>
      <c r="C715" s="3" t="s">
        <v>16</v>
      </c>
      <c r="D715" s="3" t="s">
        <v>59</v>
      </c>
      <c r="E715" s="3" t="s">
        <v>93</v>
      </c>
      <c r="F715" s="4">
        <v>44770</v>
      </c>
      <c r="G715" s="3" t="s">
        <v>2186</v>
      </c>
      <c r="H715" s="3" t="s">
        <v>2187</v>
      </c>
      <c r="I715" s="3" t="s">
        <v>39</v>
      </c>
      <c r="J715" s="5">
        <v>45218.741051155899</v>
      </c>
      <c r="K715" s="3">
        <v>346</v>
      </c>
      <c r="L715" s="3" t="s">
        <v>46</v>
      </c>
      <c r="M715" s="4">
        <v>44789</v>
      </c>
      <c r="N715" s="3" t="s">
        <v>40</v>
      </c>
      <c r="O715" s="3" t="s">
        <v>47</v>
      </c>
      <c r="P715" s="3" t="str">
        <f>IF(Table1[[#This Row],[Billing Amount]]&lt;5000,"Low",IF(Table1[[#This Row],[Billing Amount]]&lt;=15000,"Medium","High"))</f>
        <v>High</v>
      </c>
      <c r="Q715" s="3" t="str">
        <f>IF(Table1[[#This Row],[Discharge Date]]="Yes","Discharged","Under Treatment")</f>
        <v>Under Treatment</v>
      </c>
      <c r="R715" s="3" t="str">
        <f>IF(Table1[[#This Row],[Test Results]]&gt;120,"High Risk","Normal")</f>
        <v>High Risk</v>
      </c>
      <c r="S715" s="3" t="str">
        <f>IF(Table1[[#This Row],[Age]]&lt;=18,"0-18",IF(Table1[[#This Row],[Age]]&lt;=35,"19-35",IF(Table1[[#This Row],[Age]]&lt;=50,"36-50",IF(Table1[[#This Row],[Age]]&lt;=65,"51-65","65+"))))</f>
        <v>36-50</v>
      </c>
    </row>
    <row r="716" spans="1:19" x14ac:dyDescent="0.3">
      <c r="A716" s="3" t="s">
        <v>2188</v>
      </c>
      <c r="B716" s="3">
        <v>58</v>
      </c>
      <c r="C716" s="3" t="s">
        <v>35</v>
      </c>
      <c r="D716" s="3" t="s">
        <v>42</v>
      </c>
      <c r="E716" s="3" t="s">
        <v>43</v>
      </c>
      <c r="F716" s="4">
        <v>44849</v>
      </c>
      <c r="G716" s="3" t="s">
        <v>2189</v>
      </c>
      <c r="H716" s="3" t="s">
        <v>2190</v>
      </c>
      <c r="I716" s="3" t="s">
        <v>65</v>
      </c>
      <c r="J716" s="5">
        <v>32052.0564587382</v>
      </c>
      <c r="K716" s="3">
        <v>109</v>
      </c>
      <c r="L716" s="3" t="s">
        <v>22</v>
      </c>
      <c r="M716" s="4">
        <v>44870</v>
      </c>
      <c r="N716" s="3" t="s">
        <v>32</v>
      </c>
      <c r="O716" s="3" t="s">
        <v>47</v>
      </c>
      <c r="P716" s="3" t="str">
        <f>IF(Table1[[#This Row],[Billing Amount]]&lt;5000,"Low",IF(Table1[[#This Row],[Billing Amount]]&lt;=15000,"Medium","High"))</f>
        <v>High</v>
      </c>
      <c r="Q716" s="3" t="str">
        <f>IF(Table1[[#This Row],[Discharge Date]]="Yes","Discharged","Under Treatment")</f>
        <v>Under Treatment</v>
      </c>
      <c r="R716" s="3" t="str">
        <f>IF(Table1[[#This Row],[Test Results]]&gt;120,"High Risk","Normal")</f>
        <v>High Risk</v>
      </c>
      <c r="S716" s="3" t="str">
        <f>IF(Table1[[#This Row],[Age]]&lt;=18,"0-18",IF(Table1[[#This Row],[Age]]&lt;=35,"19-35",IF(Table1[[#This Row],[Age]]&lt;=50,"36-50",IF(Table1[[#This Row],[Age]]&lt;=65,"51-65","65+"))))</f>
        <v>51-65</v>
      </c>
    </row>
    <row r="717" spans="1:19" x14ac:dyDescent="0.3">
      <c r="A717" s="3" t="s">
        <v>2191</v>
      </c>
      <c r="B717" s="3">
        <v>43</v>
      </c>
      <c r="C717" s="3" t="s">
        <v>16</v>
      </c>
      <c r="D717" s="3" t="s">
        <v>36</v>
      </c>
      <c r="E717" s="3" t="s">
        <v>27</v>
      </c>
      <c r="F717" s="4">
        <v>44240</v>
      </c>
      <c r="G717" s="3" t="s">
        <v>2192</v>
      </c>
      <c r="H717" s="3" t="s">
        <v>2193</v>
      </c>
      <c r="I717" s="3" t="s">
        <v>57</v>
      </c>
      <c r="J717" s="5">
        <v>51441.729053453899</v>
      </c>
      <c r="K717" s="3">
        <v>449</v>
      </c>
      <c r="L717" s="3" t="s">
        <v>22</v>
      </c>
      <c r="M717" s="4">
        <v>44258</v>
      </c>
      <c r="N717" s="3" t="s">
        <v>40</v>
      </c>
      <c r="O717" s="3" t="s">
        <v>47</v>
      </c>
      <c r="P717" s="3" t="str">
        <f>IF(Table1[[#This Row],[Billing Amount]]&lt;5000,"Low",IF(Table1[[#This Row],[Billing Amount]]&lt;=15000,"Medium","High"))</f>
        <v>High</v>
      </c>
      <c r="Q717" s="3" t="str">
        <f>IF(Table1[[#This Row],[Discharge Date]]="Yes","Discharged","Under Treatment")</f>
        <v>Under Treatment</v>
      </c>
      <c r="R717" s="3" t="str">
        <f>IF(Table1[[#This Row],[Test Results]]&gt;120,"High Risk","Normal")</f>
        <v>High Risk</v>
      </c>
      <c r="S717" s="3" t="str">
        <f>IF(Table1[[#This Row],[Age]]&lt;=18,"0-18",IF(Table1[[#This Row],[Age]]&lt;=35,"19-35",IF(Table1[[#This Row],[Age]]&lt;=50,"36-50",IF(Table1[[#This Row],[Age]]&lt;=65,"51-65","65+"))))</f>
        <v>36-50</v>
      </c>
    </row>
    <row r="718" spans="1:19" x14ac:dyDescent="0.3">
      <c r="A718" s="3" t="s">
        <v>2194</v>
      </c>
      <c r="B718" s="3">
        <v>57</v>
      </c>
      <c r="C718" s="3" t="s">
        <v>35</v>
      </c>
      <c r="D718" s="3" t="s">
        <v>59</v>
      </c>
      <c r="E718" s="3" t="s">
        <v>18</v>
      </c>
      <c r="F718" s="4">
        <v>45077</v>
      </c>
      <c r="G718" s="3" t="s">
        <v>2195</v>
      </c>
      <c r="H718" s="3" t="s">
        <v>2196</v>
      </c>
      <c r="I718" s="3" t="s">
        <v>21</v>
      </c>
      <c r="J718" s="5">
        <v>1821.34794642876</v>
      </c>
      <c r="K718" s="3">
        <v>379</v>
      </c>
      <c r="L718" s="3" t="s">
        <v>31</v>
      </c>
      <c r="M718" s="4">
        <v>45102</v>
      </c>
      <c r="N718" s="3" t="s">
        <v>52</v>
      </c>
      <c r="O718" s="3" t="s">
        <v>33</v>
      </c>
      <c r="P718" s="3" t="str">
        <f>IF(Table1[[#This Row],[Billing Amount]]&lt;5000,"Low",IF(Table1[[#This Row],[Billing Amount]]&lt;=15000,"Medium","High"))</f>
        <v>Low</v>
      </c>
      <c r="Q718" s="3" t="str">
        <f>IF(Table1[[#This Row],[Discharge Date]]="Yes","Discharged","Under Treatment")</f>
        <v>Under Treatment</v>
      </c>
      <c r="R718" s="3" t="str">
        <f>IF(Table1[[#This Row],[Test Results]]&gt;120,"High Risk","Normal")</f>
        <v>High Risk</v>
      </c>
      <c r="S718" s="3" t="str">
        <f>IF(Table1[[#This Row],[Age]]&lt;=18,"0-18",IF(Table1[[#This Row],[Age]]&lt;=35,"19-35",IF(Table1[[#This Row],[Age]]&lt;=50,"36-50",IF(Table1[[#This Row],[Age]]&lt;=65,"51-65","65+"))))</f>
        <v>51-65</v>
      </c>
    </row>
    <row r="719" spans="1:19" x14ac:dyDescent="0.3">
      <c r="A719" s="3" t="s">
        <v>2197</v>
      </c>
      <c r="B719" s="3">
        <v>76</v>
      </c>
      <c r="C719" s="3" t="s">
        <v>16</v>
      </c>
      <c r="D719" s="3" t="s">
        <v>49</v>
      </c>
      <c r="E719" s="3" t="s">
        <v>93</v>
      </c>
      <c r="F719" s="4">
        <v>43848</v>
      </c>
      <c r="G719" s="3" t="s">
        <v>978</v>
      </c>
      <c r="H719" s="3" t="s">
        <v>2198</v>
      </c>
      <c r="I719" s="3" t="s">
        <v>39</v>
      </c>
      <c r="J719" s="5">
        <v>23857.499484281601</v>
      </c>
      <c r="K719" s="3">
        <v>214</v>
      </c>
      <c r="L719" s="3" t="s">
        <v>22</v>
      </c>
      <c r="M719" s="4">
        <v>43856</v>
      </c>
      <c r="N719" s="3" t="s">
        <v>23</v>
      </c>
      <c r="O719" s="3" t="s">
        <v>33</v>
      </c>
      <c r="P719" s="3" t="str">
        <f>IF(Table1[[#This Row],[Billing Amount]]&lt;5000,"Low",IF(Table1[[#This Row],[Billing Amount]]&lt;=15000,"Medium","High"))</f>
        <v>High</v>
      </c>
      <c r="Q719" s="3" t="str">
        <f>IF(Table1[[#This Row],[Discharge Date]]="Yes","Discharged","Under Treatment")</f>
        <v>Under Treatment</v>
      </c>
      <c r="R719" s="3" t="str">
        <f>IF(Table1[[#This Row],[Test Results]]&gt;120,"High Risk","Normal")</f>
        <v>High Risk</v>
      </c>
      <c r="S719" s="3" t="str">
        <f>IF(Table1[[#This Row],[Age]]&lt;=18,"0-18",IF(Table1[[#This Row],[Age]]&lt;=35,"19-35",IF(Table1[[#This Row],[Age]]&lt;=50,"36-50",IF(Table1[[#This Row],[Age]]&lt;=65,"51-65","65+"))))</f>
        <v>65+</v>
      </c>
    </row>
    <row r="720" spans="1:19" x14ac:dyDescent="0.3">
      <c r="A720" s="3" t="s">
        <v>2199</v>
      </c>
      <c r="B720" s="3">
        <v>53</v>
      </c>
      <c r="C720" s="3" t="s">
        <v>35</v>
      </c>
      <c r="D720" s="3" t="s">
        <v>17</v>
      </c>
      <c r="E720" s="3" t="s">
        <v>18</v>
      </c>
      <c r="F720" s="4">
        <v>44062</v>
      </c>
      <c r="G720" s="3" t="s">
        <v>2200</v>
      </c>
      <c r="H720" s="3" t="s">
        <v>2201</v>
      </c>
      <c r="I720" s="3" t="s">
        <v>65</v>
      </c>
      <c r="J720" s="5">
        <v>4795.5134389097402</v>
      </c>
      <c r="K720" s="3">
        <v>152</v>
      </c>
      <c r="L720" s="3" t="s">
        <v>22</v>
      </c>
      <c r="M720" s="4">
        <v>44071</v>
      </c>
      <c r="N720" s="3" t="s">
        <v>52</v>
      </c>
      <c r="O720" s="3" t="s">
        <v>47</v>
      </c>
      <c r="P720" s="3" t="str">
        <f>IF(Table1[[#This Row],[Billing Amount]]&lt;5000,"Low",IF(Table1[[#This Row],[Billing Amount]]&lt;=15000,"Medium","High"))</f>
        <v>Low</v>
      </c>
      <c r="Q720" s="3" t="str">
        <f>IF(Table1[[#This Row],[Discharge Date]]="Yes","Discharged","Under Treatment")</f>
        <v>Under Treatment</v>
      </c>
      <c r="R720" s="3" t="str">
        <f>IF(Table1[[#This Row],[Test Results]]&gt;120,"High Risk","Normal")</f>
        <v>High Risk</v>
      </c>
      <c r="S720" s="3" t="str">
        <f>IF(Table1[[#This Row],[Age]]&lt;=18,"0-18",IF(Table1[[#This Row],[Age]]&lt;=35,"19-35",IF(Table1[[#This Row],[Age]]&lt;=50,"36-50",IF(Table1[[#This Row],[Age]]&lt;=65,"51-65","65+"))))</f>
        <v>51-65</v>
      </c>
    </row>
    <row r="721" spans="1:19" x14ac:dyDescent="0.3">
      <c r="A721" s="3" t="s">
        <v>2202</v>
      </c>
      <c r="B721" s="3">
        <v>21</v>
      </c>
      <c r="C721" s="3" t="s">
        <v>35</v>
      </c>
      <c r="D721" s="3" t="s">
        <v>42</v>
      </c>
      <c r="E721" s="3" t="s">
        <v>54</v>
      </c>
      <c r="F721" s="4">
        <v>44079</v>
      </c>
      <c r="G721" s="3" t="s">
        <v>2203</v>
      </c>
      <c r="H721" s="3" t="s">
        <v>2204</v>
      </c>
      <c r="I721" s="3" t="s">
        <v>39</v>
      </c>
      <c r="J721" s="5">
        <v>10837.614583472799</v>
      </c>
      <c r="K721" s="3">
        <v>261</v>
      </c>
      <c r="L721" s="3" t="s">
        <v>31</v>
      </c>
      <c r="M721" s="4">
        <v>44099</v>
      </c>
      <c r="N721" s="3" t="s">
        <v>40</v>
      </c>
      <c r="O721" s="3" t="s">
        <v>24</v>
      </c>
      <c r="P721" s="3" t="str">
        <f>IF(Table1[[#This Row],[Billing Amount]]&lt;5000,"Low",IF(Table1[[#This Row],[Billing Amount]]&lt;=15000,"Medium","High"))</f>
        <v>Medium</v>
      </c>
      <c r="Q721" s="3" t="str">
        <f>IF(Table1[[#This Row],[Discharge Date]]="Yes","Discharged","Under Treatment")</f>
        <v>Under Treatment</v>
      </c>
      <c r="R721" s="3" t="str">
        <f>IF(Table1[[#This Row],[Test Results]]&gt;120,"High Risk","Normal")</f>
        <v>High Risk</v>
      </c>
      <c r="S721" s="3" t="str">
        <f>IF(Table1[[#This Row],[Age]]&lt;=18,"0-18",IF(Table1[[#This Row],[Age]]&lt;=35,"19-35",IF(Table1[[#This Row],[Age]]&lt;=50,"36-50",IF(Table1[[#This Row],[Age]]&lt;=65,"51-65","65+"))))</f>
        <v>19-35</v>
      </c>
    </row>
    <row r="722" spans="1:19" x14ac:dyDescent="0.3">
      <c r="A722" s="3" t="s">
        <v>2205</v>
      </c>
      <c r="B722" s="3">
        <v>71</v>
      </c>
      <c r="C722" s="3" t="s">
        <v>16</v>
      </c>
      <c r="D722" s="3" t="s">
        <v>59</v>
      </c>
      <c r="E722" s="3" t="s">
        <v>43</v>
      </c>
      <c r="F722" s="4">
        <v>44312</v>
      </c>
      <c r="G722" s="3" t="s">
        <v>2206</v>
      </c>
      <c r="H722" s="3" t="s">
        <v>2207</v>
      </c>
      <c r="I722" s="3" t="s">
        <v>57</v>
      </c>
      <c r="J722" s="5">
        <v>11426.0121308383</v>
      </c>
      <c r="K722" s="3">
        <v>169</v>
      </c>
      <c r="L722" s="3" t="s">
        <v>31</v>
      </c>
      <c r="M722" s="4">
        <v>44320</v>
      </c>
      <c r="N722" s="3" t="s">
        <v>40</v>
      </c>
      <c r="O722" s="3" t="s">
        <v>47</v>
      </c>
      <c r="P722" s="3" t="str">
        <f>IF(Table1[[#This Row],[Billing Amount]]&lt;5000,"Low",IF(Table1[[#This Row],[Billing Amount]]&lt;=15000,"Medium","High"))</f>
        <v>Medium</v>
      </c>
      <c r="Q722" s="3" t="str">
        <f>IF(Table1[[#This Row],[Discharge Date]]="Yes","Discharged","Under Treatment")</f>
        <v>Under Treatment</v>
      </c>
      <c r="R722" s="3" t="str">
        <f>IF(Table1[[#This Row],[Test Results]]&gt;120,"High Risk","Normal")</f>
        <v>High Risk</v>
      </c>
      <c r="S722" s="3" t="str">
        <f>IF(Table1[[#This Row],[Age]]&lt;=18,"0-18",IF(Table1[[#This Row],[Age]]&lt;=35,"19-35",IF(Table1[[#This Row],[Age]]&lt;=50,"36-50",IF(Table1[[#This Row],[Age]]&lt;=65,"51-65","65+"))))</f>
        <v>65+</v>
      </c>
    </row>
    <row r="723" spans="1:19" x14ac:dyDescent="0.3">
      <c r="A723" s="3" t="s">
        <v>2208</v>
      </c>
      <c r="B723" s="3">
        <v>28</v>
      </c>
      <c r="C723" s="3" t="s">
        <v>35</v>
      </c>
      <c r="D723" s="3" t="s">
        <v>122</v>
      </c>
      <c r="E723" s="3" t="s">
        <v>43</v>
      </c>
      <c r="F723" s="4">
        <v>45311</v>
      </c>
      <c r="G723" s="3" t="s">
        <v>2209</v>
      </c>
      <c r="H723" s="3" t="s">
        <v>2210</v>
      </c>
      <c r="I723" s="3" t="s">
        <v>65</v>
      </c>
      <c r="J723" s="5">
        <v>20590.515395957002</v>
      </c>
      <c r="K723" s="3">
        <v>105</v>
      </c>
      <c r="L723" s="3" t="s">
        <v>22</v>
      </c>
      <c r="M723" s="4">
        <v>45319</v>
      </c>
      <c r="N723" s="3" t="s">
        <v>52</v>
      </c>
      <c r="O723" s="3" t="s">
        <v>24</v>
      </c>
      <c r="P723" s="3" t="str">
        <f>IF(Table1[[#This Row],[Billing Amount]]&lt;5000,"Low",IF(Table1[[#This Row],[Billing Amount]]&lt;=15000,"Medium","High"))</f>
        <v>High</v>
      </c>
      <c r="Q723" s="3" t="str">
        <f>IF(Table1[[#This Row],[Discharge Date]]="Yes","Discharged","Under Treatment")</f>
        <v>Under Treatment</v>
      </c>
      <c r="R723" s="3" t="str">
        <f>IF(Table1[[#This Row],[Test Results]]&gt;120,"High Risk","Normal")</f>
        <v>High Risk</v>
      </c>
      <c r="S723" s="3" t="str">
        <f>IF(Table1[[#This Row],[Age]]&lt;=18,"0-18",IF(Table1[[#This Row],[Age]]&lt;=35,"19-35",IF(Table1[[#This Row],[Age]]&lt;=50,"36-50",IF(Table1[[#This Row],[Age]]&lt;=65,"51-65","65+"))))</f>
        <v>19-35</v>
      </c>
    </row>
    <row r="724" spans="1:19" x14ac:dyDescent="0.3">
      <c r="A724" s="3" t="s">
        <v>2211</v>
      </c>
      <c r="B724" s="3">
        <v>40</v>
      </c>
      <c r="C724" s="3" t="s">
        <v>16</v>
      </c>
      <c r="D724" s="3" t="s">
        <v>42</v>
      </c>
      <c r="E724" s="3" t="s">
        <v>93</v>
      </c>
      <c r="F724" s="4">
        <v>44192</v>
      </c>
      <c r="G724" s="3" t="s">
        <v>2212</v>
      </c>
      <c r="H724" s="3" t="s">
        <v>1486</v>
      </c>
      <c r="I724" s="3" t="s">
        <v>65</v>
      </c>
      <c r="J724" s="5">
        <v>33188.926549503703</v>
      </c>
      <c r="K724" s="3">
        <v>107</v>
      </c>
      <c r="L724" s="3" t="s">
        <v>22</v>
      </c>
      <c r="M724" s="4">
        <v>44219</v>
      </c>
      <c r="N724" s="3" t="s">
        <v>52</v>
      </c>
      <c r="O724" s="3" t="s">
        <v>47</v>
      </c>
      <c r="P724" s="3" t="str">
        <f>IF(Table1[[#This Row],[Billing Amount]]&lt;5000,"Low",IF(Table1[[#This Row],[Billing Amount]]&lt;=15000,"Medium","High"))</f>
        <v>High</v>
      </c>
      <c r="Q724" s="3" t="str">
        <f>IF(Table1[[#This Row],[Discharge Date]]="Yes","Discharged","Under Treatment")</f>
        <v>Under Treatment</v>
      </c>
      <c r="R724" s="3" t="str">
        <f>IF(Table1[[#This Row],[Test Results]]&gt;120,"High Risk","Normal")</f>
        <v>High Risk</v>
      </c>
      <c r="S724" s="3" t="str">
        <f>IF(Table1[[#This Row],[Age]]&lt;=18,"0-18",IF(Table1[[#This Row],[Age]]&lt;=35,"19-35",IF(Table1[[#This Row],[Age]]&lt;=50,"36-50",IF(Table1[[#This Row],[Age]]&lt;=65,"51-65","65+"))))</f>
        <v>36-50</v>
      </c>
    </row>
    <row r="725" spans="1:19" x14ac:dyDescent="0.3">
      <c r="A725" s="3" t="s">
        <v>2213</v>
      </c>
      <c r="B725" s="3">
        <v>50</v>
      </c>
      <c r="C725" s="3" t="s">
        <v>35</v>
      </c>
      <c r="D725" s="3" t="s">
        <v>49</v>
      </c>
      <c r="E725" s="3" t="s">
        <v>54</v>
      </c>
      <c r="F725" s="4">
        <v>44461</v>
      </c>
      <c r="G725" s="3" t="s">
        <v>2214</v>
      </c>
      <c r="H725" s="3" t="s">
        <v>2215</v>
      </c>
      <c r="I725" s="3" t="s">
        <v>57</v>
      </c>
      <c r="J725" s="5">
        <v>47130.025596781401</v>
      </c>
      <c r="K725" s="3">
        <v>311</v>
      </c>
      <c r="L725" s="3" t="s">
        <v>22</v>
      </c>
      <c r="M725" s="4">
        <v>44484</v>
      </c>
      <c r="N725" s="3" t="s">
        <v>79</v>
      </c>
      <c r="O725" s="3" t="s">
        <v>47</v>
      </c>
      <c r="P725" s="3" t="str">
        <f>IF(Table1[[#This Row],[Billing Amount]]&lt;5000,"Low",IF(Table1[[#This Row],[Billing Amount]]&lt;=15000,"Medium","High"))</f>
        <v>High</v>
      </c>
      <c r="Q725" s="3" t="str">
        <f>IF(Table1[[#This Row],[Discharge Date]]="Yes","Discharged","Under Treatment")</f>
        <v>Under Treatment</v>
      </c>
      <c r="R725" s="3" t="str">
        <f>IF(Table1[[#This Row],[Test Results]]&gt;120,"High Risk","Normal")</f>
        <v>High Risk</v>
      </c>
      <c r="S725" s="3" t="str">
        <f>IF(Table1[[#This Row],[Age]]&lt;=18,"0-18",IF(Table1[[#This Row],[Age]]&lt;=35,"19-35",IF(Table1[[#This Row],[Age]]&lt;=50,"36-50",IF(Table1[[#This Row],[Age]]&lt;=65,"51-65","65+"))))</f>
        <v>36-50</v>
      </c>
    </row>
    <row r="726" spans="1:19" x14ac:dyDescent="0.3">
      <c r="A726" s="3" t="s">
        <v>2216</v>
      </c>
      <c r="B726" s="3">
        <v>64</v>
      </c>
      <c r="C726" s="3" t="s">
        <v>35</v>
      </c>
      <c r="D726" s="3" t="s">
        <v>17</v>
      </c>
      <c r="E726" s="3" t="s">
        <v>18</v>
      </c>
      <c r="F726" s="4">
        <v>45047</v>
      </c>
      <c r="G726" s="3" t="s">
        <v>2217</v>
      </c>
      <c r="H726" s="3" t="s">
        <v>2218</v>
      </c>
      <c r="I726" s="3" t="s">
        <v>65</v>
      </c>
      <c r="J726" s="5">
        <v>20361.865517906601</v>
      </c>
      <c r="K726" s="3">
        <v>366</v>
      </c>
      <c r="L726" s="3" t="s">
        <v>22</v>
      </c>
      <c r="M726" s="4">
        <v>45077</v>
      </c>
      <c r="N726" s="3" t="s">
        <v>79</v>
      </c>
      <c r="O726" s="3" t="s">
        <v>47</v>
      </c>
      <c r="P726" s="3" t="str">
        <f>IF(Table1[[#This Row],[Billing Amount]]&lt;5000,"Low",IF(Table1[[#This Row],[Billing Amount]]&lt;=15000,"Medium","High"))</f>
        <v>High</v>
      </c>
      <c r="Q726" s="3" t="str">
        <f>IF(Table1[[#This Row],[Discharge Date]]="Yes","Discharged","Under Treatment")</f>
        <v>Under Treatment</v>
      </c>
      <c r="R726" s="3" t="str">
        <f>IF(Table1[[#This Row],[Test Results]]&gt;120,"High Risk","Normal")</f>
        <v>High Risk</v>
      </c>
      <c r="S726" s="3" t="str">
        <f>IF(Table1[[#This Row],[Age]]&lt;=18,"0-18",IF(Table1[[#This Row],[Age]]&lt;=35,"19-35",IF(Table1[[#This Row],[Age]]&lt;=50,"36-50",IF(Table1[[#This Row],[Age]]&lt;=65,"51-65","65+"))))</f>
        <v>51-65</v>
      </c>
    </row>
    <row r="727" spans="1:19" x14ac:dyDescent="0.3">
      <c r="A727" s="3" t="s">
        <v>2219</v>
      </c>
      <c r="B727" s="3">
        <v>52</v>
      </c>
      <c r="C727" s="3" t="s">
        <v>35</v>
      </c>
      <c r="D727" s="3" t="s">
        <v>42</v>
      </c>
      <c r="E727" s="3" t="s">
        <v>76</v>
      </c>
      <c r="F727" s="4">
        <v>44249</v>
      </c>
      <c r="G727" s="3" t="s">
        <v>2220</v>
      </c>
      <c r="H727" s="3" t="s">
        <v>2221</v>
      </c>
      <c r="I727" s="3" t="s">
        <v>30</v>
      </c>
      <c r="J727" s="5">
        <v>6969.09152159104</v>
      </c>
      <c r="K727" s="3">
        <v>379</v>
      </c>
      <c r="L727" s="3" t="s">
        <v>31</v>
      </c>
      <c r="M727" s="4">
        <v>44270</v>
      </c>
      <c r="N727" s="3" t="s">
        <v>52</v>
      </c>
      <c r="O727" s="3" t="s">
        <v>24</v>
      </c>
      <c r="P727" s="3" t="str">
        <f>IF(Table1[[#This Row],[Billing Amount]]&lt;5000,"Low",IF(Table1[[#This Row],[Billing Amount]]&lt;=15000,"Medium","High"))</f>
        <v>Medium</v>
      </c>
      <c r="Q727" s="3" t="str">
        <f>IF(Table1[[#This Row],[Discharge Date]]="Yes","Discharged","Under Treatment")</f>
        <v>Under Treatment</v>
      </c>
      <c r="R727" s="3" t="str">
        <f>IF(Table1[[#This Row],[Test Results]]&gt;120,"High Risk","Normal")</f>
        <v>High Risk</v>
      </c>
      <c r="S727" s="3" t="str">
        <f>IF(Table1[[#This Row],[Age]]&lt;=18,"0-18",IF(Table1[[#This Row],[Age]]&lt;=35,"19-35",IF(Table1[[#This Row],[Age]]&lt;=50,"36-50",IF(Table1[[#This Row],[Age]]&lt;=65,"51-65","65+"))))</f>
        <v>51-65</v>
      </c>
    </row>
    <row r="728" spans="1:19" x14ac:dyDescent="0.3">
      <c r="A728" s="3" t="s">
        <v>2222</v>
      </c>
      <c r="B728" s="3">
        <v>76</v>
      </c>
      <c r="C728" s="3" t="s">
        <v>16</v>
      </c>
      <c r="D728" s="3" t="s">
        <v>103</v>
      </c>
      <c r="E728" s="3" t="s">
        <v>27</v>
      </c>
      <c r="F728" s="4">
        <v>44630</v>
      </c>
      <c r="G728" s="3" t="s">
        <v>2223</v>
      </c>
      <c r="H728" s="3" t="s">
        <v>2224</v>
      </c>
      <c r="I728" s="3" t="s">
        <v>21</v>
      </c>
      <c r="J728" s="5">
        <v>31405.5806284379</v>
      </c>
      <c r="K728" s="3">
        <v>103</v>
      </c>
      <c r="L728" s="3" t="s">
        <v>22</v>
      </c>
      <c r="M728" s="4">
        <v>44638</v>
      </c>
      <c r="N728" s="3" t="s">
        <v>40</v>
      </c>
      <c r="O728" s="3" t="s">
        <v>33</v>
      </c>
      <c r="P728" s="3" t="str">
        <f>IF(Table1[[#This Row],[Billing Amount]]&lt;5000,"Low",IF(Table1[[#This Row],[Billing Amount]]&lt;=15000,"Medium","High"))</f>
        <v>High</v>
      </c>
      <c r="Q728" s="3" t="str">
        <f>IF(Table1[[#This Row],[Discharge Date]]="Yes","Discharged","Under Treatment")</f>
        <v>Under Treatment</v>
      </c>
      <c r="R728" s="3" t="str">
        <f>IF(Table1[[#This Row],[Test Results]]&gt;120,"High Risk","Normal")</f>
        <v>High Risk</v>
      </c>
      <c r="S728" s="3" t="str">
        <f>IF(Table1[[#This Row],[Age]]&lt;=18,"0-18",IF(Table1[[#This Row],[Age]]&lt;=35,"19-35",IF(Table1[[#This Row],[Age]]&lt;=50,"36-50",IF(Table1[[#This Row],[Age]]&lt;=65,"51-65","65+"))))</f>
        <v>65+</v>
      </c>
    </row>
    <row r="729" spans="1:19" x14ac:dyDescent="0.3">
      <c r="A729" s="3" t="s">
        <v>2225</v>
      </c>
      <c r="B729" s="3">
        <v>52</v>
      </c>
      <c r="C729" s="3" t="s">
        <v>16</v>
      </c>
      <c r="D729" s="3" t="s">
        <v>103</v>
      </c>
      <c r="E729" s="3" t="s">
        <v>27</v>
      </c>
      <c r="F729" s="4">
        <v>44857</v>
      </c>
      <c r="G729" s="3" t="s">
        <v>2226</v>
      </c>
      <c r="H729" s="3" t="s">
        <v>2227</v>
      </c>
      <c r="I729" s="3" t="s">
        <v>65</v>
      </c>
      <c r="J729" s="5">
        <v>22976.907581906999</v>
      </c>
      <c r="K729" s="3">
        <v>309</v>
      </c>
      <c r="L729" s="3" t="s">
        <v>31</v>
      </c>
      <c r="M729" s="4">
        <v>44868</v>
      </c>
      <c r="N729" s="3" t="s">
        <v>40</v>
      </c>
      <c r="O729" s="3" t="s">
        <v>47</v>
      </c>
      <c r="P729" s="3" t="str">
        <f>IF(Table1[[#This Row],[Billing Amount]]&lt;5000,"Low",IF(Table1[[#This Row],[Billing Amount]]&lt;=15000,"Medium","High"))</f>
        <v>High</v>
      </c>
      <c r="Q729" s="3" t="str">
        <f>IF(Table1[[#This Row],[Discharge Date]]="Yes","Discharged","Under Treatment")</f>
        <v>Under Treatment</v>
      </c>
      <c r="R729" s="3" t="str">
        <f>IF(Table1[[#This Row],[Test Results]]&gt;120,"High Risk","Normal")</f>
        <v>High Risk</v>
      </c>
      <c r="S729" s="3" t="str">
        <f>IF(Table1[[#This Row],[Age]]&lt;=18,"0-18",IF(Table1[[#This Row],[Age]]&lt;=35,"19-35",IF(Table1[[#This Row],[Age]]&lt;=50,"36-50",IF(Table1[[#This Row],[Age]]&lt;=65,"51-65","65+"))))</f>
        <v>51-65</v>
      </c>
    </row>
    <row r="730" spans="1:19" x14ac:dyDescent="0.3">
      <c r="A730" s="3" t="s">
        <v>2228</v>
      </c>
      <c r="B730" s="3">
        <v>77</v>
      </c>
      <c r="C730" s="3" t="s">
        <v>35</v>
      </c>
      <c r="D730" s="3" t="s">
        <v>122</v>
      </c>
      <c r="E730" s="3" t="s">
        <v>18</v>
      </c>
      <c r="F730" s="4">
        <v>45364</v>
      </c>
      <c r="G730" s="3" t="s">
        <v>2229</v>
      </c>
      <c r="H730" s="3" t="s">
        <v>2230</v>
      </c>
      <c r="I730" s="3" t="s">
        <v>39</v>
      </c>
      <c r="J730" s="5">
        <v>32136.5104076893</v>
      </c>
      <c r="K730" s="3">
        <v>384</v>
      </c>
      <c r="L730" s="3" t="s">
        <v>31</v>
      </c>
      <c r="M730" s="4">
        <v>45380</v>
      </c>
      <c r="N730" s="3" t="s">
        <v>52</v>
      </c>
      <c r="O730" s="3" t="s">
        <v>33</v>
      </c>
      <c r="P730" s="3" t="str">
        <f>IF(Table1[[#This Row],[Billing Amount]]&lt;5000,"Low",IF(Table1[[#This Row],[Billing Amount]]&lt;=15000,"Medium","High"))</f>
        <v>High</v>
      </c>
      <c r="Q730" s="3" t="str">
        <f>IF(Table1[[#This Row],[Discharge Date]]="Yes","Discharged","Under Treatment")</f>
        <v>Under Treatment</v>
      </c>
      <c r="R730" s="3" t="str">
        <f>IF(Table1[[#This Row],[Test Results]]&gt;120,"High Risk","Normal")</f>
        <v>High Risk</v>
      </c>
      <c r="S730" s="3" t="str">
        <f>IF(Table1[[#This Row],[Age]]&lt;=18,"0-18",IF(Table1[[#This Row],[Age]]&lt;=35,"19-35",IF(Table1[[#This Row],[Age]]&lt;=50,"36-50",IF(Table1[[#This Row],[Age]]&lt;=65,"51-65","65+"))))</f>
        <v>65+</v>
      </c>
    </row>
    <row r="731" spans="1:19" x14ac:dyDescent="0.3">
      <c r="A731" s="3" t="s">
        <v>2231</v>
      </c>
      <c r="B731" s="3">
        <v>36</v>
      </c>
      <c r="C731" s="3" t="s">
        <v>16</v>
      </c>
      <c r="D731" s="3" t="s">
        <v>17</v>
      </c>
      <c r="E731" s="3" t="s">
        <v>27</v>
      </c>
      <c r="F731" s="4">
        <v>44089</v>
      </c>
      <c r="G731" s="3" t="s">
        <v>2232</v>
      </c>
      <c r="H731" s="3" t="s">
        <v>2233</v>
      </c>
      <c r="I731" s="3" t="s">
        <v>65</v>
      </c>
      <c r="J731" s="5">
        <v>5624.2886687559803</v>
      </c>
      <c r="K731" s="3">
        <v>380</v>
      </c>
      <c r="L731" s="3" t="s">
        <v>31</v>
      </c>
      <c r="M731" s="4">
        <v>44100</v>
      </c>
      <c r="N731" s="3" t="s">
        <v>23</v>
      </c>
      <c r="O731" s="3" t="s">
        <v>33</v>
      </c>
      <c r="P731" s="3" t="str">
        <f>IF(Table1[[#This Row],[Billing Amount]]&lt;5000,"Low",IF(Table1[[#This Row],[Billing Amount]]&lt;=15000,"Medium","High"))</f>
        <v>Medium</v>
      </c>
      <c r="Q731" s="3" t="str">
        <f>IF(Table1[[#This Row],[Discharge Date]]="Yes","Discharged","Under Treatment")</f>
        <v>Under Treatment</v>
      </c>
      <c r="R731" s="3" t="str">
        <f>IF(Table1[[#This Row],[Test Results]]&gt;120,"High Risk","Normal")</f>
        <v>High Risk</v>
      </c>
      <c r="S731" s="3" t="str">
        <f>IF(Table1[[#This Row],[Age]]&lt;=18,"0-18",IF(Table1[[#This Row],[Age]]&lt;=35,"19-35",IF(Table1[[#This Row],[Age]]&lt;=50,"36-50",IF(Table1[[#This Row],[Age]]&lt;=65,"51-65","65+"))))</f>
        <v>36-50</v>
      </c>
    </row>
    <row r="732" spans="1:19" x14ac:dyDescent="0.3">
      <c r="A732" s="3" t="s">
        <v>2234</v>
      </c>
      <c r="B732" s="3">
        <v>72</v>
      </c>
      <c r="C732" s="3" t="s">
        <v>35</v>
      </c>
      <c r="D732" s="3" t="s">
        <v>49</v>
      </c>
      <c r="E732" s="3" t="s">
        <v>18</v>
      </c>
      <c r="F732" s="4">
        <v>43769</v>
      </c>
      <c r="G732" s="3" t="s">
        <v>2235</v>
      </c>
      <c r="H732" s="3" t="s">
        <v>2236</v>
      </c>
      <c r="I732" s="3" t="s">
        <v>21</v>
      </c>
      <c r="J732" s="5">
        <v>5823.0480613071104</v>
      </c>
      <c r="K732" s="3">
        <v>219</v>
      </c>
      <c r="L732" s="3" t="s">
        <v>46</v>
      </c>
      <c r="M732" s="4">
        <v>43772</v>
      </c>
      <c r="N732" s="3" t="s">
        <v>79</v>
      </c>
      <c r="O732" s="3" t="s">
        <v>33</v>
      </c>
      <c r="P732" s="3" t="str">
        <f>IF(Table1[[#This Row],[Billing Amount]]&lt;5000,"Low",IF(Table1[[#This Row],[Billing Amount]]&lt;=15000,"Medium","High"))</f>
        <v>Medium</v>
      </c>
      <c r="Q732" s="3" t="str">
        <f>IF(Table1[[#This Row],[Discharge Date]]="Yes","Discharged","Under Treatment")</f>
        <v>Under Treatment</v>
      </c>
      <c r="R732" s="3" t="str">
        <f>IF(Table1[[#This Row],[Test Results]]&gt;120,"High Risk","Normal")</f>
        <v>High Risk</v>
      </c>
      <c r="S732" s="3" t="str">
        <f>IF(Table1[[#This Row],[Age]]&lt;=18,"0-18",IF(Table1[[#This Row],[Age]]&lt;=35,"19-35",IF(Table1[[#This Row],[Age]]&lt;=50,"36-50",IF(Table1[[#This Row],[Age]]&lt;=65,"51-65","65+"))))</f>
        <v>65+</v>
      </c>
    </row>
    <row r="733" spans="1:19" x14ac:dyDescent="0.3">
      <c r="A733" s="3" t="s">
        <v>2237</v>
      </c>
      <c r="B733" s="3">
        <v>44</v>
      </c>
      <c r="C733" s="3" t="s">
        <v>35</v>
      </c>
      <c r="D733" s="3" t="s">
        <v>122</v>
      </c>
      <c r="E733" s="3" t="s">
        <v>93</v>
      </c>
      <c r="F733" s="4">
        <v>44435</v>
      </c>
      <c r="G733" s="3" t="s">
        <v>2238</v>
      </c>
      <c r="H733" s="3" t="s">
        <v>2239</v>
      </c>
      <c r="I733" s="3" t="s">
        <v>30</v>
      </c>
      <c r="J733" s="5">
        <v>8104.6679772965999</v>
      </c>
      <c r="K733" s="3">
        <v>174</v>
      </c>
      <c r="L733" s="3" t="s">
        <v>46</v>
      </c>
      <c r="M733" s="4">
        <v>44463</v>
      </c>
      <c r="N733" s="3" t="s">
        <v>79</v>
      </c>
      <c r="O733" s="3" t="s">
        <v>33</v>
      </c>
      <c r="P733" s="3" t="str">
        <f>IF(Table1[[#This Row],[Billing Amount]]&lt;5000,"Low",IF(Table1[[#This Row],[Billing Amount]]&lt;=15000,"Medium","High"))</f>
        <v>Medium</v>
      </c>
      <c r="Q733" s="3" t="str">
        <f>IF(Table1[[#This Row],[Discharge Date]]="Yes","Discharged","Under Treatment")</f>
        <v>Under Treatment</v>
      </c>
      <c r="R733" s="3" t="str">
        <f>IF(Table1[[#This Row],[Test Results]]&gt;120,"High Risk","Normal")</f>
        <v>High Risk</v>
      </c>
      <c r="S733" s="3" t="str">
        <f>IF(Table1[[#This Row],[Age]]&lt;=18,"0-18",IF(Table1[[#This Row],[Age]]&lt;=35,"19-35",IF(Table1[[#This Row],[Age]]&lt;=50,"36-50",IF(Table1[[#This Row],[Age]]&lt;=65,"51-65","65+"))))</f>
        <v>36-50</v>
      </c>
    </row>
    <row r="734" spans="1:19" x14ac:dyDescent="0.3">
      <c r="A734" s="3" t="s">
        <v>2240</v>
      </c>
      <c r="B734" s="3">
        <v>32</v>
      </c>
      <c r="C734" s="3" t="s">
        <v>35</v>
      </c>
      <c r="D734" s="3" t="s">
        <v>26</v>
      </c>
      <c r="E734" s="3" t="s">
        <v>93</v>
      </c>
      <c r="F734" s="4">
        <v>44702</v>
      </c>
      <c r="G734" s="3" t="s">
        <v>2241</v>
      </c>
      <c r="H734" s="3" t="s">
        <v>2242</v>
      </c>
      <c r="I734" s="3" t="s">
        <v>65</v>
      </c>
      <c r="J734" s="5">
        <v>22545.9292309013</v>
      </c>
      <c r="K734" s="3">
        <v>294</v>
      </c>
      <c r="L734" s="3" t="s">
        <v>31</v>
      </c>
      <c r="M734" s="4">
        <v>44706</v>
      </c>
      <c r="N734" s="3" t="s">
        <v>52</v>
      </c>
      <c r="O734" s="3" t="s">
        <v>33</v>
      </c>
      <c r="P734" s="3" t="str">
        <f>IF(Table1[[#This Row],[Billing Amount]]&lt;5000,"Low",IF(Table1[[#This Row],[Billing Amount]]&lt;=15000,"Medium","High"))</f>
        <v>High</v>
      </c>
      <c r="Q734" s="3" t="str">
        <f>IF(Table1[[#This Row],[Discharge Date]]="Yes","Discharged","Under Treatment")</f>
        <v>Under Treatment</v>
      </c>
      <c r="R734" s="3" t="str">
        <f>IF(Table1[[#This Row],[Test Results]]&gt;120,"High Risk","Normal")</f>
        <v>High Risk</v>
      </c>
      <c r="S734" s="3" t="str">
        <f>IF(Table1[[#This Row],[Age]]&lt;=18,"0-18",IF(Table1[[#This Row],[Age]]&lt;=35,"19-35",IF(Table1[[#This Row],[Age]]&lt;=50,"36-50",IF(Table1[[#This Row],[Age]]&lt;=65,"51-65","65+"))))</f>
        <v>19-35</v>
      </c>
    </row>
    <row r="735" spans="1:19" x14ac:dyDescent="0.3">
      <c r="A735" s="3" t="s">
        <v>2243</v>
      </c>
      <c r="B735" s="3">
        <v>58</v>
      </c>
      <c r="C735" s="3" t="s">
        <v>35</v>
      </c>
      <c r="D735" s="3" t="s">
        <v>17</v>
      </c>
      <c r="E735" s="3" t="s">
        <v>27</v>
      </c>
      <c r="F735" s="4">
        <v>43828</v>
      </c>
      <c r="G735" s="3" t="s">
        <v>2244</v>
      </c>
      <c r="H735" s="3" t="s">
        <v>2245</v>
      </c>
      <c r="I735" s="3" t="s">
        <v>30</v>
      </c>
      <c r="J735" s="5">
        <v>2641.0161794481401</v>
      </c>
      <c r="K735" s="3">
        <v>234</v>
      </c>
      <c r="L735" s="3" t="s">
        <v>46</v>
      </c>
      <c r="M735" s="4">
        <v>43834</v>
      </c>
      <c r="N735" s="3" t="s">
        <v>40</v>
      </c>
      <c r="O735" s="3" t="s">
        <v>24</v>
      </c>
      <c r="P735" s="3" t="str">
        <f>IF(Table1[[#This Row],[Billing Amount]]&lt;5000,"Low",IF(Table1[[#This Row],[Billing Amount]]&lt;=15000,"Medium","High"))</f>
        <v>Low</v>
      </c>
      <c r="Q735" s="3" t="str">
        <f>IF(Table1[[#This Row],[Discharge Date]]="Yes","Discharged","Under Treatment")</f>
        <v>Under Treatment</v>
      </c>
      <c r="R735" s="3" t="str">
        <f>IF(Table1[[#This Row],[Test Results]]&gt;120,"High Risk","Normal")</f>
        <v>High Risk</v>
      </c>
      <c r="S735" s="3" t="str">
        <f>IF(Table1[[#This Row],[Age]]&lt;=18,"0-18",IF(Table1[[#This Row],[Age]]&lt;=35,"19-35",IF(Table1[[#This Row],[Age]]&lt;=50,"36-50",IF(Table1[[#This Row],[Age]]&lt;=65,"51-65","65+"))))</f>
        <v>51-65</v>
      </c>
    </row>
    <row r="736" spans="1:19" x14ac:dyDescent="0.3">
      <c r="A736" s="3" t="s">
        <v>2247</v>
      </c>
      <c r="B736" s="3">
        <v>67</v>
      </c>
      <c r="C736" s="3" t="s">
        <v>16</v>
      </c>
      <c r="D736" s="3" t="s">
        <v>122</v>
      </c>
      <c r="E736" s="3" t="s">
        <v>27</v>
      </c>
      <c r="F736" s="4">
        <v>44050</v>
      </c>
      <c r="G736" s="3" t="s">
        <v>2248</v>
      </c>
      <c r="H736" s="3" t="s">
        <v>2249</v>
      </c>
      <c r="I736" s="3" t="s">
        <v>39</v>
      </c>
      <c r="J736" s="5">
        <v>39570.068961535202</v>
      </c>
      <c r="K736" s="3">
        <v>161</v>
      </c>
      <c r="L736" s="3" t="s">
        <v>22</v>
      </c>
      <c r="M736" s="4">
        <v>44052</v>
      </c>
      <c r="N736" s="3" t="s">
        <v>40</v>
      </c>
      <c r="O736" s="3" t="s">
        <v>33</v>
      </c>
      <c r="P736" s="3" t="str">
        <f>IF(Table1[[#This Row],[Billing Amount]]&lt;5000,"Low",IF(Table1[[#This Row],[Billing Amount]]&lt;=15000,"Medium","High"))</f>
        <v>High</v>
      </c>
      <c r="Q736" s="3" t="str">
        <f>IF(Table1[[#This Row],[Discharge Date]]="Yes","Discharged","Under Treatment")</f>
        <v>Under Treatment</v>
      </c>
      <c r="R736" s="3" t="str">
        <f>IF(Table1[[#This Row],[Test Results]]&gt;120,"High Risk","Normal")</f>
        <v>High Risk</v>
      </c>
      <c r="S736" s="3" t="str">
        <f>IF(Table1[[#This Row],[Age]]&lt;=18,"0-18",IF(Table1[[#This Row],[Age]]&lt;=35,"19-35",IF(Table1[[#This Row],[Age]]&lt;=50,"36-50",IF(Table1[[#This Row],[Age]]&lt;=65,"51-65","65+"))))</f>
        <v>65+</v>
      </c>
    </row>
    <row r="737" spans="1:19" x14ac:dyDescent="0.3">
      <c r="A737" s="3" t="s">
        <v>2250</v>
      </c>
      <c r="B737" s="3">
        <v>39</v>
      </c>
      <c r="C737" s="3" t="s">
        <v>16</v>
      </c>
      <c r="D737" s="3" t="s">
        <v>36</v>
      </c>
      <c r="E737" s="3" t="s">
        <v>43</v>
      </c>
      <c r="F737" s="4">
        <v>44639</v>
      </c>
      <c r="G737" s="3" t="s">
        <v>2251</v>
      </c>
      <c r="H737" s="3" t="s">
        <v>2252</v>
      </c>
      <c r="I737" s="3" t="s">
        <v>39</v>
      </c>
      <c r="J737" s="5">
        <v>13256.4145644399</v>
      </c>
      <c r="K737" s="3">
        <v>146</v>
      </c>
      <c r="L737" s="3" t="s">
        <v>22</v>
      </c>
      <c r="M737" s="4">
        <v>44640</v>
      </c>
      <c r="N737" s="3" t="s">
        <v>23</v>
      </c>
      <c r="O737" s="3" t="s">
        <v>24</v>
      </c>
      <c r="P737" s="3" t="str">
        <f>IF(Table1[[#This Row],[Billing Amount]]&lt;5000,"Low",IF(Table1[[#This Row],[Billing Amount]]&lt;=15000,"Medium","High"))</f>
        <v>Medium</v>
      </c>
      <c r="Q737" s="3" t="str">
        <f>IF(Table1[[#This Row],[Discharge Date]]="Yes","Discharged","Under Treatment")</f>
        <v>Under Treatment</v>
      </c>
      <c r="R737" s="3" t="str">
        <f>IF(Table1[[#This Row],[Test Results]]&gt;120,"High Risk","Normal")</f>
        <v>High Risk</v>
      </c>
      <c r="S737" s="3" t="str">
        <f>IF(Table1[[#This Row],[Age]]&lt;=18,"0-18",IF(Table1[[#This Row],[Age]]&lt;=35,"19-35",IF(Table1[[#This Row],[Age]]&lt;=50,"36-50",IF(Table1[[#This Row],[Age]]&lt;=65,"51-65","65+"))))</f>
        <v>36-50</v>
      </c>
    </row>
    <row r="738" spans="1:19" x14ac:dyDescent="0.3">
      <c r="A738" s="3" t="s">
        <v>2253</v>
      </c>
      <c r="B738" s="3">
        <v>49</v>
      </c>
      <c r="C738" s="3" t="s">
        <v>16</v>
      </c>
      <c r="D738" s="3" t="s">
        <v>59</v>
      </c>
      <c r="E738" s="3" t="s">
        <v>93</v>
      </c>
      <c r="F738" s="4">
        <v>43798</v>
      </c>
      <c r="G738" s="3" t="s">
        <v>2254</v>
      </c>
      <c r="H738" s="3" t="s">
        <v>2255</v>
      </c>
      <c r="I738" s="3" t="s">
        <v>21</v>
      </c>
      <c r="J738" s="5">
        <v>19720.035902795898</v>
      </c>
      <c r="K738" s="3">
        <v>114</v>
      </c>
      <c r="L738" s="3" t="s">
        <v>31</v>
      </c>
      <c r="M738" s="4">
        <v>43799</v>
      </c>
      <c r="N738" s="3" t="s">
        <v>79</v>
      </c>
      <c r="O738" s="3" t="s">
        <v>24</v>
      </c>
      <c r="P738" s="3" t="str">
        <f>IF(Table1[[#This Row],[Billing Amount]]&lt;5000,"Low",IF(Table1[[#This Row],[Billing Amount]]&lt;=15000,"Medium","High"))</f>
        <v>High</v>
      </c>
      <c r="Q738" s="3" t="str">
        <f>IF(Table1[[#This Row],[Discharge Date]]="Yes","Discharged","Under Treatment")</f>
        <v>Under Treatment</v>
      </c>
      <c r="R738" s="3" t="str">
        <f>IF(Table1[[#This Row],[Test Results]]&gt;120,"High Risk","Normal")</f>
        <v>High Risk</v>
      </c>
      <c r="S738" s="3" t="str">
        <f>IF(Table1[[#This Row],[Age]]&lt;=18,"0-18",IF(Table1[[#This Row],[Age]]&lt;=35,"19-35",IF(Table1[[#This Row],[Age]]&lt;=50,"36-50",IF(Table1[[#This Row],[Age]]&lt;=65,"51-65","65+"))))</f>
        <v>36-50</v>
      </c>
    </row>
    <row r="739" spans="1:19" x14ac:dyDescent="0.3">
      <c r="A739" s="3" t="s">
        <v>2256</v>
      </c>
      <c r="B739" s="3">
        <v>41</v>
      </c>
      <c r="C739" s="3" t="s">
        <v>16</v>
      </c>
      <c r="D739" s="3" t="s">
        <v>17</v>
      </c>
      <c r="E739" s="3" t="s">
        <v>76</v>
      </c>
      <c r="F739" s="4">
        <v>43663</v>
      </c>
      <c r="G739" s="3" t="s">
        <v>2257</v>
      </c>
      <c r="H739" s="3" t="s">
        <v>2258</v>
      </c>
      <c r="I739" s="3" t="s">
        <v>21</v>
      </c>
      <c r="J739" s="5">
        <v>46421.261252841003</v>
      </c>
      <c r="K739" s="3">
        <v>124</v>
      </c>
      <c r="L739" s="3" t="s">
        <v>31</v>
      </c>
      <c r="M739" s="4">
        <v>43689</v>
      </c>
      <c r="N739" s="3" t="s">
        <v>23</v>
      </c>
      <c r="O739" s="3" t="s">
        <v>47</v>
      </c>
      <c r="P739" s="3" t="str">
        <f>IF(Table1[[#This Row],[Billing Amount]]&lt;5000,"Low",IF(Table1[[#This Row],[Billing Amount]]&lt;=15000,"Medium","High"))</f>
        <v>High</v>
      </c>
      <c r="Q739" s="3" t="str">
        <f>IF(Table1[[#This Row],[Discharge Date]]="Yes","Discharged","Under Treatment")</f>
        <v>Under Treatment</v>
      </c>
      <c r="R739" s="3" t="str">
        <f>IF(Table1[[#This Row],[Test Results]]&gt;120,"High Risk","Normal")</f>
        <v>High Risk</v>
      </c>
      <c r="S739" s="3" t="str">
        <f>IF(Table1[[#This Row],[Age]]&lt;=18,"0-18",IF(Table1[[#This Row],[Age]]&lt;=35,"19-35",IF(Table1[[#This Row],[Age]]&lt;=50,"36-50",IF(Table1[[#This Row],[Age]]&lt;=65,"51-65","65+"))))</f>
        <v>36-50</v>
      </c>
    </row>
    <row r="740" spans="1:19" x14ac:dyDescent="0.3">
      <c r="A740" s="3" t="s">
        <v>2259</v>
      </c>
      <c r="B740" s="3">
        <v>81</v>
      </c>
      <c r="C740" s="3" t="s">
        <v>35</v>
      </c>
      <c r="D740" s="3" t="s">
        <v>122</v>
      </c>
      <c r="E740" s="3" t="s">
        <v>76</v>
      </c>
      <c r="F740" s="4">
        <v>43978</v>
      </c>
      <c r="G740" s="3" t="s">
        <v>2260</v>
      </c>
      <c r="H740" s="3" t="s">
        <v>2261</v>
      </c>
      <c r="I740" s="3" t="s">
        <v>21</v>
      </c>
      <c r="J740" s="5">
        <v>10767.3766698325</v>
      </c>
      <c r="K740" s="3">
        <v>126</v>
      </c>
      <c r="L740" s="3" t="s">
        <v>46</v>
      </c>
      <c r="M740" s="4">
        <v>43994</v>
      </c>
      <c r="N740" s="3" t="s">
        <v>40</v>
      </c>
      <c r="O740" s="3" t="s">
        <v>24</v>
      </c>
      <c r="P740" s="3" t="str">
        <f>IF(Table1[[#This Row],[Billing Amount]]&lt;5000,"Low",IF(Table1[[#This Row],[Billing Amount]]&lt;=15000,"Medium","High"))</f>
        <v>Medium</v>
      </c>
      <c r="Q740" s="3" t="str">
        <f>IF(Table1[[#This Row],[Discharge Date]]="Yes","Discharged","Under Treatment")</f>
        <v>Under Treatment</v>
      </c>
      <c r="R740" s="3" t="str">
        <f>IF(Table1[[#This Row],[Test Results]]&gt;120,"High Risk","Normal")</f>
        <v>High Risk</v>
      </c>
      <c r="S740" s="3" t="str">
        <f>IF(Table1[[#This Row],[Age]]&lt;=18,"0-18",IF(Table1[[#This Row],[Age]]&lt;=35,"19-35",IF(Table1[[#This Row],[Age]]&lt;=50,"36-50",IF(Table1[[#This Row],[Age]]&lt;=65,"51-65","65+"))))</f>
        <v>65+</v>
      </c>
    </row>
    <row r="741" spans="1:19" x14ac:dyDescent="0.3">
      <c r="A741" s="3" t="s">
        <v>2262</v>
      </c>
      <c r="B741" s="3">
        <v>83</v>
      </c>
      <c r="C741" s="3" t="s">
        <v>16</v>
      </c>
      <c r="D741" s="3" t="s">
        <v>49</v>
      </c>
      <c r="E741" s="3" t="s">
        <v>76</v>
      </c>
      <c r="F741" s="4">
        <v>44292</v>
      </c>
      <c r="G741" s="3" t="s">
        <v>2263</v>
      </c>
      <c r="H741" s="3" t="s">
        <v>2264</v>
      </c>
      <c r="I741" s="3" t="s">
        <v>65</v>
      </c>
      <c r="J741" s="5">
        <v>46186.1632482473</v>
      </c>
      <c r="K741" s="3">
        <v>114</v>
      </c>
      <c r="L741" s="3" t="s">
        <v>46</v>
      </c>
      <c r="M741" s="4">
        <v>44322</v>
      </c>
      <c r="N741" s="3" t="s">
        <v>32</v>
      </c>
      <c r="O741" s="3" t="s">
        <v>47</v>
      </c>
      <c r="P741" s="3" t="str">
        <f>IF(Table1[[#This Row],[Billing Amount]]&lt;5000,"Low",IF(Table1[[#This Row],[Billing Amount]]&lt;=15000,"Medium","High"))</f>
        <v>High</v>
      </c>
      <c r="Q741" s="3" t="str">
        <f>IF(Table1[[#This Row],[Discharge Date]]="Yes","Discharged","Under Treatment")</f>
        <v>Under Treatment</v>
      </c>
      <c r="R741" s="3" t="str">
        <f>IF(Table1[[#This Row],[Test Results]]&gt;120,"High Risk","Normal")</f>
        <v>High Risk</v>
      </c>
      <c r="S741" s="3" t="str">
        <f>IF(Table1[[#This Row],[Age]]&lt;=18,"0-18",IF(Table1[[#This Row],[Age]]&lt;=35,"19-35",IF(Table1[[#This Row],[Age]]&lt;=50,"36-50",IF(Table1[[#This Row],[Age]]&lt;=65,"51-65","65+"))))</f>
        <v>65+</v>
      </c>
    </row>
    <row r="742" spans="1:19" x14ac:dyDescent="0.3">
      <c r="A742" s="3" t="s">
        <v>2265</v>
      </c>
      <c r="B742" s="3">
        <v>36</v>
      </c>
      <c r="C742" s="3" t="s">
        <v>35</v>
      </c>
      <c r="D742" s="3" t="s">
        <v>42</v>
      </c>
      <c r="E742" s="3" t="s">
        <v>18</v>
      </c>
      <c r="F742" s="4">
        <v>43604</v>
      </c>
      <c r="G742" s="3" t="s">
        <v>2266</v>
      </c>
      <c r="H742" s="3" t="s">
        <v>2267</v>
      </c>
      <c r="I742" s="3" t="s">
        <v>57</v>
      </c>
      <c r="J742" s="5">
        <v>44148.542882519301</v>
      </c>
      <c r="K742" s="3">
        <v>336</v>
      </c>
      <c r="L742" s="3" t="s">
        <v>31</v>
      </c>
      <c r="M742" s="4">
        <v>43614</v>
      </c>
      <c r="N742" s="3" t="s">
        <v>23</v>
      </c>
      <c r="O742" s="3" t="s">
        <v>47</v>
      </c>
      <c r="P742" s="3" t="str">
        <f>IF(Table1[[#This Row],[Billing Amount]]&lt;5000,"Low",IF(Table1[[#This Row],[Billing Amount]]&lt;=15000,"Medium","High"))</f>
        <v>High</v>
      </c>
      <c r="Q742" s="3" t="str">
        <f>IF(Table1[[#This Row],[Discharge Date]]="Yes","Discharged","Under Treatment")</f>
        <v>Under Treatment</v>
      </c>
      <c r="R742" s="3" t="str">
        <f>IF(Table1[[#This Row],[Test Results]]&gt;120,"High Risk","Normal")</f>
        <v>High Risk</v>
      </c>
      <c r="S742" s="3" t="str">
        <f>IF(Table1[[#This Row],[Age]]&lt;=18,"0-18",IF(Table1[[#This Row],[Age]]&lt;=35,"19-35",IF(Table1[[#This Row],[Age]]&lt;=50,"36-50",IF(Table1[[#This Row],[Age]]&lt;=65,"51-65","65+"))))</f>
        <v>36-50</v>
      </c>
    </row>
    <row r="743" spans="1:19" x14ac:dyDescent="0.3">
      <c r="A743" s="3" t="s">
        <v>2268</v>
      </c>
      <c r="B743" s="3">
        <v>73</v>
      </c>
      <c r="C743" s="3" t="s">
        <v>35</v>
      </c>
      <c r="D743" s="3" t="s">
        <v>26</v>
      </c>
      <c r="E743" s="3" t="s">
        <v>54</v>
      </c>
      <c r="F743" s="4">
        <v>44765</v>
      </c>
      <c r="G743" s="3" t="s">
        <v>2269</v>
      </c>
      <c r="H743" s="3" t="s">
        <v>2270</v>
      </c>
      <c r="I743" s="3" t="s">
        <v>65</v>
      </c>
      <c r="J743" s="5">
        <v>33379.545467379103</v>
      </c>
      <c r="K743" s="3">
        <v>142</v>
      </c>
      <c r="L743" s="3" t="s">
        <v>31</v>
      </c>
      <c r="M743" s="4">
        <v>44789</v>
      </c>
      <c r="N743" s="3" t="s">
        <v>32</v>
      </c>
      <c r="O743" s="3" t="s">
        <v>47</v>
      </c>
      <c r="P743" s="3" t="str">
        <f>IF(Table1[[#This Row],[Billing Amount]]&lt;5000,"Low",IF(Table1[[#This Row],[Billing Amount]]&lt;=15000,"Medium","High"))</f>
        <v>High</v>
      </c>
      <c r="Q743" s="3" t="str">
        <f>IF(Table1[[#This Row],[Discharge Date]]="Yes","Discharged","Under Treatment")</f>
        <v>Under Treatment</v>
      </c>
      <c r="R743" s="3" t="str">
        <f>IF(Table1[[#This Row],[Test Results]]&gt;120,"High Risk","Normal")</f>
        <v>High Risk</v>
      </c>
      <c r="S743" s="3" t="str">
        <f>IF(Table1[[#This Row],[Age]]&lt;=18,"0-18",IF(Table1[[#This Row],[Age]]&lt;=35,"19-35",IF(Table1[[#This Row],[Age]]&lt;=50,"36-50",IF(Table1[[#This Row],[Age]]&lt;=65,"51-65","65+"))))</f>
        <v>65+</v>
      </c>
    </row>
    <row r="744" spans="1:19" x14ac:dyDescent="0.3">
      <c r="A744" s="3" t="s">
        <v>2271</v>
      </c>
      <c r="B744" s="3">
        <v>24</v>
      </c>
      <c r="C744" s="3" t="s">
        <v>16</v>
      </c>
      <c r="D744" s="3" t="s">
        <v>17</v>
      </c>
      <c r="E744" s="3" t="s">
        <v>18</v>
      </c>
      <c r="F744" s="4">
        <v>44954</v>
      </c>
      <c r="G744" s="3" t="s">
        <v>2272</v>
      </c>
      <c r="H744" s="3" t="s">
        <v>2273</v>
      </c>
      <c r="I744" s="3" t="s">
        <v>65</v>
      </c>
      <c r="J744" s="5">
        <v>10243.9720615149</v>
      </c>
      <c r="K744" s="3">
        <v>383</v>
      </c>
      <c r="L744" s="3" t="s">
        <v>31</v>
      </c>
      <c r="M744" s="4">
        <v>44983</v>
      </c>
      <c r="N744" s="3" t="s">
        <v>52</v>
      </c>
      <c r="O744" s="3" t="s">
        <v>33</v>
      </c>
      <c r="P744" s="3" t="str">
        <f>IF(Table1[[#This Row],[Billing Amount]]&lt;5000,"Low",IF(Table1[[#This Row],[Billing Amount]]&lt;=15000,"Medium","High"))</f>
        <v>Medium</v>
      </c>
      <c r="Q744" s="3" t="str">
        <f>IF(Table1[[#This Row],[Discharge Date]]="Yes","Discharged","Under Treatment")</f>
        <v>Under Treatment</v>
      </c>
      <c r="R744" s="3" t="str">
        <f>IF(Table1[[#This Row],[Test Results]]&gt;120,"High Risk","Normal")</f>
        <v>High Risk</v>
      </c>
      <c r="S744" s="3" t="str">
        <f>IF(Table1[[#This Row],[Age]]&lt;=18,"0-18",IF(Table1[[#This Row],[Age]]&lt;=35,"19-35",IF(Table1[[#This Row],[Age]]&lt;=50,"36-50",IF(Table1[[#This Row],[Age]]&lt;=65,"51-65","65+"))))</f>
        <v>19-35</v>
      </c>
    </row>
    <row r="745" spans="1:19" x14ac:dyDescent="0.3">
      <c r="A745" s="3" t="s">
        <v>2274</v>
      </c>
      <c r="B745" s="3">
        <v>32</v>
      </c>
      <c r="C745" s="3" t="s">
        <v>35</v>
      </c>
      <c r="D745" s="3" t="s">
        <v>122</v>
      </c>
      <c r="E745" s="3" t="s">
        <v>27</v>
      </c>
      <c r="F745" s="4">
        <v>45180</v>
      </c>
      <c r="G745" s="3" t="s">
        <v>2275</v>
      </c>
      <c r="H745" s="3" t="s">
        <v>2276</v>
      </c>
      <c r="I745" s="3" t="s">
        <v>21</v>
      </c>
      <c r="J745" s="5">
        <v>8762.5030716924193</v>
      </c>
      <c r="K745" s="3">
        <v>454</v>
      </c>
      <c r="L745" s="3" t="s">
        <v>31</v>
      </c>
      <c r="M745" s="4">
        <v>45210</v>
      </c>
      <c r="N745" s="3" t="s">
        <v>52</v>
      </c>
      <c r="O745" s="3" t="s">
        <v>47</v>
      </c>
      <c r="P745" s="3" t="str">
        <f>IF(Table1[[#This Row],[Billing Amount]]&lt;5000,"Low",IF(Table1[[#This Row],[Billing Amount]]&lt;=15000,"Medium","High"))</f>
        <v>Medium</v>
      </c>
      <c r="Q745" s="3" t="str">
        <f>IF(Table1[[#This Row],[Discharge Date]]="Yes","Discharged","Under Treatment")</f>
        <v>Under Treatment</v>
      </c>
      <c r="R745" s="3" t="str">
        <f>IF(Table1[[#This Row],[Test Results]]&gt;120,"High Risk","Normal")</f>
        <v>High Risk</v>
      </c>
      <c r="S745" s="3" t="str">
        <f>IF(Table1[[#This Row],[Age]]&lt;=18,"0-18",IF(Table1[[#This Row],[Age]]&lt;=35,"19-35",IF(Table1[[#This Row],[Age]]&lt;=50,"36-50",IF(Table1[[#This Row],[Age]]&lt;=65,"51-65","65+"))))</f>
        <v>19-35</v>
      </c>
    </row>
    <row r="746" spans="1:19" x14ac:dyDescent="0.3">
      <c r="A746" s="3" t="s">
        <v>2277</v>
      </c>
      <c r="B746" s="3">
        <v>57</v>
      </c>
      <c r="C746" s="3" t="s">
        <v>35</v>
      </c>
      <c r="D746" s="3" t="s">
        <v>49</v>
      </c>
      <c r="E746" s="3" t="s">
        <v>54</v>
      </c>
      <c r="F746" s="4">
        <v>43901</v>
      </c>
      <c r="G746" s="3" t="s">
        <v>2278</v>
      </c>
      <c r="H746" s="3" t="s">
        <v>2279</v>
      </c>
      <c r="I746" s="3" t="s">
        <v>30</v>
      </c>
      <c r="J746" s="5">
        <v>10363.668930673</v>
      </c>
      <c r="K746" s="3">
        <v>384</v>
      </c>
      <c r="L746" s="3" t="s">
        <v>31</v>
      </c>
      <c r="M746" s="4">
        <v>43908</v>
      </c>
      <c r="N746" s="3" t="s">
        <v>32</v>
      </c>
      <c r="O746" s="3" t="s">
        <v>24</v>
      </c>
      <c r="P746" s="3" t="str">
        <f>IF(Table1[[#This Row],[Billing Amount]]&lt;5000,"Low",IF(Table1[[#This Row],[Billing Amount]]&lt;=15000,"Medium","High"))</f>
        <v>Medium</v>
      </c>
      <c r="Q746" s="3" t="str">
        <f>IF(Table1[[#This Row],[Discharge Date]]="Yes","Discharged","Under Treatment")</f>
        <v>Under Treatment</v>
      </c>
      <c r="R746" s="3" t="str">
        <f>IF(Table1[[#This Row],[Test Results]]&gt;120,"High Risk","Normal")</f>
        <v>High Risk</v>
      </c>
      <c r="S746" s="3" t="str">
        <f>IF(Table1[[#This Row],[Age]]&lt;=18,"0-18",IF(Table1[[#This Row],[Age]]&lt;=35,"19-35",IF(Table1[[#This Row],[Age]]&lt;=50,"36-50",IF(Table1[[#This Row],[Age]]&lt;=65,"51-65","65+"))))</f>
        <v>51-65</v>
      </c>
    </row>
    <row r="747" spans="1:19" x14ac:dyDescent="0.3">
      <c r="A747" s="3" t="s">
        <v>2280</v>
      </c>
      <c r="B747" s="3">
        <v>56</v>
      </c>
      <c r="C747" s="3" t="s">
        <v>16</v>
      </c>
      <c r="D747" s="3" t="s">
        <v>17</v>
      </c>
      <c r="E747" s="3" t="s">
        <v>54</v>
      </c>
      <c r="F747" s="4">
        <v>44262</v>
      </c>
      <c r="G747" s="3" t="s">
        <v>2281</v>
      </c>
      <c r="H747" s="3" t="s">
        <v>2282</v>
      </c>
      <c r="I747" s="3" t="s">
        <v>30</v>
      </c>
      <c r="J747" s="5">
        <v>22827.810903232399</v>
      </c>
      <c r="K747" s="3">
        <v>124</v>
      </c>
      <c r="L747" s="3" t="s">
        <v>22</v>
      </c>
      <c r="M747" s="4">
        <v>44276</v>
      </c>
      <c r="N747" s="3" t="s">
        <v>23</v>
      </c>
      <c r="O747" s="3" t="s">
        <v>47</v>
      </c>
      <c r="P747" s="3" t="str">
        <f>IF(Table1[[#This Row],[Billing Amount]]&lt;5000,"Low",IF(Table1[[#This Row],[Billing Amount]]&lt;=15000,"Medium","High"))</f>
        <v>High</v>
      </c>
      <c r="Q747" s="3" t="str">
        <f>IF(Table1[[#This Row],[Discharge Date]]="Yes","Discharged","Under Treatment")</f>
        <v>Under Treatment</v>
      </c>
      <c r="R747" s="3" t="str">
        <f>IF(Table1[[#This Row],[Test Results]]&gt;120,"High Risk","Normal")</f>
        <v>High Risk</v>
      </c>
      <c r="S747" s="3" t="str">
        <f>IF(Table1[[#This Row],[Age]]&lt;=18,"0-18",IF(Table1[[#This Row],[Age]]&lt;=35,"19-35",IF(Table1[[#This Row],[Age]]&lt;=50,"36-50",IF(Table1[[#This Row],[Age]]&lt;=65,"51-65","65+"))))</f>
        <v>51-65</v>
      </c>
    </row>
    <row r="748" spans="1:19" x14ac:dyDescent="0.3">
      <c r="A748" s="3" t="s">
        <v>2283</v>
      </c>
      <c r="B748" s="3">
        <v>84</v>
      </c>
      <c r="C748" s="3" t="s">
        <v>35</v>
      </c>
      <c r="D748" s="3" t="s">
        <v>42</v>
      </c>
      <c r="E748" s="3" t="s">
        <v>54</v>
      </c>
      <c r="F748" s="4">
        <v>45385</v>
      </c>
      <c r="G748" s="3" t="s">
        <v>2284</v>
      </c>
      <c r="H748" s="3" t="s">
        <v>2285</v>
      </c>
      <c r="I748" s="3" t="s">
        <v>57</v>
      </c>
      <c r="J748" s="5">
        <v>22913.348727039</v>
      </c>
      <c r="K748" s="3">
        <v>238</v>
      </c>
      <c r="L748" s="3" t="s">
        <v>22</v>
      </c>
      <c r="M748" s="4">
        <v>45392</v>
      </c>
      <c r="N748" s="3" t="s">
        <v>32</v>
      </c>
      <c r="O748" s="3" t="s">
        <v>33</v>
      </c>
      <c r="P748" s="3" t="str">
        <f>IF(Table1[[#This Row],[Billing Amount]]&lt;5000,"Low",IF(Table1[[#This Row],[Billing Amount]]&lt;=15000,"Medium","High"))</f>
        <v>High</v>
      </c>
      <c r="Q748" s="3" t="str">
        <f>IF(Table1[[#This Row],[Discharge Date]]="Yes","Discharged","Under Treatment")</f>
        <v>Under Treatment</v>
      </c>
      <c r="R748" s="3" t="str">
        <f>IF(Table1[[#This Row],[Test Results]]&gt;120,"High Risk","Normal")</f>
        <v>High Risk</v>
      </c>
      <c r="S748" s="3" t="str">
        <f>IF(Table1[[#This Row],[Age]]&lt;=18,"0-18",IF(Table1[[#This Row],[Age]]&lt;=35,"19-35",IF(Table1[[#This Row],[Age]]&lt;=50,"36-50",IF(Table1[[#This Row],[Age]]&lt;=65,"51-65","65+"))))</f>
        <v>65+</v>
      </c>
    </row>
    <row r="749" spans="1:19" x14ac:dyDescent="0.3">
      <c r="A749" s="3" t="s">
        <v>2286</v>
      </c>
      <c r="B749" s="3">
        <v>46</v>
      </c>
      <c r="C749" s="3" t="s">
        <v>16</v>
      </c>
      <c r="D749" s="3" t="s">
        <v>17</v>
      </c>
      <c r="E749" s="3" t="s">
        <v>18</v>
      </c>
      <c r="F749" s="4">
        <v>44920</v>
      </c>
      <c r="G749" s="3" t="s">
        <v>2287</v>
      </c>
      <c r="H749" s="3" t="s">
        <v>2288</v>
      </c>
      <c r="I749" s="3" t="s">
        <v>39</v>
      </c>
      <c r="J749" s="5">
        <v>33800.9084900491</v>
      </c>
      <c r="K749" s="3">
        <v>437</v>
      </c>
      <c r="L749" s="3" t="s">
        <v>22</v>
      </c>
      <c r="M749" s="4">
        <v>44936</v>
      </c>
      <c r="N749" s="3" t="s">
        <v>52</v>
      </c>
      <c r="O749" s="3" t="s">
        <v>47</v>
      </c>
      <c r="P749" s="3" t="str">
        <f>IF(Table1[[#This Row],[Billing Amount]]&lt;5000,"Low",IF(Table1[[#This Row],[Billing Amount]]&lt;=15000,"Medium","High"))</f>
        <v>High</v>
      </c>
      <c r="Q749" s="3" t="str">
        <f>IF(Table1[[#This Row],[Discharge Date]]="Yes","Discharged","Under Treatment")</f>
        <v>Under Treatment</v>
      </c>
      <c r="R749" s="3" t="str">
        <f>IF(Table1[[#This Row],[Test Results]]&gt;120,"High Risk","Normal")</f>
        <v>High Risk</v>
      </c>
      <c r="S749" s="3" t="str">
        <f>IF(Table1[[#This Row],[Age]]&lt;=18,"0-18",IF(Table1[[#This Row],[Age]]&lt;=35,"19-35",IF(Table1[[#This Row],[Age]]&lt;=50,"36-50",IF(Table1[[#This Row],[Age]]&lt;=65,"51-65","65+"))))</f>
        <v>36-50</v>
      </c>
    </row>
    <row r="750" spans="1:19" x14ac:dyDescent="0.3">
      <c r="A750" s="3" t="s">
        <v>2289</v>
      </c>
      <c r="B750" s="3">
        <v>55</v>
      </c>
      <c r="C750" s="3" t="s">
        <v>16</v>
      </c>
      <c r="D750" s="3" t="s">
        <v>49</v>
      </c>
      <c r="E750" s="3" t="s">
        <v>27</v>
      </c>
      <c r="F750" s="4">
        <v>43922</v>
      </c>
      <c r="G750" s="3" t="s">
        <v>2290</v>
      </c>
      <c r="H750" s="3" t="s">
        <v>2291</v>
      </c>
      <c r="I750" s="3" t="s">
        <v>39</v>
      </c>
      <c r="J750" s="5">
        <v>23713.923814164998</v>
      </c>
      <c r="K750" s="3">
        <v>187</v>
      </c>
      <c r="L750" s="3" t="s">
        <v>22</v>
      </c>
      <c r="M750" s="4">
        <v>43947</v>
      </c>
      <c r="N750" s="3" t="s">
        <v>32</v>
      </c>
      <c r="O750" s="3" t="s">
        <v>33</v>
      </c>
      <c r="P750" s="3" t="str">
        <f>IF(Table1[[#This Row],[Billing Amount]]&lt;5000,"Low",IF(Table1[[#This Row],[Billing Amount]]&lt;=15000,"Medium","High"))</f>
        <v>High</v>
      </c>
      <c r="Q750" s="3" t="str">
        <f>IF(Table1[[#This Row],[Discharge Date]]="Yes","Discharged","Under Treatment")</f>
        <v>Under Treatment</v>
      </c>
      <c r="R750" s="3" t="str">
        <f>IF(Table1[[#This Row],[Test Results]]&gt;120,"High Risk","Normal")</f>
        <v>High Risk</v>
      </c>
      <c r="S750" s="3" t="str">
        <f>IF(Table1[[#This Row],[Age]]&lt;=18,"0-18",IF(Table1[[#This Row],[Age]]&lt;=35,"19-35",IF(Table1[[#This Row],[Age]]&lt;=50,"36-50",IF(Table1[[#This Row],[Age]]&lt;=65,"51-65","65+"))))</f>
        <v>51-65</v>
      </c>
    </row>
    <row r="751" spans="1:19" x14ac:dyDescent="0.3">
      <c r="A751" s="3" t="s">
        <v>2293</v>
      </c>
      <c r="B751" s="3">
        <v>69</v>
      </c>
      <c r="C751" s="3" t="s">
        <v>35</v>
      </c>
      <c r="D751" s="3" t="s">
        <v>17</v>
      </c>
      <c r="E751" s="3" t="s">
        <v>18</v>
      </c>
      <c r="F751" s="4">
        <v>45219</v>
      </c>
      <c r="G751" s="3" t="s">
        <v>2294</v>
      </c>
      <c r="H751" s="3" t="s">
        <v>2295</v>
      </c>
      <c r="I751" s="3" t="s">
        <v>30</v>
      </c>
      <c r="J751" s="5">
        <v>43825.0566704835</v>
      </c>
      <c r="K751" s="3">
        <v>329</v>
      </c>
      <c r="L751" s="3" t="s">
        <v>46</v>
      </c>
      <c r="M751" s="4">
        <v>45227</v>
      </c>
      <c r="N751" s="3" t="s">
        <v>23</v>
      </c>
      <c r="O751" s="3" t="s">
        <v>24</v>
      </c>
      <c r="P751" s="3" t="str">
        <f>IF(Table1[[#This Row],[Billing Amount]]&lt;5000,"Low",IF(Table1[[#This Row],[Billing Amount]]&lt;=15000,"Medium","High"))</f>
        <v>High</v>
      </c>
      <c r="Q751" s="3" t="str">
        <f>IF(Table1[[#This Row],[Discharge Date]]="Yes","Discharged","Under Treatment")</f>
        <v>Under Treatment</v>
      </c>
      <c r="R751" s="3" t="str">
        <f>IF(Table1[[#This Row],[Test Results]]&gt;120,"High Risk","Normal")</f>
        <v>High Risk</v>
      </c>
      <c r="S751" s="3" t="str">
        <f>IF(Table1[[#This Row],[Age]]&lt;=18,"0-18",IF(Table1[[#This Row],[Age]]&lt;=35,"19-35",IF(Table1[[#This Row],[Age]]&lt;=50,"36-50",IF(Table1[[#This Row],[Age]]&lt;=65,"51-65","65+"))))</f>
        <v>65+</v>
      </c>
    </row>
    <row r="752" spans="1:19" x14ac:dyDescent="0.3">
      <c r="A752" s="3" t="s">
        <v>2296</v>
      </c>
      <c r="B752" s="3">
        <v>56</v>
      </c>
      <c r="C752" s="3" t="s">
        <v>16</v>
      </c>
      <c r="D752" s="3" t="s">
        <v>36</v>
      </c>
      <c r="E752" s="3" t="s">
        <v>76</v>
      </c>
      <c r="F752" s="4">
        <v>44027</v>
      </c>
      <c r="G752" s="3" t="s">
        <v>2297</v>
      </c>
      <c r="H752" s="3" t="s">
        <v>2298</v>
      </c>
      <c r="I752" s="3" t="s">
        <v>30</v>
      </c>
      <c r="J752" s="5">
        <v>16509.8932281747</v>
      </c>
      <c r="K752" s="3">
        <v>472</v>
      </c>
      <c r="L752" s="3" t="s">
        <v>31</v>
      </c>
      <c r="M752" s="4">
        <v>44054</v>
      </c>
      <c r="N752" s="3" t="s">
        <v>79</v>
      </c>
      <c r="O752" s="3" t="s">
        <v>33</v>
      </c>
      <c r="P752" s="3" t="str">
        <f>IF(Table1[[#This Row],[Billing Amount]]&lt;5000,"Low",IF(Table1[[#This Row],[Billing Amount]]&lt;=15000,"Medium","High"))</f>
        <v>High</v>
      </c>
      <c r="Q752" s="3" t="str">
        <f>IF(Table1[[#This Row],[Discharge Date]]="Yes","Discharged","Under Treatment")</f>
        <v>Under Treatment</v>
      </c>
      <c r="R752" s="3" t="str">
        <f>IF(Table1[[#This Row],[Test Results]]&gt;120,"High Risk","Normal")</f>
        <v>High Risk</v>
      </c>
      <c r="S752" s="3" t="str">
        <f>IF(Table1[[#This Row],[Age]]&lt;=18,"0-18",IF(Table1[[#This Row],[Age]]&lt;=35,"19-35",IF(Table1[[#This Row],[Age]]&lt;=50,"36-50",IF(Table1[[#This Row],[Age]]&lt;=65,"51-65","65+"))))</f>
        <v>51-65</v>
      </c>
    </row>
    <row r="753" spans="1:19" x14ac:dyDescent="0.3">
      <c r="A753" s="3" t="s">
        <v>2299</v>
      </c>
      <c r="B753" s="3">
        <v>36</v>
      </c>
      <c r="C753" s="3" t="s">
        <v>35</v>
      </c>
      <c r="D753" s="3" t="s">
        <v>36</v>
      </c>
      <c r="E753" s="3" t="s">
        <v>93</v>
      </c>
      <c r="F753" s="4">
        <v>44940</v>
      </c>
      <c r="G753" s="3" t="s">
        <v>2300</v>
      </c>
      <c r="H753" s="3" t="s">
        <v>2301</v>
      </c>
      <c r="I753" s="3" t="s">
        <v>30</v>
      </c>
      <c r="J753" s="5">
        <v>46268.729036760597</v>
      </c>
      <c r="K753" s="3">
        <v>425</v>
      </c>
      <c r="L753" s="3" t="s">
        <v>46</v>
      </c>
      <c r="M753" s="4">
        <v>44965</v>
      </c>
      <c r="N753" s="3" t="s">
        <v>40</v>
      </c>
      <c r="O753" s="3" t="s">
        <v>24</v>
      </c>
      <c r="P753" s="3" t="str">
        <f>IF(Table1[[#This Row],[Billing Amount]]&lt;5000,"Low",IF(Table1[[#This Row],[Billing Amount]]&lt;=15000,"Medium","High"))</f>
        <v>High</v>
      </c>
      <c r="Q753" s="3" t="str">
        <f>IF(Table1[[#This Row],[Discharge Date]]="Yes","Discharged","Under Treatment")</f>
        <v>Under Treatment</v>
      </c>
      <c r="R753" s="3" t="str">
        <f>IF(Table1[[#This Row],[Test Results]]&gt;120,"High Risk","Normal")</f>
        <v>High Risk</v>
      </c>
      <c r="S753" s="3" t="str">
        <f>IF(Table1[[#This Row],[Age]]&lt;=18,"0-18",IF(Table1[[#This Row],[Age]]&lt;=35,"19-35",IF(Table1[[#This Row],[Age]]&lt;=50,"36-50",IF(Table1[[#This Row],[Age]]&lt;=65,"51-65","65+"))))</f>
        <v>36-50</v>
      </c>
    </row>
    <row r="754" spans="1:19" x14ac:dyDescent="0.3">
      <c r="A754" s="3" t="s">
        <v>2302</v>
      </c>
      <c r="B754" s="3">
        <v>61</v>
      </c>
      <c r="C754" s="3" t="s">
        <v>35</v>
      </c>
      <c r="D754" s="3" t="s">
        <v>17</v>
      </c>
      <c r="E754" s="3" t="s">
        <v>93</v>
      </c>
      <c r="F754" s="4">
        <v>43967</v>
      </c>
      <c r="G754" s="3" t="s">
        <v>2303</v>
      </c>
      <c r="H754" s="3" t="s">
        <v>2304</v>
      </c>
      <c r="I754" s="3" t="s">
        <v>57</v>
      </c>
      <c r="J754" s="5">
        <v>21429.673912096801</v>
      </c>
      <c r="K754" s="3">
        <v>493</v>
      </c>
      <c r="L754" s="3" t="s">
        <v>46</v>
      </c>
      <c r="M754" s="4">
        <v>43997</v>
      </c>
      <c r="N754" s="3" t="s">
        <v>32</v>
      </c>
      <c r="O754" s="3" t="s">
        <v>47</v>
      </c>
      <c r="P754" s="3" t="str">
        <f>IF(Table1[[#This Row],[Billing Amount]]&lt;5000,"Low",IF(Table1[[#This Row],[Billing Amount]]&lt;=15000,"Medium","High"))</f>
        <v>High</v>
      </c>
      <c r="Q754" s="3" t="str">
        <f>IF(Table1[[#This Row],[Discharge Date]]="Yes","Discharged","Under Treatment")</f>
        <v>Under Treatment</v>
      </c>
      <c r="R754" s="3" t="str">
        <f>IF(Table1[[#This Row],[Test Results]]&gt;120,"High Risk","Normal")</f>
        <v>High Risk</v>
      </c>
      <c r="S754" s="3" t="str">
        <f>IF(Table1[[#This Row],[Age]]&lt;=18,"0-18",IF(Table1[[#This Row],[Age]]&lt;=35,"19-35",IF(Table1[[#This Row],[Age]]&lt;=50,"36-50",IF(Table1[[#This Row],[Age]]&lt;=65,"51-65","65+"))))</f>
        <v>51-65</v>
      </c>
    </row>
    <row r="755" spans="1:19" x14ac:dyDescent="0.3">
      <c r="A755" s="3" t="s">
        <v>2305</v>
      </c>
      <c r="B755" s="3">
        <v>61</v>
      </c>
      <c r="C755" s="3" t="s">
        <v>16</v>
      </c>
      <c r="D755" s="3" t="s">
        <v>49</v>
      </c>
      <c r="E755" s="3" t="s">
        <v>18</v>
      </c>
      <c r="F755" s="4">
        <v>44266</v>
      </c>
      <c r="G755" s="3" t="s">
        <v>2306</v>
      </c>
      <c r="H755" s="3" t="s">
        <v>2307</v>
      </c>
      <c r="I755" s="3" t="s">
        <v>65</v>
      </c>
      <c r="J755" s="5">
        <v>24057.470930987602</v>
      </c>
      <c r="K755" s="3">
        <v>304</v>
      </c>
      <c r="L755" s="3" t="s">
        <v>31</v>
      </c>
      <c r="M755" s="4">
        <v>44288</v>
      </c>
      <c r="N755" s="3" t="s">
        <v>23</v>
      </c>
      <c r="O755" s="3" t="s">
        <v>24</v>
      </c>
      <c r="P755" s="3" t="str">
        <f>IF(Table1[[#This Row],[Billing Amount]]&lt;5000,"Low",IF(Table1[[#This Row],[Billing Amount]]&lt;=15000,"Medium","High"))</f>
        <v>High</v>
      </c>
      <c r="Q755" s="3" t="str">
        <f>IF(Table1[[#This Row],[Discharge Date]]="Yes","Discharged","Under Treatment")</f>
        <v>Under Treatment</v>
      </c>
      <c r="R755" s="3" t="str">
        <f>IF(Table1[[#This Row],[Test Results]]&gt;120,"High Risk","Normal")</f>
        <v>High Risk</v>
      </c>
      <c r="S755" s="3" t="str">
        <f>IF(Table1[[#This Row],[Age]]&lt;=18,"0-18",IF(Table1[[#This Row],[Age]]&lt;=35,"19-35",IF(Table1[[#This Row],[Age]]&lt;=50,"36-50",IF(Table1[[#This Row],[Age]]&lt;=65,"51-65","65+"))))</f>
        <v>51-65</v>
      </c>
    </row>
    <row r="756" spans="1:19" x14ac:dyDescent="0.3">
      <c r="A756" s="3" t="s">
        <v>2308</v>
      </c>
      <c r="B756" s="3">
        <v>47</v>
      </c>
      <c r="C756" s="3" t="s">
        <v>16</v>
      </c>
      <c r="D756" s="3" t="s">
        <v>17</v>
      </c>
      <c r="E756" s="3" t="s">
        <v>93</v>
      </c>
      <c r="F756" s="4">
        <v>44962</v>
      </c>
      <c r="G756" s="3" t="s">
        <v>2309</v>
      </c>
      <c r="H756" s="3" t="s">
        <v>2310</v>
      </c>
      <c r="I756" s="3" t="s">
        <v>21</v>
      </c>
      <c r="J756" s="5">
        <v>22775.470938545299</v>
      </c>
      <c r="K756" s="3">
        <v>462</v>
      </c>
      <c r="L756" s="3" t="s">
        <v>46</v>
      </c>
      <c r="M756" s="4">
        <v>44969</v>
      </c>
      <c r="N756" s="3" t="s">
        <v>52</v>
      </c>
      <c r="O756" s="3" t="s">
        <v>47</v>
      </c>
      <c r="P756" s="3" t="str">
        <f>IF(Table1[[#This Row],[Billing Amount]]&lt;5000,"Low",IF(Table1[[#This Row],[Billing Amount]]&lt;=15000,"Medium","High"))</f>
        <v>High</v>
      </c>
      <c r="Q756" s="3" t="str">
        <f>IF(Table1[[#This Row],[Discharge Date]]="Yes","Discharged","Under Treatment")</f>
        <v>Under Treatment</v>
      </c>
      <c r="R756" s="3" t="str">
        <f>IF(Table1[[#This Row],[Test Results]]&gt;120,"High Risk","Normal")</f>
        <v>High Risk</v>
      </c>
      <c r="S756" s="3" t="str">
        <f>IF(Table1[[#This Row],[Age]]&lt;=18,"0-18",IF(Table1[[#This Row],[Age]]&lt;=35,"19-35",IF(Table1[[#This Row],[Age]]&lt;=50,"36-50",IF(Table1[[#This Row],[Age]]&lt;=65,"51-65","65+"))))</f>
        <v>36-50</v>
      </c>
    </row>
    <row r="757" spans="1:19" x14ac:dyDescent="0.3">
      <c r="A757" s="3" t="s">
        <v>2311</v>
      </c>
      <c r="B757" s="3">
        <v>49</v>
      </c>
      <c r="C757" s="3" t="s">
        <v>35</v>
      </c>
      <c r="D757" s="3" t="s">
        <v>26</v>
      </c>
      <c r="E757" s="3" t="s">
        <v>27</v>
      </c>
      <c r="F757" s="4">
        <v>44488</v>
      </c>
      <c r="G757" s="3" t="s">
        <v>2312</v>
      </c>
      <c r="H757" s="3" t="s">
        <v>2313</v>
      </c>
      <c r="I757" s="3" t="s">
        <v>65</v>
      </c>
      <c r="J757" s="5">
        <v>30953.782256784802</v>
      </c>
      <c r="K757" s="3">
        <v>186</v>
      </c>
      <c r="L757" s="3" t="s">
        <v>22</v>
      </c>
      <c r="M757" s="4">
        <v>44512</v>
      </c>
      <c r="N757" s="3" t="s">
        <v>52</v>
      </c>
      <c r="O757" s="3" t="s">
        <v>24</v>
      </c>
      <c r="P757" s="3" t="str">
        <f>IF(Table1[[#This Row],[Billing Amount]]&lt;5000,"Low",IF(Table1[[#This Row],[Billing Amount]]&lt;=15000,"Medium","High"))</f>
        <v>High</v>
      </c>
      <c r="Q757" s="3" t="str">
        <f>IF(Table1[[#This Row],[Discharge Date]]="Yes","Discharged","Under Treatment")</f>
        <v>Under Treatment</v>
      </c>
      <c r="R757" s="3" t="str">
        <f>IF(Table1[[#This Row],[Test Results]]&gt;120,"High Risk","Normal")</f>
        <v>High Risk</v>
      </c>
      <c r="S757" s="3" t="str">
        <f>IF(Table1[[#This Row],[Age]]&lt;=18,"0-18",IF(Table1[[#This Row],[Age]]&lt;=35,"19-35",IF(Table1[[#This Row],[Age]]&lt;=50,"36-50",IF(Table1[[#This Row],[Age]]&lt;=65,"51-65","65+"))))</f>
        <v>36-50</v>
      </c>
    </row>
    <row r="758" spans="1:19" x14ac:dyDescent="0.3">
      <c r="A758" s="3" t="s">
        <v>2314</v>
      </c>
      <c r="B758" s="3">
        <v>69</v>
      </c>
      <c r="C758" s="3" t="s">
        <v>16</v>
      </c>
      <c r="D758" s="3" t="s">
        <v>59</v>
      </c>
      <c r="E758" s="3" t="s">
        <v>54</v>
      </c>
      <c r="F758" s="4">
        <v>43895</v>
      </c>
      <c r="G758" s="3" t="s">
        <v>2315</v>
      </c>
      <c r="H758" s="3" t="s">
        <v>2316</v>
      </c>
      <c r="I758" s="3" t="s">
        <v>30</v>
      </c>
      <c r="J758" s="5">
        <v>6035.4580685431702</v>
      </c>
      <c r="K758" s="3">
        <v>282</v>
      </c>
      <c r="L758" s="3" t="s">
        <v>22</v>
      </c>
      <c r="M758" s="4">
        <v>43896</v>
      </c>
      <c r="N758" s="3" t="s">
        <v>79</v>
      </c>
      <c r="O758" s="3" t="s">
        <v>24</v>
      </c>
      <c r="P758" s="3" t="str">
        <f>IF(Table1[[#This Row],[Billing Amount]]&lt;5000,"Low",IF(Table1[[#This Row],[Billing Amount]]&lt;=15000,"Medium","High"))</f>
        <v>Medium</v>
      </c>
      <c r="Q758" s="3" t="str">
        <f>IF(Table1[[#This Row],[Discharge Date]]="Yes","Discharged","Under Treatment")</f>
        <v>Under Treatment</v>
      </c>
      <c r="R758" s="3" t="str">
        <f>IF(Table1[[#This Row],[Test Results]]&gt;120,"High Risk","Normal")</f>
        <v>High Risk</v>
      </c>
      <c r="S758" s="3" t="str">
        <f>IF(Table1[[#This Row],[Age]]&lt;=18,"0-18",IF(Table1[[#This Row],[Age]]&lt;=35,"19-35",IF(Table1[[#This Row],[Age]]&lt;=50,"36-50",IF(Table1[[#This Row],[Age]]&lt;=65,"51-65","65+"))))</f>
        <v>65+</v>
      </c>
    </row>
    <row r="759" spans="1:19" x14ac:dyDescent="0.3">
      <c r="A759" s="3" t="s">
        <v>2317</v>
      </c>
      <c r="B759" s="3">
        <v>26</v>
      </c>
      <c r="C759" s="3" t="s">
        <v>16</v>
      </c>
      <c r="D759" s="3" t="s">
        <v>59</v>
      </c>
      <c r="E759" s="3" t="s">
        <v>54</v>
      </c>
      <c r="F759" s="4">
        <v>44820</v>
      </c>
      <c r="G759" s="3" t="s">
        <v>2318</v>
      </c>
      <c r="H759" s="3" t="s">
        <v>2319</v>
      </c>
      <c r="I759" s="3" t="s">
        <v>21</v>
      </c>
      <c r="J759" s="5">
        <v>5778.2458194924402</v>
      </c>
      <c r="K759" s="3">
        <v>408</v>
      </c>
      <c r="L759" s="3" t="s">
        <v>46</v>
      </c>
      <c r="M759" s="4">
        <v>44850</v>
      </c>
      <c r="N759" s="3" t="s">
        <v>40</v>
      </c>
      <c r="O759" s="3" t="s">
        <v>24</v>
      </c>
      <c r="P759" s="3" t="str">
        <f>IF(Table1[[#This Row],[Billing Amount]]&lt;5000,"Low",IF(Table1[[#This Row],[Billing Amount]]&lt;=15000,"Medium","High"))</f>
        <v>Medium</v>
      </c>
      <c r="Q759" s="3" t="str">
        <f>IF(Table1[[#This Row],[Discharge Date]]="Yes","Discharged","Under Treatment")</f>
        <v>Under Treatment</v>
      </c>
      <c r="R759" s="3" t="str">
        <f>IF(Table1[[#This Row],[Test Results]]&gt;120,"High Risk","Normal")</f>
        <v>High Risk</v>
      </c>
      <c r="S759" s="3" t="str">
        <f>IF(Table1[[#This Row],[Age]]&lt;=18,"0-18",IF(Table1[[#This Row],[Age]]&lt;=35,"19-35",IF(Table1[[#This Row],[Age]]&lt;=50,"36-50",IF(Table1[[#This Row],[Age]]&lt;=65,"51-65","65+"))))</f>
        <v>19-35</v>
      </c>
    </row>
    <row r="760" spans="1:19" x14ac:dyDescent="0.3">
      <c r="A760" s="3" t="s">
        <v>2320</v>
      </c>
      <c r="B760" s="3">
        <v>27</v>
      </c>
      <c r="C760" s="3" t="s">
        <v>16</v>
      </c>
      <c r="D760" s="3" t="s">
        <v>59</v>
      </c>
      <c r="E760" s="3" t="s">
        <v>43</v>
      </c>
      <c r="F760" s="4">
        <v>44195</v>
      </c>
      <c r="G760" s="3" t="s">
        <v>2321</v>
      </c>
      <c r="H760" s="3" t="s">
        <v>2322</v>
      </c>
      <c r="I760" s="3" t="s">
        <v>30</v>
      </c>
      <c r="J760" s="5">
        <v>47789.825967887002</v>
      </c>
      <c r="K760" s="3">
        <v>493</v>
      </c>
      <c r="L760" s="3" t="s">
        <v>31</v>
      </c>
      <c r="M760" s="4">
        <v>44222</v>
      </c>
      <c r="N760" s="3" t="s">
        <v>23</v>
      </c>
      <c r="O760" s="3" t="s">
        <v>47</v>
      </c>
      <c r="P760" s="3" t="str">
        <f>IF(Table1[[#This Row],[Billing Amount]]&lt;5000,"Low",IF(Table1[[#This Row],[Billing Amount]]&lt;=15000,"Medium","High"))</f>
        <v>High</v>
      </c>
      <c r="Q760" s="3" t="str">
        <f>IF(Table1[[#This Row],[Discharge Date]]="Yes","Discharged","Under Treatment")</f>
        <v>Under Treatment</v>
      </c>
      <c r="R760" s="3" t="str">
        <f>IF(Table1[[#This Row],[Test Results]]&gt;120,"High Risk","Normal")</f>
        <v>High Risk</v>
      </c>
      <c r="S760" s="3" t="str">
        <f>IF(Table1[[#This Row],[Age]]&lt;=18,"0-18",IF(Table1[[#This Row],[Age]]&lt;=35,"19-35",IF(Table1[[#This Row],[Age]]&lt;=50,"36-50",IF(Table1[[#This Row],[Age]]&lt;=65,"51-65","65+"))))</f>
        <v>19-35</v>
      </c>
    </row>
    <row r="761" spans="1:19" x14ac:dyDescent="0.3">
      <c r="A761" s="3" t="s">
        <v>2323</v>
      </c>
      <c r="B761" s="3">
        <v>60</v>
      </c>
      <c r="C761" s="3" t="s">
        <v>35</v>
      </c>
      <c r="D761" s="3" t="s">
        <v>17</v>
      </c>
      <c r="E761" s="3" t="s">
        <v>27</v>
      </c>
      <c r="F761" s="4">
        <v>44052</v>
      </c>
      <c r="G761" s="3" t="s">
        <v>2324</v>
      </c>
      <c r="H761" s="3" t="s">
        <v>2325</v>
      </c>
      <c r="I761" s="3" t="s">
        <v>39</v>
      </c>
      <c r="J761" s="5">
        <v>46608.392888681803</v>
      </c>
      <c r="K761" s="3">
        <v>142</v>
      </c>
      <c r="L761" s="3" t="s">
        <v>31</v>
      </c>
      <c r="M761" s="4">
        <v>44058</v>
      </c>
      <c r="N761" s="3" t="s">
        <v>52</v>
      </c>
      <c r="O761" s="3" t="s">
        <v>47</v>
      </c>
      <c r="P761" s="3" t="str">
        <f>IF(Table1[[#This Row],[Billing Amount]]&lt;5000,"Low",IF(Table1[[#This Row],[Billing Amount]]&lt;=15000,"Medium","High"))</f>
        <v>High</v>
      </c>
      <c r="Q761" s="3" t="str">
        <f>IF(Table1[[#This Row],[Discharge Date]]="Yes","Discharged","Under Treatment")</f>
        <v>Under Treatment</v>
      </c>
      <c r="R761" s="3" t="str">
        <f>IF(Table1[[#This Row],[Test Results]]&gt;120,"High Risk","Normal")</f>
        <v>High Risk</v>
      </c>
      <c r="S761" s="3" t="str">
        <f>IF(Table1[[#This Row],[Age]]&lt;=18,"0-18",IF(Table1[[#This Row],[Age]]&lt;=35,"19-35",IF(Table1[[#This Row],[Age]]&lt;=50,"36-50",IF(Table1[[#This Row],[Age]]&lt;=65,"51-65","65+"))))</f>
        <v>51-65</v>
      </c>
    </row>
    <row r="762" spans="1:19" x14ac:dyDescent="0.3">
      <c r="A762" s="3" t="s">
        <v>2326</v>
      </c>
      <c r="B762" s="3">
        <v>41</v>
      </c>
      <c r="C762" s="3" t="s">
        <v>35</v>
      </c>
      <c r="D762" s="3" t="s">
        <v>42</v>
      </c>
      <c r="E762" s="3" t="s">
        <v>18</v>
      </c>
      <c r="F762" s="4">
        <v>44270</v>
      </c>
      <c r="G762" s="3" t="s">
        <v>2327</v>
      </c>
      <c r="H762" s="3" t="s">
        <v>2328</v>
      </c>
      <c r="I762" s="3" t="s">
        <v>57</v>
      </c>
      <c r="J762" s="5">
        <v>18270.995269376301</v>
      </c>
      <c r="K762" s="3">
        <v>178</v>
      </c>
      <c r="L762" s="3" t="s">
        <v>22</v>
      </c>
      <c r="M762" s="4">
        <v>44281</v>
      </c>
      <c r="N762" s="3" t="s">
        <v>32</v>
      </c>
      <c r="O762" s="3" t="s">
        <v>47</v>
      </c>
      <c r="P762" s="3" t="str">
        <f>IF(Table1[[#This Row],[Billing Amount]]&lt;5000,"Low",IF(Table1[[#This Row],[Billing Amount]]&lt;=15000,"Medium","High"))</f>
        <v>High</v>
      </c>
      <c r="Q762" s="3" t="str">
        <f>IF(Table1[[#This Row],[Discharge Date]]="Yes","Discharged","Under Treatment")</f>
        <v>Under Treatment</v>
      </c>
      <c r="R762" s="3" t="str">
        <f>IF(Table1[[#This Row],[Test Results]]&gt;120,"High Risk","Normal")</f>
        <v>High Risk</v>
      </c>
      <c r="S762" s="3" t="str">
        <f>IF(Table1[[#This Row],[Age]]&lt;=18,"0-18",IF(Table1[[#This Row],[Age]]&lt;=35,"19-35",IF(Table1[[#This Row],[Age]]&lt;=50,"36-50",IF(Table1[[#This Row],[Age]]&lt;=65,"51-65","65+"))))</f>
        <v>36-50</v>
      </c>
    </row>
    <row r="763" spans="1:19" x14ac:dyDescent="0.3">
      <c r="A763" s="3" t="s">
        <v>2329</v>
      </c>
      <c r="B763" s="3">
        <v>45</v>
      </c>
      <c r="C763" s="3" t="s">
        <v>16</v>
      </c>
      <c r="D763" s="3" t="s">
        <v>17</v>
      </c>
      <c r="E763" s="3" t="s">
        <v>76</v>
      </c>
      <c r="F763" s="4">
        <v>44431</v>
      </c>
      <c r="G763" s="3" t="s">
        <v>2330</v>
      </c>
      <c r="H763" s="3" t="s">
        <v>2331</v>
      </c>
      <c r="I763" s="3" t="s">
        <v>30</v>
      </c>
      <c r="J763" s="5">
        <v>17679.026678159498</v>
      </c>
      <c r="K763" s="3">
        <v>132</v>
      </c>
      <c r="L763" s="3" t="s">
        <v>22</v>
      </c>
      <c r="M763" s="4">
        <v>44432</v>
      </c>
      <c r="N763" s="3" t="s">
        <v>52</v>
      </c>
      <c r="O763" s="3" t="s">
        <v>24</v>
      </c>
      <c r="P763" s="3" t="str">
        <f>IF(Table1[[#This Row],[Billing Amount]]&lt;5000,"Low",IF(Table1[[#This Row],[Billing Amount]]&lt;=15000,"Medium","High"))</f>
        <v>High</v>
      </c>
      <c r="Q763" s="3" t="str">
        <f>IF(Table1[[#This Row],[Discharge Date]]="Yes","Discharged","Under Treatment")</f>
        <v>Under Treatment</v>
      </c>
      <c r="R763" s="3" t="str">
        <f>IF(Table1[[#This Row],[Test Results]]&gt;120,"High Risk","Normal")</f>
        <v>High Risk</v>
      </c>
      <c r="S763" s="3" t="str">
        <f>IF(Table1[[#This Row],[Age]]&lt;=18,"0-18",IF(Table1[[#This Row],[Age]]&lt;=35,"19-35",IF(Table1[[#This Row],[Age]]&lt;=50,"36-50",IF(Table1[[#This Row],[Age]]&lt;=65,"51-65","65+"))))</f>
        <v>36-50</v>
      </c>
    </row>
    <row r="764" spans="1:19" x14ac:dyDescent="0.3">
      <c r="A764" s="3" t="s">
        <v>2332</v>
      </c>
      <c r="B764" s="3">
        <v>37</v>
      </c>
      <c r="C764" s="3" t="s">
        <v>16</v>
      </c>
      <c r="D764" s="3" t="s">
        <v>26</v>
      </c>
      <c r="E764" s="3" t="s">
        <v>43</v>
      </c>
      <c r="F764" s="4">
        <v>45241</v>
      </c>
      <c r="G764" s="3" t="s">
        <v>2333</v>
      </c>
      <c r="H764" s="3" t="s">
        <v>2334</v>
      </c>
      <c r="I764" s="3" t="s">
        <v>65</v>
      </c>
      <c r="J764" s="5">
        <v>21965.147404814001</v>
      </c>
      <c r="K764" s="3">
        <v>406</v>
      </c>
      <c r="L764" s="3" t="s">
        <v>31</v>
      </c>
      <c r="M764" s="4">
        <v>45258</v>
      </c>
      <c r="N764" s="3" t="s">
        <v>52</v>
      </c>
      <c r="O764" s="3" t="s">
        <v>33</v>
      </c>
      <c r="P764" s="3" t="str">
        <f>IF(Table1[[#This Row],[Billing Amount]]&lt;5000,"Low",IF(Table1[[#This Row],[Billing Amount]]&lt;=15000,"Medium","High"))</f>
        <v>High</v>
      </c>
      <c r="Q764" s="3" t="str">
        <f>IF(Table1[[#This Row],[Discharge Date]]="Yes","Discharged","Under Treatment")</f>
        <v>Under Treatment</v>
      </c>
      <c r="R764" s="3" t="str">
        <f>IF(Table1[[#This Row],[Test Results]]&gt;120,"High Risk","Normal")</f>
        <v>High Risk</v>
      </c>
      <c r="S764" s="3" t="str">
        <f>IF(Table1[[#This Row],[Age]]&lt;=18,"0-18",IF(Table1[[#This Row],[Age]]&lt;=35,"19-35",IF(Table1[[#This Row],[Age]]&lt;=50,"36-50",IF(Table1[[#This Row],[Age]]&lt;=65,"51-65","65+"))))</f>
        <v>36-50</v>
      </c>
    </row>
    <row r="765" spans="1:19" x14ac:dyDescent="0.3">
      <c r="A765" s="3" t="s">
        <v>2335</v>
      </c>
      <c r="B765" s="3">
        <v>46</v>
      </c>
      <c r="C765" s="3" t="s">
        <v>16</v>
      </c>
      <c r="D765" s="3" t="s">
        <v>26</v>
      </c>
      <c r="E765" s="3" t="s">
        <v>18</v>
      </c>
      <c r="F765" s="4">
        <v>45291</v>
      </c>
      <c r="G765" s="3" t="s">
        <v>2336</v>
      </c>
      <c r="H765" s="3" t="s">
        <v>2337</v>
      </c>
      <c r="I765" s="3" t="s">
        <v>65</v>
      </c>
      <c r="J765" s="5">
        <v>27309.707878439302</v>
      </c>
      <c r="K765" s="3">
        <v>326</v>
      </c>
      <c r="L765" s="3" t="s">
        <v>31</v>
      </c>
      <c r="M765" s="4">
        <v>45318</v>
      </c>
      <c r="N765" s="3" t="s">
        <v>52</v>
      </c>
      <c r="O765" s="3" t="s">
        <v>33</v>
      </c>
      <c r="P765" s="3" t="str">
        <f>IF(Table1[[#This Row],[Billing Amount]]&lt;5000,"Low",IF(Table1[[#This Row],[Billing Amount]]&lt;=15000,"Medium","High"))</f>
        <v>High</v>
      </c>
      <c r="Q765" s="3" t="str">
        <f>IF(Table1[[#This Row],[Discharge Date]]="Yes","Discharged","Under Treatment")</f>
        <v>Under Treatment</v>
      </c>
      <c r="R765" s="3" t="str">
        <f>IF(Table1[[#This Row],[Test Results]]&gt;120,"High Risk","Normal")</f>
        <v>High Risk</v>
      </c>
      <c r="S765" s="3" t="str">
        <f>IF(Table1[[#This Row],[Age]]&lt;=18,"0-18",IF(Table1[[#This Row],[Age]]&lt;=35,"19-35",IF(Table1[[#This Row],[Age]]&lt;=50,"36-50",IF(Table1[[#This Row],[Age]]&lt;=65,"51-65","65+"))))</f>
        <v>36-50</v>
      </c>
    </row>
    <row r="766" spans="1:19" x14ac:dyDescent="0.3">
      <c r="A766" s="3" t="s">
        <v>2338</v>
      </c>
      <c r="B766" s="3">
        <v>71</v>
      </c>
      <c r="C766" s="3" t="s">
        <v>35</v>
      </c>
      <c r="D766" s="3" t="s">
        <v>26</v>
      </c>
      <c r="E766" s="3" t="s">
        <v>93</v>
      </c>
      <c r="F766" s="4">
        <v>43729</v>
      </c>
      <c r="G766" s="3" t="s">
        <v>2339</v>
      </c>
      <c r="H766" s="3" t="s">
        <v>2340</v>
      </c>
      <c r="I766" s="3" t="s">
        <v>65</v>
      </c>
      <c r="J766" s="5">
        <v>4437.95634965318</v>
      </c>
      <c r="K766" s="3">
        <v>406</v>
      </c>
      <c r="L766" s="3" t="s">
        <v>31</v>
      </c>
      <c r="M766" s="4">
        <v>43758</v>
      </c>
      <c r="N766" s="3" t="s">
        <v>52</v>
      </c>
      <c r="O766" s="3" t="s">
        <v>24</v>
      </c>
      <c r="P766" s="3" t="str">
        <f>IF(Table1[[#This Row],[Billing Amount]]&lt;5000,"Low",IF(Table1[[#This Row],[Billing Amount]]&lt;=15000,"Medium","High"))</f>
        <v>Low</v>
      </c>
      <c r="Q766" s="3" t="str">
        <f>IF(Table1[[#This Row],[Discharge Date]]="Yes","Discharged","Under Treatment")</f>
        <v>Under Treatment</v>
      </c>
      <c r="R766" s="3" t="str">
        <f>IF(Table1[[#This Row],[Test Results]]&gt;120,"High Risk","Normal")</f>
        <v>High Risk</v>
      </c>
      <c r="S766" s="3" t="str">
        <f>IF(Table1[[#This Row],[Age]]&lt;=18,"0-18",IF(Table1[[#This Row],[Age]]&lt;=35,"19-35",IF(Table1[[#This Row],[Age]]&lt;=50,"36-50",IF(Table1[[#This Row],[Age]]&lt;=65,"51-65","65+"))))</f>
        <v>65+</v>
      </c>
    </row>
    <row r="767" spans="1:19" x14ac:dyDescent="0.3">
      <c r="A767" s="3" t="s">
        <v>2341</v>
      </c>
      <c r="B767" s="3">
        <v>69</v>
      </c>
      <c r="C767" s="3" t="s">
        <v>35</v>
      </c>
      <c r="D767" s="3" t="s">
        <v>103</v>
      </c>
      <c r="E767" s="3" t="s">
        <v>76</v>
      </c>
      <c r="F767" s="4">
        <v>44869</v>
      </c>
      <c r="G767" s="3" t="s">
        <v>2342</v>
      </c>
      <c r="H767" s="3" t="s">
        <v>2343</v>
      </c>
      <c r="I767" s="3" t="s">
        <v>57</v>
      </c>
      <c r="J767" s="5">
        <v>15704.089218213299</v>
      </c>
      <c r="K767" s="3">
        <v>334</v>
      </c>
      <c r="L767" s="3" t="s">
        <v>31</v>
      </c>
      <c r="M767" s="4">
        <v>44878</v>
      </c>
      <c r="N767" s="3" t="s">
        <v>32</v>
      </c>
      <c r="O767" s="3" t="s">
        <v>33</v>
      </c>
      <c r="P767" s="3" t="str">
        <f>IF(Table1[[#This Row],[Billing Amount]]&lt;5000,"Low",IF(Table1[[#This Row],[Billing Amount]]&lt;=15000,"Medium","High"))</f>
        <v>High</v>
      </c>
      <c r="Q767" s="3" t="str">
        <f>IF(Table1[[#This Row],[Discharge Date]]="Yes","Discharged","Under Treatment")</f>
        <v>Under Treatment</v>
      </c>
      <c r="R767" s="3" t="str">
        <f>IF(Table1[[#This Row],[Test Results]]&gt;120,"High Risk","Normal")</f>
        <v>High Risk</v>
      </c>
      <c r="S767" s="3" t="str">
        <f>IF(Table1[[#This Row],[Age]]&lt;=18,"0-18",IF(Table1[[#This Row],[Age]]&lt;=35,"19-35",IF(Table1[[#This Row],[Age]]&lt;=50,"36-50",IF(Table1[[#This Row],[Age]]&lt;=65,"51-65","65+"))))</f>
        <v>65+</v>
      </c>
    </row>
    <row r="768" spans="1:19" x14ac:dyDescent="0.3">
      <c r="A768" s="3" t="s">
        <v>2344</v>
      </c>
      <c r="B768" s="3">
        <v>75</v>
      </c>
      <c r="C768" s="3" t="s">
        <v>35</v>
      </c>
      <c r="D768" s="3" t="s">
        <v>42</v>
      </c>
      <c r="E768" s="3" t="s">
        <v>93</v>
      </c>
      <c r="F768" s="4">
        <v>45204</v>
      </c>
      <c r="G768" s="3" t="s">
        <v>2345</v>
      </c>
      <c r="H768" s="3" t="s">
        <v>2346</v>
      </c>
      <c r="I768" s="3" t="s">
        <v>65</v>
      </c>
      <c r="J768" s="5">
        <v>3621.1616906828999</v>
      </c>
      <c r="K768" s="3">
        <v>346</v>
      </c>
      <c r="L768" s="3" t="s">
        <v>46</v>
      </c>
      <c r="M768" s="4">
        <v>45207</v>
      </c>
      <c r="N768" s="3" t="s">
        <v>52</v>
      </c>
      <c r="O768" s="3" t="s">
        <v>33</v>
      </c>
      <c r="P768" s="3" t="str">
        <f>IF(Table1[[#This Row],[Billing Amount]]&lt;5000,"Low",IF(Table1[[#This Row],[Billing Amount]]&lt;=15000,"Medium","High"))</f>
        <v>Low</v>
      </c>
      <c r="Q768" s="3" t="str">
        <f>IF(Table1[[#This Row],[Discharge Date]]="Yes","Discharged","Under Treatment")</f>
        <v>Under Treatment</v>
      </c>
      <c r="R768" s="3" t="str">
        <f>IF(Table1[[#This Row],[Test Results]]&gt;120,"High Risk","Normal")</f>
        <v>High Risk</v>
      </c>
      <c r="S768" s="3" t="str">
        <f>IF(Table1[[#This Row],[Age]]&lt;=18,"0-18",IF(Table1[[#This Row],[Age]]&lt;=35,"19-35",IF(Table1[[#This Row],[Age]]&lt;=50,"36-50",IF(Table1[[#This Row],[Age]]&lt;=65,"51-65","65+"))))</f>
        <v>65+</v>
      </c>
    </row>
    <row r="769" spans="1:19" x14ac:dyDescent="0.3">
      <c r="A769" s="3" t="s">
        <v>2347</v>
      </c>
      <c r="B769" s="3">
        <v>77</v>
      </c>
      <c r="C769" s="3" t="s">
        <v>16</v>
      </c>
      <c r="D769" s="3" t="s">
        <v>42</v>
      </c>
      <c r="E769" s="3" t="s">
        <v>43</v>
      </c>
      <c r="F769" s="4">
        <v>44071</v>
      </c>
      <c r="G769" s="3" t="s">
        <v>2348</v>
      </c>
      <c r="H769" s="3" t="s">
        <v>2349</v>
      </c>
      <c r="I769" s="3" t="s">
        <v>57</v>
      </c>
      <c r="J769" s="5">
        <v>47863.0239195924</v>
      </c>
      <c r="K769" s="3">
        <v>159</v>
      </c>
      <c r="L769" s="3" t="s">
        <v>22</v>
      </c>
      <c r="M769" s="4">
        <v>44078</v>
      </c>
      <c r="N769" s="3" t="s">
        <v>32</v>
      </c>
      <c r="O769" s="3" t="s">
        <v>24</v>
      </c>
      <c r="P769" s="3" t="str">
        <f>IF(Table1[[#This Row],[Billing Amount]]&lt;5000,"Low",IF(Table1[[#This Row],[Billing Amount]]&lt;=15000,"Medium","High"))</f>
        <v>High</v>
      </c>
      <c r="Q769" s="3" t="str">
        <f>IF(Table1[[#This Row],[Discharge Date]]="Yes","Discharged","Under Treatment")</f>
        <v>Under Treatment</v>
      </c>
      <c r="R769" s="3" t="str">
        <f>IF(Table1[[#This Row],[Test Results]]&gt;120,"High Risk","Normal")</f>
        <v>High Risk</v>
      </c>
      <c r="S769" s="3" t="str">
        <f>IF(Table1[[#This Row],[Age]]&lt;=18,"0-18",IF(Table1[[#This Row],[Age]]&lt;=35,"19-35",IF(Table1[[#This Row],[Age]]&lt;=50,"36-50",IF(Table1[[#This Row],[Age]]&lt;=65,"51-65","65+"))))</f>
        <v>65+</v>
      </c>
    </row>
    <row r="770" spans="1:19" x14ac:dyDescent="0.3">
      <c r="A770" s="3" t="s">
        <v>2350</v>
      </c>
      <c r="B770" s="3">
        <v>58</v>
      </c>
      <c r="C770" s="3" t="s">
        <v>35</v>
      </c>
      <c r="D770" s="3" t="s">
        <v>42</v>
      </c>
      <c r="E770" s="3" t="s">
        <v>27</v>
      </c>
      <c r="F770" s="4">
        <v>45205</v>
      </c>
      <c r="G770" s="3" t="s">
        <v>2351</v>
      </c>
      <c r="H770" s="3" t="s">
        <v>2352</v>
      </c>
      <c r="I770" s="3" t="s">
        <v>30</v>
      </c>
      <c r="J770" s="5">
        <v>18479.743277603699</v>
      </c>
      <c r="K770" s="3">
        <v>438</v>
      </c>
      <c r="L770" s="3" t="s">
        <v>22</v>
      </c>
      <c r="M770" s="4">
        <v>45208</v>
      </c>
      <c r="N770" s="3" t="s">
        <v>32</v>
      </c>
      <c r="O770" s="3" t="s">
        <v>33</v>
      </c>
      <c r="P770" s="3" t="str">
        <f>IF(Table1[[#This Row],[Billing Amount]]&lt;5000,"Low",IF(Table1[[#This Row],[Billing Amount]]&lt;=15000,"Medium","High"))</f>
        <v>High</v>
      </c>
      <c r="Q770" s="3" t="str">
        <f>IF(Table1[[#This Row],[Discharge Date]]="Yes","Discharged","Under Treatment")</f>
        <v>Under Treatment</v>
      </c>
      <c r="R770" s="3" t="str">
        <f>IF(Table1[[#This Row],[Test Results]]&gt;120,"High Risk","Normal")</f>
        <v>High Risk</v>
      </c>
      <c r="S770" s="3" t="str">
        <f>IF(Table1[[#This Row],[Age]]&lt;=18,"0-18",IF(Table1[[#This Row],[Age]]&lt;=35,"19-35",IF(Table1[[#This Row],[Age]]&lt;=50,"36-50",IF(Table1[[#This Row],[Age]]&lt;=65,"51-65","65+"))))</f>
        <v>51-65</v>
      </c>
    </row>
    <row r="771" spans="1:19" x14ac:dyDescent="0.3">
      <c r="A771" s="3" t="s">
        <v>2353</v>
      </c>
      <c r="B771" s="3">
        <v>25</v>
      </c>
      <c r="C771" s="3" t="s">
        <v>35</v>
      </c>
      <c r="D771" s="3" t="s">
        <v>36</v>
      </c>
      <c r="E771" s="3" t="s">
        <v>18</v>
      </c>
      <c r="F771" s="4">
        <v>45108</v>
      </c>
      <c r="G771" s="3" t="s">
        <v>2354</v>
      </c>
      <c r="H771" s="3" t="s">
        <v>2355</v>
      </c>
      <c r="I771" s="3" t="s">
        <v>21</v>
      </c>
      <c r="J771" s="5">
        <v>7285.4895915056704</v>
      </c>
      <c r="K771" s="3">
        <v>103</v>
      </c>
      <c r="L771" s="3" t="s">
        <v>22</v>
      </c>
      <c r="M771" s="4">
        <v>45112</v>
      </c>
      <c r="N771" s="3" t="s">
        <v>79</v>
      </c>
      <c r="O771" s="3" t="s">
        <v>24</v>
      </c>
      <c r="P771" s="3" t="str">
        <f>IF(Table1[[#This Row],[Billing Amount]]&lt;5000,"Low",IF(Table1[[#This Row],[Billing Amount]]&lt;=15000,"Medium","High"))</f>
        <v>Medium</v>
      </c>
      <c r="Q771" s="3" t="str">
        <f>IF(Table1[[#This Row],[Discharge Date]]="Yes","Discharged","Under Treatment")</f>
        <v>Under Treatment</v>
      </c>
      <c r="R771" s="3" t="str">
        <f>IF(Table1[[#This Row],[Test Results]]&gt;120,"High Risk","Normal")</f>
        <v>High Risk</v>
      </c>
      <c r="S771" s="3" t="str">
        <f>IF(Table1[[#This Row],[Age]]&lt;=18,"0-18",IF(Table1[[#This Row],[Age]]&lt;=35,"19-35",IF(Table1[[#This Row],[Age]]&lt;=50,"36-50",IF(Table1[[#This Row],[Age]]&lt;=65,"51-65","65+"))))</f>
        <v>19-35</v>
      </c>
    </row>
    <row r="772" spans="1:19" x14ac:dyDescent="0.3">
      <c r="A772" s="3" t="s">
        <v>2356</v>
      </c>
      <c r="B772" s="3">
        <v>83</v>
      </c>
      <c r="C772" s="3" t="s">
        <v>35</v>
      </c>
      <c r="D772" s="3" t="s">
        <v>17</v>
      </c>
      <c r="E772" s="3" t="s">
        <v>43</v>
      </c>
      <c r="F772" s="4">
        <v>44415</v>
      </c>
      <c r="G772" s="3" t="s">
        <v>2357</v>
      </c>
      <c r="H772" s="3" t="s">
        <v>2358</v>
      </c>
      <c r="I772" s="3" t="s">
        <v>21</v>
      </c>
      <c r="J772" s="5">
        <v>6818.7244800116696</v>
      </c>
      <c r="K772" s="3">
        <v>101</v>
      </c>
      <c r="L772" s="3" t="s">
        <v>46</v>
      </c>
      <c r="M772" s="4">
        <v>44428</v>
      </c>
      <c r="N772" s="3" t="s">
        <v>79</v>
      </c>
      <c r="O772" s="3" t="s">
        <v>24</v>
      </c>
      <c r="P772" s="3" t="str">
        <f>IF(Table1[[#This Row],[Billing Amount]]&lt;5000,"Low",IF(Table1[[#This Row],[Billing Amount]]&lt;=15000,"Medium","High"))</f>
        <v>Medium</v>
      </c>
      <c r="Q772" s="3" t="str">
        <f>IF(Table1[[#This Row],[Discharge Date]]="Yes","Discharged","Under Treatment")</f>
        <v>Under Treatment</v>
      </c>
      <c r="R772" s="3" t="str">
        <f>IF(Table1[[#This Row],[Test Results]]&gt;120,"High Risk","Normal")</f>
        <v>High Risk</v>
      </c>
      <c r="S772" s="3" t="str">
        <f>IF(Table1[[#This Row],[Age]]&lt;=18,"0-18",IF(Table1[[#This Row],[Age]]&lt;=35,"19-35",IF(Table1[[#This Row],[Age]]&lt;=50,"36-50",IF(Table1[[#This Row],[Age]]&lt;=65,"51-65","65+"))))</f>
        <v>65+</v>
      </c>
    </row>
    <row r="773" spans="1:19" x14ac:dyDescent="0.3">
      <c r="A773" s="3" t="s">
        <v>2359</v>
      </c>
      <c r="B773" s="3">
        <v>27</v>
      </c>
      <c r="C773" s="3" t="s">
        <v>16</v>
      </c>
      <c r="D773" s="3" t="s">
        <v>36</v>
      </c>
      <c r="E773" s="3" t="s">
        <v>76</v>
      </c>
      <c r="F773" s="4">
        <v>43964</v>
      </c>
      <c r="G773" s="3" t="s">
        <v>2360</v>
      </c>
      <c r="H773" s="3" t="s">
        <v>2361</v>
      </c>
      <c r="I773" s="3" t="s">
        <v>21</v>
      </c>
      <c r="J773" s="5">
        <v>14374.3129973427</v>
      </c>
      <c r="K773" s="3">
        <v>291</v>
      </c>
      <c r="L773" s="3" t="s">
        <v>22</v>
      </c>
      <c r="M773" s="4">
        <v>43977</v>
      </c>
      <c r="N773" s="3" t="s">
        <v>79</v>
      </c>
      <c r="O773" s="3" t="s">
        <v>47</v>
      </c>
      <c r="P773" s="3" t="str">
        <f>IF(Table1[[#This Row],[Billing Amount]]&lt;5000,"Low",IF(Table1[[#This Row],[Billing Amount]]&lt;=15000,"Medium","High"))</f>
        <v>Medium</v>
      </c>
      <c r="Q773" s="3" t="str">
        <f>IF(Table1[[#This Row],[Discharge Date]]="Yes","Discharged","Under Treatment")</f>
        <v>Under Treatment</v>
      </c>
      <c r="R773" s="3" t="str">
        <f>IF(Table1[[#This Row],[Test Results]]&gt;120,"High Risk","Normal")</f>
        <v>High Risk</v>
      </c>
      <c r="S773" s="3" t="str">
        <f>IF(Table1[[#This Row],[Age]]&lt;=18,"0-18",IF(Table1[[#This Row],[Age]]&lt;=35,"19-35",IF(Table1[[#This Row],[Age]]&lt;=50,"36-50",IF(Table1[[#This Row],[Age]]&lt;=65,"51-65","65+"))))</f>
        <v>19-35</v>
      </c>
    </row>
    <row r="774" spans="1:19" x14ac:dyDescent="0.3">
      <c r="A774" s="3" t="s">
        <v>2362</v>
      </c>
      <c r="B774" s="3">
        <v>32</v>
      </c>
      <c r="C774" s="3" t="s">
        <v>16</v>
      </c>
      <c r="D774" s="3" t="s">
        <v>17</v>
      </c>
      <c r="E774" s="3" t="s">
        <v>93</v>
      </c>
      <c r="F774" s="4">
        <v>45195</v>
      </c>
      <c r="G774" s="3" t="s">
        <v>2363</v>
      </c>
      <c r="H774" s="3" t="s">
        <v>2364</v>
      </c>
      <c r="I774" s="3" t="s">
        <v>57</v>
      </c>
      <c r="J774" s="5">
        <v>5936.1771452758303</v>
      </c>
      <c r="K774" s="3">
        <v>313</v>
      </c>
      <c r="L774" s="3" t="s">
        <v>22</v>
      </c>
      <c r="M774" s="4">
        <v>45198</v>
      </c>
      <c r="N774" s="3" t="s">
        <v>40</v>
      </c>
      <c r="O774" s="3" t="s">
        <v>24</v>
      </c>
      <c r="P774" s="3" t="str">
        <f>IF(Table1[[#This Row],[Billing Amount]]&lt;5000,"Low",IF(Table1[[#This Row],[Billing Amount]]&lt;=15000,"Medium","High"))</f>
        <v>Medium</v>
      </c>
      <c r="Q774" s="3" t="str">
        <f>IF(Table1[[#This Row],[Discharge Date]]="Yes","Discharged","Under Treatment")</f>
        <v>Under Treatment</v>
      </c>
      <c r="R774" s="3" t="str">
        <f>IF(Table1[[#This Row],[Test Results]]&gt;120,"High Risk","Normal")</f>
        <v>High Risk</v>
      </c>
      <c r="S774" s="3" t="str">
        <f>IF(Table1[[#This Row],[Age]]&lt;=18,"0-18",IF(Table1[[#This Row],[Age]]&lt;=35,"19-35",IF(Table1[[#This Row],[Age]]&lt;=50,"36-50",IF(Table1[[#This Row],[Age]]&lt;=65,"51-65","65+"))))</f>
        <v>19-35</v>
      </c>
    </row>
    <row r="775" spans="1:19" x14ac:dyDescent="0.3">
      <c r="A775" s="3" t="s">
        <v>2365</v>
      </c>
      <c r="B775" s="3">
        <v>40</v>
      </c>
      <c r="C775" s="3" t="s">
        <v>16</v>
      </c>
      <c r="D775" s="3" t="s">
        <v>26</v>
      </c>
      <c r="E775" s="3" t="s">
        <v>43</v>
      </c>
      <c r="F775" s="4">
        <v>45091</v>
      </c>
      <c r="G775" s="3" t="s">
        <v>2366</v>
      </c>
      <c r="H775" s="3" t="s">
        <v>2367</v>
      </c>
      <c r="I775" s="3" t="s">
        <v>65</v>
      </c>
      <c r="J775" s="5">
        <v>32897.267314564298</v>
      </c>
      <c r="K775" s="3">
        <v>228</v>
      </c>
      <c r="L775" s="3" t="s">
        <v>22</v>
      </c>
      <c r="M775" s="4">
        <v>45092</v>
      </c>
      <c r="N775" s="3" t="s">
        <v>32</v>
      </c>
      <c r="O775" s="3" t="s">
        <v>33</v>
      </c>
      <c r="P775" s="3" t="str">
        <f>IF(Table1[[#This Row],[Billing Amount]]&lt;5000,"Low",IF(Table1[[#This Row],[Billing Amount]]&lt;=15000,"Medium","High"))</f>
        <v>High</v>
      </c>
      <c r="Q775" s="3" t="str">
        <f>IF(Table1[[#This Row],[Discharge Date]]="Yes","Discharged","Under Treatment")</f>
        <v>Under Treatment</v>
      </c>
      <c r="R775" s="3" t="str">
        <f>IF(Table1[[#This Row],[Test Results]]&gt;120,"High Risk","Normal")</f>
        <v>High Risk</v>
      </c>
      <c r="S775" s="3" t="str">
        <f>IF(Table1[[#This Row],[Age]]&lt;=18,"0-18",IF(Table1[[#This Row],[Age]]&lt;=35,"19-35",IF(Table1[[#This Row],[Age]]&lt;=50,"36-50",IF(Table1[[#This Row],[Age]]&lt;=65,"51-65","65+"))))</f>
        <v>36-50</v>
      </c>
    </row>
    <row r="776" spans="1:19" x14ac:dyDescent="0.3">
      <c r="A776" s="3" t="s">
        <v>2368</v>
      </c>
      <c r="B776" s="3">
        <v>25</v>
      </c>
      <c r="C776" s="3" t="s">
        <v>16</v>
      </c>
      <c r="D776" s="3" t="s">
        <v>59</v>
      </c>
      <c r="E776" s="3" t="s">
        <v>54</v>
      </c>
      <c r="F776" s="4">
        <v>45417</v>
      </c>
      <c r="G776" s="3" t="s">
        <v>2369</v>
      </c>
      <c r="H776" s="3" t="s">
        <v>2370</v>
      </c>
      <c r="I776" s="3" t="s">
        <v>65</v>
      </c>
      <c r="J776" s="5">
        <v>3963.1211283151902</v>
      </c>
      <c r="K776" s="3">
        <v>415</v>
      </c>
      <c r="L776" s="3" t="s">
        <v>22</v>
      </c>
      <c r="M776" s="4">
        <v>45419</v>
      </c>
      <c r="N776" s="3" t="s">
        <v>40</v>
      </c>
      <c r="O776" s="3" t="s">
        <v>47</v>
      </c>
      <c r="P776" s="3" t="str">
        <f>IF(Table1[[#This Row],[Billing Amount]]&lt;5000,"Low",IF(Table1[[#This Row],[Billing Amount]]&lt;=15000,"Medium","High"))</f>
        <v>Low</v>
      </c>
      <c r="Q776" s="3" t="str">
        <f>IF(Table1[[#This Row],[Discharge Date]]="Yes","Discharged","Under Treatment")</f>
        <v>Under Treatment</v>
      </c>
      <c r="R776" s="3" t="str">
        <f>IF(Table1[[#This Row],[Test Results]]&gt;120,"High Risk","Normal")</f>
        <v>High Risk</v>
      </c>
      <c r="S776" s="3" t="str">
        <f>IF(Table1[[#This Row],[Age]]&lt;=18,"0-18",IF(Table1[[#This Row],[Age]]&lt;=35,"19-35",IF(Table1[[#This Row],[Age]]&lt;=50,"36-50",IF(Table1[[#This Row],[Age]]&lt;=65,"51-65","65+"))))</f>
        <v>19-35</v>
      </c>
    </row>
    <row r="777" spans="1:19" x14ac:dyDescent="0.3">
      <c r="A777" s="3" t="s">
        <v>2371</v>
      </c>
      <c r="B777" s="3">
        <v>69</v>
      </c>
      <c r="C777" s="3" t="s">
        <v>16</v>
      </c>
      <c r="D777" s="3" t="s">
        <v>36</v>
      </c>
      <c r="E777" s="3" t="s">
        <v>54</v>
      </c>
      <c r="F777" s="4">
        <v>45019</v>
      </c>
      <c r="G777" s="3" t="s">
        <v>2372</v>
      </c>
      <c r="H777" s="3" t="s">
        <v>2373</v>
      </c>
      <c r="I777" s="3" t="s">
        <v>21</v>
      </c>
      <c r="J777" s="5">
        <v>16057.8201619831</v>
      </c>
      <c r="K777" s="3">
        <v>431</v>
      </c>
      <c r="L777" s="3" t="s">
        <v>46</v>
      </c>
      <c r="M777" s="4">
        <v>45027</v>
      </c>
      <c r="N777" s="3" t="s">
        <v>32</v>
      </c>
      <c r="O777" s="3" t="s">
        <v>24</v>
      </c>
      <c r="P777" s="3" t="str">
        <f>IF(Table1[[#This Row],[Billing Amount]]&lt;5000,"Low",IF(Table1[[#This Row],[Billing Amount]]&lt;=15000,"Medium","High"))</f>
        <v>High</v>
      </c>
      <c r="Q777" s="3" t="str">
        <f>IF(Table1[[#This Row],[Discharge Date]]="Yes","Discharged","Under Treatment")</f>
        <v>Under Treatment</v>
      </c>
      <c r="R777" s="3" t="str">
        <f>IF(Table1[[#This Row],[Test Results]]&gt;120,"High Risk","Normal")</f>
        <v>High Risk</v>
      </c>
      <c r="S777" s="3" t="str">
        <f>IF(Table1[[#This Row],[Age]]&lt;=18,"0-18",IF(Table1[[#This Row],[Age]]&lt;=35,"19-35",IF(Table1[[#This Row],[Age]]&lt;=50,"36-50",IF(Table1[[#This Row],[Age]]&lt;=65,"51-65","65+"))))</f>
        <v>65+</v>
      </c>
    </row>
    <row r="778" spans="1:19" x14ac:dyDescent="0.3">
      <c r="A778" s="3" t="s">
        <v>2374</v>
      </c>
      <c r="B778" s="3">
        <v>25</v>
      </c>
      <c r="C778" s="3" t="s">
        <v>35</v>
      </c>
      <c r="D778" s="3" t="s">
        <v>17</v>
      </c>
      <c r="E778" s="3" t="s">
        <v>43</v>
      </c>
      <c r="F778" s="4">
        <v>44493</v>
      </c>
      <c r="G778" s="3" t="s">
        <v>1833</v>
      </c>
      <c r="H778" s="3" t="s">
        <v>2375</v>
      </c>
      <c r="I778" s="3" t="s">
        <v>30</v>
      </c>
      <c r="J778" s="5">
        <v>44041.573738192201</v>
      </c>
      <c r="K778" s="3">
        <v>454</v>
      </c>
      <c r="L778" s="3" t="s">
        <v>31</v>
      </c>
      <c r="M778" s="4">
        <v>44513</v>
      </c>
      <c r="N778" s="3" t="s">
        <v>32</v>
      </c>
      <c r="O778" s="3" t="s">
        <v>24</v>
      </c>
      <c r="P778" s="3" t="str">
        <f>IF(Table1[[#This Row],[Billing Amount]]&lt;5000,"Low",IF(Table1[[#This Row],[Billing Amount]]&lt;=15000,"Medium","High"))</f>
        <v>High</v>
      </c>
      <c r="Q778" s="3" t="str">
        <f>IF(Table1[[#This Row],[Discharge Date]]="Yes","Discharged","Under Treatment")</f>
        <v>Under Treatment</v>
      </c>
      <c r="R778" s="3" t="str">
        <f>IF(Table1[[#This Row],[Test Results]]&gt;120,"High Risk","Normal")</f>
        <v>High Risk</v>
      </c>
      <c r="S778" s="3" t="str">
        <f>IF(Table1[[#This Row],[Age]]&lt;=18,"0-18",IF(Table1[[#This Row],[Age]]&lt;=35,"19-35",IF(Table1[[#This Row],[Age]]&lt;=50,"36-50",IF(Table1[[#This Row],[Age]]&lt;=65,"51-65","65+"))))</f>
        <v>19-35</v>
      </c>
    </row>
    <row r="779" spans="1:19" x14ac:dyDescent="0.3">
      <c r="A779" s="3" t="s">
        <v>2376</v>
      </c>
      <c r="B779" s="3">
        <v>55</v>
      </c>
      <c r="C779" s="3" t="s">
        <v>16</v>
      </c>
      <c r="D779" s="3" t="s">
        <v>103</v>
      </c>
      <c r="E779" s="3" t="s">
        <v>76</v>
      </c>
      <c r="F779" s="4">
        <v>43783</v>
      </c>
      <c r="G779" s="3" t="s">
        <v>2377</v>
      </c>
      <c r="H779" s="3" t="s">
        <v>2378</v>
      </c>
      <c r="I779" s="3" t="s">
        <v>65</v>
      </c>
      <c r="J779" s="5">
        <v>43108.888058161101</v>
      </c>
      <c r="K779" s="3">
        <v>161</v>
      </c>
      <c r="L779" s="3" t="s">
        <v>31</v>
      </c>
      <c r="M779" s="4">
        <v>43785</v>
      </c>
      <c r="N779" s="3" t="s">
        <v>32</v>
      </c>
      <c r="O779" s="3" t="s">
        <v>33</v>
      </c>
      <c r="P779" s="3" t="str">
        <f>IF(Table1[[#This Row],[Billing Amount]]&lt;5000,"Low",IF(Table1[[#This Row],[Billing Amount]]&lt;=15000,"Medium","High"))</f>
        <v>High</v>
      </c>
      <c r="Q779" s="3" t="str">
        <f>IF(Table1[[#This Row],[Discharge Date]]="Yes","Discharged","Under Treatment")</f>
        <v>Under Treatment</v>
      </c>
      <c r="R779" s="3" t="str">
        <f>IF(Table1[[#This Row],[Test Results]]&gt;120,"High Risk","Normal")</f>
        <v>High Risk</v>
      </c>
      <c r="S779" s="3" t="str">
        <f>IF(Table1[[#This Row],[Age]]&lt;=18,"0-18",IF(Table1[[#This Row],[Age]]&lt;=35,"19-35",IF(Table1[[#This Row],[Age]]&lt;=50,"36-50",IF(Table1[[#This Row],[Age]]&lt;=65,"51-65","65+"))))</f>
        <v>51-65</v>
      </c>
    </row>
    <row r="780" spans="1:19" x14ac:dyDescent="0.3">
      <c r="A780" s="3" t="s">
        <v>2379</v>
      </c>
      <c r="B780" s="3">
        <v>78</v>
      </c>
      <c r="C780" s="3" t="s">
        <v>35</v>
      </c>
      <c r="D780" s="3" t="s">
        <v>122</v>
      </c>
      <c r="E780" s="3" t="s">
        <v>76</v>
      </c>
      <c r="F780" s="4">
        <v>44668</v>
      </c>
      <c r="G780" s="3" t="s">
        <v>2380</v>
      </c>
      <c r="H780" s="3" t="s">
        <v>2381</v>
      </c>
      <c r="I780" s="3" t="s">
        <v>30</v>
      </c>
      <c r="J780" s="5">
        <v>21585.243422653999</v>
      </c>
      <c r="K780" s="3">
        <v>402</v>
      </c>
      <c r="L780" s="3" t="s">
        <v>31</v>
      </c>
      <c r="M780" s="4">
        <v>44676</v>
      </c>
      <c r="N780" s="3" t="s">
        <v>52</v>
      </c>
      <c r="O780" s="3" t="s">
        <v>47</v>
      </c>
      <c r="P780" s="3" t="str">
        <f>IF(Table1[[#This Row],[Billing Amount]]&lt;5000,"Low",IF(Table1[[#This Row],[Billing Amount]]&lt;=15000,"Medium","High"))</f>
        <v>High</v>
      </c>
      <c r="Q780" s="3" t="str">
        <f>IF(Table1[[#This Row],[Discharge Date]]="Yes","Discharged","Under Treatment")</f>
        <v>Under Treatment</v>
      </c>
      <c r="R780" s="3" t="str">
        <f>IF(Table1[[#This Row],[Test Results]]&gt;120,"High Risk","Normal")</f>
        <v>High Risk</v>
      </c>
      <c r="S780" s="3" t="str">
        <f>IF(Table1[[#This Row],[Age]]&lt;=18,"0-18",IF(Table1[[#This Row],[Age]]&lt;=35,"19-35",IF(Table1[[#This Row],[Age]]&lt;=50,"36-50",IF(Table1[[#This Row],[Age]]&lt;=65,"51-65","65+"))))</f>
        <v>65+</v>
      </c>
    </row>
    <row r="781" spans="1:19" x14ac:dyDescent="0.3">
      <c r="A781" s="3" t="s">
        <v>2382</v>
      </c>
      <c r="B781" s="3">
        <v>69</v>
      </c>
      <c r="C781" s="3" t="s">
        <v>35</v>
      </c>
      <c r="D781" s="3" t="s">
        <v>36</v>
      </c>
      <c r="E781" s="3" t="s">
        <v>93</v>
      </c>
      <c r="F781" s="4">
        <v>44666</v>
      </c>
      <c r="G781" s="3" t="s">
        <v>2383</v>
      </c>
      <c r="H781" s="3" t="s">
        <v>2384</v>
      </c>
      <c r="I781" s="3" t="s">
        <v>30</v>
      </c>
      <c r="J781" s="5">
        <v>28922.860518875201</v>
      </c>
      <c r="K781" s="3">
        <v>307</v>
      </c>
      <c r="L781" s="3" t="s">
        <v>22</v>
      </c>
      <c r="M781" s="4">
        <v>44693</v>
      </c>
      <c r="N781" s="3" t="s">
        <v>52</v>
      </c>
      <c r="O781" s="3" t="s">
        <v>33</v>
      </c>
      <c r="P781" s="3" t="str">
        <f>IF(Table1[[#This Row],[Billing Amount]]&lt;5000,"Low",IF(Table1[[#This Row],[Billing Amount]]&lt;=15000,"Medium","High"))</f>
        <v>High</v>
      </c>
      <c r="Q781" s="3" t="str">
        <f>IF(Table1[[#This Row],[Discharge Date]]="Yes","Discharged","Under Treatment")</f>
        <v>Under Treatment</v>
      </c>
      <c r="R781" s="3" t="str">
        <f>IF(Table1[[#This Row],[Test Results]]&gt;120,"High Risk","Normal")</f>
        <v>High Risk</v>
      </c>
      <c r="S781" s="3" t="str">
        <f>IF(Table1[[#This Row],[Age]]&lt;=18,"0-18",IF(Table1[[#This Row],[Age]]&lt;=35,"19-35",IF(Table1[[#This Row],[Age]]&lt;=50,"36-50",IF(Table1[[#This Row],[Age]]&lt;=65,"51-65","65+"))))</f>
        <v>65+</v>
      </c>
    </row>
    <row r="782" spans="1:19" x14ac:dyDescent="0.3">
      <c r="A782" s="3" t="s">
        <v>2385</v>
      </c>
      <c r="B782" s="3">
        <v>77</v>
      </c>
      <c r="C782" s="3" t="s">
        <v>16</v>
      </c>
      <c r="D782" s="3" t="s">
        <v>42</v>
      </c>
      <c r="E782" s="3" t="s">
        <v>18</v>
      </c>
      <c r="F782" s="4">
        <v>44268</v>
      </c>
      <c r="G782" s="3" t="s">
        <v>2386</v>
      </c>
      <c r="H782" s="3" t="s">
        <v>2387</v>
      </c>
      <c r="I782" s="3" t="s">
        <v>57</v>
      </c>
      <c r="J782" s="5">
        <v>14808.747589877999</v>
      </c>
      <c r="K782" s="3">
        <v>157</v>
      </c>
      <c r="L782" s="3" t="s">
        <v>31</v>
      </c>
      <c r="M782" s="4">
        <v>44269</v>
      </c>
      <c r="N782" s="3" t="s">
        <v>40</v>
      </c>
      <c r="O782" s="3" t="s">
        <v>24</v>
      </c>
      <c r="P782" s="3" t="str">
        <f>IF(Table1[[#This Row],[Billing Amount]]&lt;5000,"Low",IF(Table1[[#This Row],[Billing Amount]]&lt;=15000,"Medium","High"))</f>
        <v>Medium</v>
      </c>
      <c r="Q782" s="3" t="str">
        <f>IF(Table1[[#This Row],[Discharge Date]]="Yes","Discharged","Under Treatment")</f>
        <v>Under Treatment</v>
      </c>
      <c r="R782" s="3" t="str">
        <f>IF(Table1[[#This Row],[Test Results]]&gt;120,"High Risk","Normal")</f>
        <v>High Risk</v>
      </c>
      <c r="S782" s="3" t="str">
        <f>IF(Table1[[#This Row],[Age]]&lt;=18,"0-18",IF(Table1[[#This Row],[Age]]&lt;=35,"19-35",IF(Table1[[#This Row],[Age]]&lt;=50,"36-50",IF(Table1[[#This Row],[Age]]&lt;=65,"51-65","65+"))))</f>
        <v>65+</v>
      </c>
    </row>
    <row r="783" spans="1:19" x14ac:dyDescent="0.3">
      <c r="A783" s="3" t="s">
        <v>2388</v>
      </c>
      <c r="B783" s="3">
        <v>56</v>
      </c>
      <c r="C783" s="3" t="s">
        <v>35</v>
      </c>
      <c r="D783" s="3" t="s">
        <v>26</v>
      </c>
      <c r="E783" s="3" t="s">
        <v>76</v>
      </c>
      <c r="F783" s="4">
        <v>44548</v>
      </c>
      <c r="G783" s="3" t="s">
        <v>2389</v>
      </c>
      <c r="H783" s="3" t="s">
        <v>2390</v>
      </c>
      <c r="I783" s="3" t="s">
        <v>57</v>
      </c>
      <c r="J783" s="5">
        <v>26824.002636421999</v>
      </c>
      <c r="K783" s="3">
        <v>180</v>
      </c>
      <c r="L783" s="3" t="s">
        <v>31</v>
      </c>
      <c r="M783" s="4">
        <v>44567</v>
      </c>
      <c r="N783" s="3" t="s">
        <v>32</v>
      </c>
      <c r="O783" s="3" t="s">
        <v>33</v>
      </c>
      <c r="P783" s="3" t="str">
        <f>IF(Table1[[#This Row],[Billing Amount]]&lt;5000,"Low",IF(Table1[[#This Row],[Billing Amount]]&lt;=15000,"Medium","High"))</f>
        <v>High</v>
      </c>
      <c r="Q783" s="3" t="str">
        <f>IF(Table1[[#This Row],[Discharge Date]]="Yes","Discharged","Under Treatment")</f>
        <v>Under Treatment</v>
      </c>
      <c r="R783" s="3" t="str">
        <f>IF(Table1[[#This Row],[Test Results]]&gt;120,"High Risk","Normal")</f>
        <v>High Risk</v>
      </c>
      <c r="S783" s="3" t="str">
        <f>IF(Table1[[#This Row],[Age]]&lt;=18,"0-18",IF(Table1[[#This Row],[Age]]&lt;=35,"19-35",IF(Table1[[#This Row],[Age]]&lt;=50,"36-50",IF(Table1[[#This Row],[Age]]&lt;=65,"51-65","65+"))))</f>
        <v>51-65</v>
      </c>
    </row>
    <row r="784" spans="1:19" x14ac:dyDescent="0.3">
      <c r="A784" s="3" t="s">
        <v>2391</v>
      </c>
      <c r="B784" s="3">
        <v>78</v>
      </c>
      <c r="C784" s="3" t="s">
        <v>35</v>
      </c>
      <c r="D784" s="3" t="s">
        <v>122</v>
      </c>
      <c r="E784" s="3" t="s">
        <v>54</v>
      </c>
      <c r="F784" s="4">
        <v>45297</v>
      </c>
      <c r="G784" s="3" t="s">
        <v>2392</v>
      </c>
      <c r="H784" s="3" t="s">
        <v>2393</v>
      </c>
      <c r="I784" s="3" t="s">
        <v>39</v>
      </c>
      <c r="J784" s="5">
        <v>14687.4999503746</v>
      </c>
      <c r="K784" s="3">
        <v>155</v>
      </c>
      <c r="L784" s="3" t="s">
        <v>46</v>
      </c>
      <c r="M784" s="4">
        <v>45322</v>
      </c>
      <c r="N784" s="3" t="s">
        <v>40</v>
      </c>
      <c r="O784" s="3" t="s">
        <v>24</v>
      </c>
      <c r="P784" s="3" t="str">
        <f>IF(Table1[[#This Row],[Billing Amount]]&lt;5000,"Low",IF(Table1[[#This Row],[Billing Amount]]&lt;=15000,"Medium","High"))</f>
        <v>Medium</v>
      </c>
      <c r="Q784" s="3" t="str">
        <f>IF(Table1[[#This Row],[Discharge Date]]="Yes","Discharged","Under Treatment")</f>
        <v>Under Treatment</v>
      </c>
      <c r="R784" s="3" t="str">
        <f>IF(Table1[[#This Row],[Test Results]]&gt;120,"High Risk","Normal")</f>
        <v>High Risk</v>
      </c>
      <c r="S784" s="3" t="str">
        <f>IF(Table1[[#This Row],[Age]]&lt;=18,"0-18",IF(Table1[[#This Row],[Age]]&lt;=35,"19-35",IF(Table1[[#This Row],[Age]]&lt;=50,"36-50",IF(Table1[[#This Row],[Age]]&lt;=65,"51-65","65+"))))</f>
        <v>65+</v>
      </c>
    </row>
    <row r="785" spans="1:19" x14ac:dyDescent="0.3">
      <c r="A785" s="3" t="s">
        <v>2394</v>
      </c>
      <c r="B785" s="3">
        <v>48</v>
      </c>
      <c r="C785" s="3" t="s">
        <v>35</v>
      </c>
      <c r="D785" s="3" t="s">
        <v>26</v>
      </c>
      <c r="E785" s="3" t="s">
        <v>18</v>
      </c>
      <c r="F785" s="4">
        <v>44592</v>
      </c>
      <c r="G785" s="3" t="s">
        <v>2395</v>
      </c>
      <c r="H785" s="3" t="s">
        <v>2396</v>
      </c>
      <c r="I785" s="3" t="s">
        <v>57</v>
      </c>
      <c r="J785" s="5">
        <v>49492.136319597201</v>
      </c>
      <c r="K785" s="3">
        <v>126</v>
      </c>
      <c r="L785" s="3" t="s">
        <v>46</v>
      </c>
      <c r="M785" s="4">
        <v>44601</v>
      </c>
      <c r="N785" s="3" t="s">
        <v>79</v>
      </c>
      <c r="O785" s="3" t="s">
        <v>24</v>
      </c>
      <c r="P785" s="3" t="str">
        <f>IF(Table1[[#This Row],[Billing Amount]]&lt;5000,"Low",IF(Table1[[#This Row],[Billing Amount]]&lt;=15000,"Medium","High"))</f>
        <v>High</v>
      </c>
      <c r="Q785" s="3" t="str">
        <f>IF(Table1[[#This Row],[Discharge Date]]="Yes","Discharged","Under Treatment")</f>
        <v>Under Treatment</v>
      </c>
      <c r="R785" s="3" t="str">
        <f>IF(Table1[[#This Row],[Test Results]]&gt;120,"High Risk","Normal")</f>
        <v>High Risk</v>
      </c>
      <c r="S785" s="3" t="str">
        <f>IF(Table1[[#This Row],[Age]]&lt;=18,"0-18",IF(Table1[[#This Row],[Age]]&lt;=35,"19-35",IF(Table1[[#This Row],[Age]]&lt;=50,"36-50",IF(Table1[[#This Row],[Age]]&lt;=65,"51-65","65+"))))</f>
        <v>36-50</v>
      </c>
    </row>
    <row r="786" spans="1:19" x14ac:dyDescent="0.3">
      <c r="A786" s="3" t="s">
        <v>2397</v>
      </c>
      <c r="B786" s="3">
        <v>19</v>
      </c>
      <c r="C786" s="3" t="s">
        <v>16</v>
      </c>
      <c r="D786" s="3" t="s">
        <v>122</v>
      </c>
      <c r="E786" s="3" t="s">
        <v>43</v>
      </c>
      <c r="F786" s="4">
        <v>44473</v>
      </c>
      <c r="G786" s="3" t="s">
        <v>2398</v>
      </c>
      <c r="H786" s="3" t="s">
        <v>2399</v>
      </c>
      <c r="I786" s="3" t="s">
        <v>65</v>
      </c>
      <c r="J786" s="5">
        <v>23743.098285665099</v>
      </c>
      <c r="K786" s="3">
        <v>171</v>
      </c>
      <c r="L786" s="3" t="s">
        <v>31</v>
      </c>
      <c r="M786" s="4">
        <v>44482</v>
      </c>
      <c r="N786" s="3" t="s">
        <v>40</v>
      </c>
      <c r="O786" s="3" t="s">
        <v>33</v>
      </c>
      <c r="P786" s="3" t="str">
        <f>IF(Table1[[#This Row],[Billing Amount]]&lt;5000,"Low",IF(Table1[[#This Row],[Billing Amount]]&lt;=15000,"Medium","High"))</f>
        <v>High</v>
      </c>
      <c r="Q786" s="3" t="str">
        <f>IF(Table1[[#This Row],[Discharge Date]]="Yes","Discharged","Under Treatment")</f>
        <v>Under Treatment</v>
      </c>
      <c r="R786" s="3" t="str">
        <f>IF(Table1[[#This Row],[Test Results]]&gt;120,"High Risk","Normal")</f>
        <v>High Risk</v>
      </c>
      <c r="S786" s="3" t="str">
        <f>IF(Table1[[#This Row],[Age]]&lt;=18,"0-18",IF(Table1[[#This Row],[Age]]&lt;=35,"19-35",IF(Table1[[#This Row],[Age]]&lt;=50,"36-50",IF(Table1[[#This Row],[Age]]&lt;=65,"51-65","65+"))))</f>
        <v>19-35</v>
      </c>
    </row>
    <row r="787" spans="1:19" x14ac:dyDescent="0.3">
      <c r="A787" s="3" t="s">
        <v>2401</v>
      </c>
      <c r="B787" s="3">
        <v>50</v>
      </c>
      <c r="C787" s="3" t="s">
        <v>35</v>
      </c>
      <c r="D787" s="3" t="s">
        <v>36</v>
      </c>
      <c r="E787" s="3" t="s">
        <v>76</v>
      </c>
      <c r="F787" s="4">
        <v>45056</v>
      </c>
      <c r="G787" s="3" t="s">
        <v>2402</v>
      </c>
      <c r="H787" s="3" t="s">
        <v>2403</v>
      </c>
      <c r="I787" s="3" t="s">
        <v>21</v>
      </c>
      <c r="J787" s="5">
        <v>22823.924378214899</v>
      </c>
      <c r="K787" s="3">
        <v>262</v>
      </c>
      <c r="L787" s="3" t="s">
        <v>31</v>
      </c>
      <c r="M787" s="4">
        <v>45081</v>
      </c>
      <c r="N787" s="3" t="s">
        <v>32</v>
      </c>
      <c r="O787" s="3" t="s">
        <v>33</v>
      </c>
      <c r="P787" s="3" t="str">
        <f>IF(Table1[[#This Row],[Billing Amount]]&lt;5000,"Low",IF(Table1[[#This Row],[Billing Amount]]&lt;=15000,"Medium","High"))</f>
        <v>High</v>
      </c>
      <c r="Q787" s="3" t="str">
        <f>IF(Table1[[#This Row],[Discharge Date]]="Yes","Discharged","Under Treatment")</f>
        <v>Under Treatment</v>
      </c>
      <c r="R787" s="3" t="str">
        <f>IF(Table1[[#This Row],[Test Results]]&gt;120,"High Risk","Normal")</f>
        <v>High Risk</v>
      </c>
      <c r="S787" s="3" t="str">
        <f>IF(Table1[[#This Row],[Age]]&lt;=18,"0-18",IF(Table1[[#This Row],[Age]]&lt;=35,"19-35",IF(Table1[[#This Row],[Age]]&lt;=50,"36-50",IF(Table1[[#This Row],[Age]]&lt;=65,"51-65","65+"))))</f>
        <v>36-50</v>
      </c>
    </row>
    <row r="788" spans="1:19" x14ac:dyDescent="0.3">
      <c r="A788" s="3" t="s">
        <v>2405</v>
      </c>
      <c r="B788" s="3">
        <v>50</v>
      </c>
      <c r="C788" s="3" t="s">
        <v>35</v>
      </c>
      <c r="D788" s="3" t="s">
        <v>59</v>
      </c>
      <c r="E788" s="3" t="s">
        <v>76</v>
      </c>
      <c r="F788" s="4">
        <v>43912</v>
      </c>
      <c r="G788" s="3" t="s">
        <v>2406</v>
      </c>
      <c r="H788" s="3" t="s">
        <v>2407</v>
      </c>
      <c r="I788" s="3" t="s">
        <v>21</v>
      </c>
      <c r="J788" s="5">
        <v>20831.1359507017</v>
      </c>
      <c r="K788" s="3">
        <v>353</v>
      </c>
      <c r="L788" s="3" t="s">
        <v>31</v>
      </c>
      <c r="M788" s="4">
        <v>43922</v>
      </c>
      <c r="N788" s="3" t="s">
        <v>23</v>
      </c>
      <c r="O788" s="3" t="s">
        <v>33</v>
      </c>
      <c r="P788" s="3" t="str">
        <f>IF(Table1[[#This Row],[Billing Amount]]&lt;5000,"Low",IF(Table1[[#This Row],[Billing Amount]]&lt;=15000,"Medium","High"))</f>
        <v>High</v>
      </c>
      <c r="Q788" s="3" t="str">
        <f>IF(Table1[[#This Row],[Discharge Date]]="Yes","Discharged","Under Treatment")</f>
        <v>Under Treatment</v>
      </c>
      <c r="R788" s="3" t="str">
        <f>IF(Table1[[#This Row],[Test Results]]&gt;120,"High Risk","Normal")</f>
        <v>High Risk</v>
      </c>
      <c r="S788" s="3" t="str">
        <f>IF(Table1[[#This Row],[Age]]&lt;=18,"0-18",IF(Table1[[#This Row],[Age]]&lt;=35,"19-35",IF(Table1[[#This Row],[Age]]&lt;=50,"36-50",IF(Table1[[#This Row],[Age]]&lt;=65,"51-65","65+"))))</f>
        <v>36-50</v>
      </c>
    </row>
    <row r="789" spans="1:19" x14ac:dyDescent="0.3">
      <c r="A789" s="3" t="s">
        <v>2408</v>
      </c>
      <c r="B789" s="3">
        <v>32</v>
      </c>
      <c r="C789" s="3" t="s">
        <v>35</v>
      </c>
      <c r="D789" s="3" t="s">
        <v>42</v>
      </c>
      <c r="E789" s="3" t="s">
        <v>54</v>
      </c>
      <c r="F789" s="4">
        <v>44215</v>
      </c>
      <c r="G789" s="3" t="s">
        <v>2409</v>
      </c>
      <c r="H789" s="3" t="s">
        <v>2410</v>
      </c>
      <c r="I789" s="3" t="s">
        <v>21</v>
      </c>
      <c r="J789" s="5">
        <v>29831.5157390934</v>
      </c>
      <c r="K789" s="3">
        <v>281</v>
      </c>
      <c r="L789" s="3" t="s">
        <v>46</v>
      </c>
      <c r="M789" s="4">
        <v>44232</v>
      </c>
      <c r="N789" s="3" t="s">
        <v>79</v>
      </c>
      <c r="O789" s="3" t="s">
        <v>24</v>
      </c>
      <c r="P789" s="3" t="str">
        <f>IF(Table1[[#This Row],[Billing Amount]]&lt;5000,"Low",IF(Table1[[#This Row],[Billing Amount]]&lt;=15000,"Medium","High"))</f>
        <v>High</v>
      </c>
      <c r="Q789" s="3" t="str">
        <f>IF(Table1[[#This Row],[Discharge Date]]="Yes","Discharged","Under Treatment")</f>
        <v>Under Treatment</v>
      </c>
      <c r="R789" s="3" t="str">
        <f>IF(Table1[[#This Row],[Test Results]]&gt;120,"High Risk","Normal")</f>
        <v>High Risk</v>
      </c>
      <c r="S789" s="3" t="str">
        <f>IF(Table1[[#This Row],[Age]]&lt;=18,"0-18",IF(Table1[[#This Row],[Age]]&lt;=35,"19-35",IF(Table1[[#This Row],[Age]]&lt;=50,"36-50",IF(Table1[[#This Row],[Age]]&lt;=65,"51-65","65+"))))</f>
        <v>19-35</v>
      </c>
    </row>
    <row r="790" spans="1:19" x14ac:dyDescent="0.3">
      <c r="A790" s="3" t="s">
        <v>2411</v>
      </c>
      <c r="B790" s="3">
        <v>58</v>
      </c>
      <c r="C790" s="3" t="s">
        <v>16</v>
      </c>
      <c r="D790" s="3" t="s">
        <v>36</v>
      </c>
      <c r="E790" s="3" t="s">
        <v>43</v>
      </c>
      <c r="F790" s="4">
        <v>45011</v>
      </c>
      <c r="G790" s="3" t="s">
        <v>2412</v>
      </c>
      <c r="H790" s="3" t="s">
        <v>2413</v>
      </c>
      <c r="I790" s="3" t="s">
        <v>39</v>
      </c>
      <c r="J790" s="5">
        <v>30143.301177121299</v>
      </c>
      <c r="K790" s="3">
        <v>459</v>
      </c>
      <c r="L790" s="3" t="s">
        <v>22</v>
      </c>
      <c r="M790" s="4">
        <v>45021</v>
      </c>
      <c r="N790" s="3" t="s">
        <v>32</v>
      </c>
      <c r="O790" s="3" t="s">
        <v>24</v>
      </c>
      <c r="P790" s="3" t="str">
        <f>IF(Table1[[#This Row],[Billing Amount]]&lt;5000,"Low",IF(Table1[[#This Row],[Billing Amount]]&lt;=15000,"Medium","High"))</f>
        <v>High</v>
      </c>
      <c r="Q790" s="3" t="str">
        <f>IF(Table1[[#This Row],[Discharge Date]]="Yes","Discharged","Under Treatment")</f>
        <v>Under Treatment</v>
      </c>
      <c r="R790" s="3" t="str">
        <f>IF(Table1[[#This Row],[Test Results]]&gt;120,"High Risk","Normal")</f>
        <v>High Risk</v>
      </c>
      <c r="S790" s="3" t="str">
        <f>IF(Table1[[#This Row],[Age]]&lt;=18,"0-18",IF(Table1[[#This Row],[Age]]&lt;=35,"19-35",IF(Table1[[#This Row],[Age]]&lt;=50,"36-50",IF(Table1[[#This Row],[Age]]&lt;=65,"51-65","65+"))))</f>
        <v>51-65</v>
      </c>
    </row>
    <row r="791" spans="1:19" x14ac:dyDescent="0.3">
      <c r="A791" s="3" t="s">
        <v>2414</v>
      </c>
      <c r="B791" s="3">
        <v>67</v>
      </c>
      <c r="C791" s="3" t="s">
        <v>35</v>
      </c>
      <c r="D791" s="3" t="s">
        <v>36</v>
      </c>
      <c r="E791" s="3" t="s">
        <v>43</v>
      </c>
      <c r="F791" s="4">
        <v>44832</v>
      </c>
      <c r="G791" s="3" t="s">
        <v>2415</v>
      </c>
      <c r="H791" s="3" t="s">
        <v>2416</v>
      </c>
      <c r="I791" s="3" t="s">
        <v>39</v>
      </c>
      <c r="J791" s="5">
        <v>34555.1716647223</v>
      </c>
      <c r="K791" s="3">
        <v>317</v>
      </c>
      <c r="L791" s="3" t="s">
        <v>31</v>
      </c>
      <c r="M791" s="4">
        <v>44850</v>
      </c>
      <c r="N791" s="3" t="s">
        <v>40</v>
      </c>
      <c r="O791" s="3" t="s">
        <v>24</v>
      </c>
      <c r="P791" s="3" t="str">
        <f>IF(Table1[[#This Row],[Billing Amount]]&lt;5000,"Low",IF(Table1[[#This Row],[Billing Amount]]&lt;=15000,"Medium","High"))</f>
        <v>High</v>
      </c>
      <c r="Q791" s="3" t="str">
        <f>IF(Table1[[#This Row],[Discharge Date]]="Yes","Discharged","Under Treatment")</f>
        <v>Under Treatment</v>
      </c>
      <c r="R791" s="3" t="str">
        <f>IF(Table1[[#This Row],[Test Results]]&gt;120,"High Risk","Normal")</f>
        <v>High Risk</v>
      </c>
      <c r="S791" s="3" t="str">
        <f>IF(Table1[[#This Row],[Age]]&lt;=18,"0-18",IF(Table1[[#This Row],[Age]]&lt;=35,"19-35",IF(Table1[[#This Row],[Age]]&lt;=50,"36-50",IF(Table1[[#This Row],[Age]]&lt;=65,"51-65","65+"))))</f>
        <v>65+</v>
      </c>
    </row>
    <row r="792" spans="1:19" x14ac:dyDescent="0.3">
      <c r="A792" s="3" t="s">
        <v>2417</v>
      </c>
      <c r="B792" s="3">
        <v>59</v>
      </c>
      <c r="C792" s="3" t="s">
        <v>16</v>
      </c>
      <c r="D792" s="3" t="s">
        <v>59</v>
      </c>
      <c r="E792" s="3" t="s">
        <v>18</v>
      </c>
      <c r="F792" s="4">
        <v>43758</v>
      </c>
      <c r="G792" s="3" t="s">
        <v>2418</v>
      </c>
      <c r="H792" s="3" t="s">
        <v>2419</v>
      </c>
      <c r="I792" s="3" t="s">
        <v>65</v>
      </c>
      <c r="J792" s="5">
        <v>3915.2296180693202</v>
      </c>
      <c r="K792" s="3">
        <v>346</v>
      </c>
      <c r="L792" s="3" t="s">
        <v>46</v>
      </c>
      <c r="M792" s="4">
        <v>43776</v>
      </c>
      <c r="N792" s="3" t="s">
        <v>52</v>
      </c>
      <c r="O792" s="3" t="s">
        <v>47</v>
      </c>
      <c r="P792" s="3" t="str">
        <f>IF(Table1[[#This Row],[Billing Amount]]&lt;5000,"Low",IF(Table1[[#This Row],[Billing Amount]]&lt;=15000,"Medium","High"))</f>
        <v>Low</v>
      </c>
      <c r="Q792" s="3" t="str">
        <f>IF(Table1[[#This Row],[Discharge Date]]="Yes","Discharged","Under Treatment")</f>
        <v>Under Treatment</v>
      </c>
      <c r="R792" s="3" t="str">
        <f>IF(Table1[[#This Row],[Test Results]]&gt;120,"High Risk","Normal")</f>
        <v>High Risk</v>
      </c>
      <c r="S792" s="3" t="str">
        <f>IF(Table1[[#This Row],[Age]]&lt;=18,"0-18",IF(Table1[[#This Row],[Age]]&lt;=35,"19-35",IF(Table1[[#This Row],[Age]]&lt;=50,"36-50",IF(Table1[[#This Row],[Age]]&lt;=65,"51-65","65+"))))</f>
        <v>51-65</v>
      </c>
    </row>
    <row r="793" spans="1:19" x14ac:dyDescent="0.3">
      <c r="A793" s="3" t="s">
        <v>2420</v>
      </c>
      <c r="B793" s="3">
        <v>37</v>
      </c>
      <c r="C793" s="3" t="s">
        <v>16</v>
      </c>
      <c r="D793" s="3" t="s">
        <v>103</v>
      </c>
      <c r="E793" s="3" t="s">
        <v>27</v>
      </c>
      <c r="F793" s="4">
        <v>43909</v>
      </c>
      <c r="G793" s="3" t="s">
        <v>2421</v>
      </c>
      <c r="H793" s="3" t="s">
        <v>2422</v>
      </c>
      <c r="I793" s="3" t="s">
        <v>65</v>
      </c>
      <c r="J793" s="5">
        <v>6709.7553748036598</v>
      </c>
      <c r="K793" s="3">
        <v>362</v>
      </c>
      <c r="L793" s="3" t="s">
        <v>46</v>
      </c>
      <c r="M793" s="4">
        <v>43912</v>
      </c>
      <c r="N793" s="3" t="s">
        <v>40</v>
      </c>
      <c r="O793" s="3" t="s">
        <v>47</v>
      </c>
      <c r="P793" s="3" t="str">
        <f>IF(Table1[[#This Row],[Billing Amount]]&lt;5000,"Low",IF(Table1[[#This Row],[Billing Amount]]&lt;=15000,"Medium","High"))</f>
        <v>Medium</v>
      </c>
      <c r="Q793" s="3" t="str">
        <f>IF(Table1[[#This Row],[Discharge Date]]="Yes","Discharged","Under Treatment")</f>
        <v>Under Treatment</v>
      </c>
      <c r="R793" s="3" t="str">
        <f>IF(Table1[[#This Row],[Test Results]]&gt;120,"High Risk","Normal")</f>
        <v>High Risk</v>
      </c>
      <c r="S793" s="3" t="str">
        <f>IF(Table1[[#This Row],[Age]]&lt;=18,"0-18",IF(Table1[[#This Row],[Age]]&lt;=35,"19-35",IF(Table1[[#This Row],[Age]]&lt;=50,"36-50",IF(Table1[[#This Row],[Age]]&lt;=65,"51-65","65+"))))</f>
        <v>36-50</v>
      </c>
    </row>
    <row r="794" spans="1:19" x14ac:dyDescent="0.3">
      <c r="A794" s="3" t="s">
        <v>2423</v>
      </c>
      <c r="B794" s="3">
        <v>68</v>
      </c>
      <c r="C794" s="3" t="s">
        <v>16</v>
      </c>
      <c r="D794" s="3" t="s">
        <v>17</v>
      </c>
      <c r="E794" s="3" t="s">
        <v>93</v>
      </c>
      <c r="F794" s="4">
        <v>44375</v>
      </c>
      <c r="G794" s="3" t="s">
        <v>2424</v>
      </c>
      <c r="H794" s="3" t="s">
        <v>2425</v>
      </c>
      <c r="I794" s="3" t="s">
        <v>65</v>
      </c>
      <c r="J794" s="5">
        <v>36247.043915221599</v>
      </c>
      <c r="K794" s="3">
        <v>313</v>
      </c>
      <c r="L794" s="3" t="s">
        <v>31</v>
      </c>
      <c r="M794" s="4">
        <v>44404</v>
      </c>
      <c r="N794" s="3" t="s">
        <v>32</v>
      </c>
      <c r="O794" s="3" t="s">
        <v>33</v>
      </c>
      <c r="P794" s="3" t="str">
        <f>IF(Table1[[#This Row],[Billing Amount]]&lt;5000,"Low",IF(Table1[[#This Row],[Billing Amount]]&lt;=15000,"Medium","High"))</f>
        <v>High</v>
      </c>
      <c r="Q794" s="3" t="str">
        <f>IF(Table1[[#This Row],[Discharge Date]]="Yes","Discharged","Under Treatment")</f>
        <v>Under Treatment</v>
      </c>
      <c r="R794" s="3" t="str">
        <f>IF(Table1[[#This Row],[Test Results]]&gt;120,"High Risk","Normal")</f>
        <v>High Risk</v>
      </c>
      <c r="S794" s="3" t="str">
        <f>IF(Table1[[#This Row],[Age]]&lt;=18,"0-18",IF(Table1[[#This Row],[Age]]&lt;=35,"19-35",IF(Table1[[#This Row],[Age]]&lt;=50,"36-50",IF(Table1[[#This Row],[Age]]&lt;=65,"51-65","65+"))))</f>
        <v>65+</v>
      </c>
    </row>
    <row r="795" spans="1:19" x14ac:dyDescent="0.3">
      <c r="A795" s="3" t="s">
        <v>2426</v>
      </c>
      <c r="B795" s="3">
        <v>51</v>
      </c>
      <c r="C795" s="3" t="s">
        <v>35</v>
      </c>
      <c r="D795" s="3" t="s">
        <v>36</v>
      </c>
      <c r="E795" s="3" t="s">
        <v>76</v>
      </c>
      <c r="F795" s="4">
        <v>44842</v>
      </c>
      <c r="G795" s="3" t="s">
        <v>2427</v>
      </c>
      <c r="H795" s="3" t="s">
        <v>2428</v>
      </c>
      <c r="I795" s="3" t="s">
        <v>57</v>
      </c>
      <c r="J795" s="5">
        <v>24786.218020917899</v>
      </c>
      <c r="K795" s="3">
        <v>154</v>
      </c>
      <c r="L795" s="3" t="s">
        <v>46</v>
      </c>
      <c r="M795" s="4">
        <v>44870</v>
      </c>
      <c r="N795" s="3" t="s">
        <v>40</v>
      </c>
      <c r="O795" s="3" t="s">
        <v>47</v>
      </c>
      <c r="P795" s="3" t="str">
        <f>IF(Table1[[#This Row],[Billing Amount]]&lt;5000,"Low",IF(Table1[[#This Row],[Billing Amount]]&lt;=15000,"Medium","High"))</f>
        <v>High</v>
      </c>
      <c r="Q795" s="3" t="str">
        <f>IF(Table1[[#This Row],[Discharge Date]]="Yes","Discharged","Under Treatment")</f>
        <v>Under Treatment</v>
      </c>
      <c r="R795" s="3" t="str">
        <f>IF(Table1[[#This Row],[Test Results]]&gt;120,"High Risk","Normal")</f>
        <v>High Risk</v>
      </c>
      <c r="S795" s="3" t="str">
        <f>IF(Table1[[#This Row],[Age]]&lt;=18,"0-18",IF(Table1[[#This Row],[Age]]&lt;=35,"19-35",IF(Table1[[#This Row],[Age]]&lt;=50,"36-50",IF(Table1[[#This Row],[Age]]&lt;=65,"51-65","65+"))))</f>
        <v>51-65</v>
      </c>
    </row>
    <row r="796" spans="1:19" x14ac:dyDescent="0.3">
      <c r="A796" s="3" t="s">
        <v>2429</v>
      </c>
      <c r="B796" s="3">
        <v>74</v>
      </c>
      <c r="C796" s="3" t="s">
        <v>16</v>
      </c>
      <c r="D796" s="3" t="s">
        <v>17</v>
      </c>
      <c r="E796" s="3" t="s">
        <v>76</v>
      </c>
      <c r="F796" s="4">
        <v>44474</v>
      </c>
      <c r="G796" s="3" t="s">
        <v>2430</v>
      </c>
      <c r="H796" s="3" t="s">
        <v>2431</v>
      </c>
      <c r="I796" s="3" t="s">
        <v>21</v>
      </c>
      <c r="J796" s="5">
        <v>28652.039026864601</v>
      </c>
      <c r="K796" s="3">
        <v>377</v>
      </c>
      <c r="L796" s="3" t="s">
        <v>22</v>
      </c>
      <c r="M796" s="4">
        <v>44495</v>
      </c>
      <c r="N796" s="3" t="s">
        <v>40</v>
      </c>
      <c r="O796" s="3" t="s">
        <v>47</v>
      </c>
      <c r="P796" s="3" t="str">
        <f>IF(Table1[[#This Row],[Billing Amount]]&lt;5000,"Low",IF(Table1[[#This Row],[Billing Amount]]&lt;=15000,"Medium","High"))</f>
        <v>High</v>
      </c>
      <c r="Q796" s="3" t="str">
        <f>IF(Table1[[#This Row],[Discharge Date]]="Yes","Discharged","Under Treatment")</f>
        <v>Under Treatment</v>
      </c>
      <c r="R796" s="3" t="str">
        <f>IF(Table1[[#This Row],[Test Results]]&gt;120,"High Risk","Normal")</f>
        <v>High Risk</v>
      </c>
      <c r="S796" s="3" t="str">
        <f>IF(Table1[[#This Row],[Age]]&lt;=18,"0-18",IF(Table1[[#This Row],[Age]]&lt;=35,"19-35",IF(Table1[[#This Row],[Age]]&lt;=50,"36-50",IF(Table1[[#This Row],[Age]]&lt;=65,"51-65","65+"))))</f>
        <v>65+</v>
      </c>
    </row>
    <row r="797" spans="1:19" x14ac:dyDescent="0.3">
      <c r="A797" s="3" t="s">
        <v>2432</v>
      </c>
      <c r="B797" s="3">
        <v>81</v>
      </c>
      <c r="C797" s="3" t="s">
        <v>35</v>
      </c>
      <c r="D797" s="3" t="s">
        <v>49</v>
      </c>
      <c r="E797" s="3" t="s">
        <v>76</v>
      </c>
      <c r="F797" s="4">
        <v>44972</v>
      </c>
      <c r="G797" s="3" t="s">
        <v>2433</v>
      </c>
      <c r="H797" s="3" t="s">
        <v>2434</v>
      </c>
      <c r="I797" s="3" t="s">
        <v>57</v>
      </c>
      <c r="J797" s="5">
        <v>9824.8407657075804</v>
      </c>
      <c r="K797" s="3">
        <v>188</v>
      </c>
      <c r="L797" s="3" t="s">
        <v>31</v>
      </c>
      <c r="M797" s="4">
        <v>44979</v>
      </c>
      <c r="N797" s="3" t="s">
        <v>32</v>
      </c>
      <c r="O797" s="3" t="s">
        <v>47</v>
      </c>
      <c r="P797" s="3" t="str">
        <f>IF(Table1[[#This Row],[Billing Amount]]&lt;5000,"Low",IF(Table1[[#This Row],[Billing Amount]]&lt;=15000,"Medium","High"))</f>
        <v>Medium</v>
      </c>
      <c r="Q797" s="3" t="str">
        <f>IF(Table1[[#This Row],[Discharge Date]]="Yes","Discharged","Under Treatment")</f>
        <v>Under Treatment</v>
      </c>
      <c r="R797" s="3" t="str">
        <f>IF(Table1[[#This Row],[Test Results]]&gt;120,"High Risk","Normal")</f>
        <v>High Risk</v>
      </c>
      <c r="S797" s="3" t="str">
        <f>IF(Table1[[#This Row],[Age]]&lt;=18,"0-18",IF(Table1[[#This Row],[Age]]&lt;=35,"19-35",IF(Table1[[#This Row],[Age]]&lt;=50,"36-50",IF(Table1[[#This Row],[Age]]&lt;=65,"51-65","65+"))))</f>
        <v>65+</v>
      </c>
    </row>
    <row r="798" spans="1:19" x14ac:dyDescent="0.3">
      <c r="A798" s="3" t="s">
        <v>2435</v>
      </c>
      <c r="B798" s="3">
        <v>60</v>
      </c>
      <c r="C798" s="3" t="s">
        <v>16</v>
      </c>
      <c r="D798" s="3" t="s">
        <v>122</v>
      </c>
      <c r="E798" s="3" t="s">
        <v>43</v>
      </c>
      <c r="F798" s="4">
        <v>44220</v>
      </c>
      <c r="G798" s="3" t="s">
        <v>2436</v>
      </c>
      <c r="H798" s="3" t="s">
        <v>2437</v>
      </c>
      <c r="I798" s="3" t="s">
        <v>57</v>
      </c>
      <c r="J798" s="5">
        <v>3763.7724274942598</v>
      </c>
      <c r="K798" s="3">
        <v>180</v>
      </c>
      <c r="L798" s="3" t="s">
        <v>22</v>
      </c>
      <c r="M798" s="4">
        <v>44238</v>
      </c>
      <c r="N798" s="3" t="s">
        <v>23</v>
      </c>
      <c r="O798" s="3" t="s">
        <v>47</v>
      </c>
      <c r="P798" s="3" t="str">
        <f>IF(Table1[[#This Row],[Billing Amount]]&lt;5000,"Low",IF(Table1[[#This Row],[Billing Amount]]&lt;=15000,"Medium","High"))</f>
        <v>Low</v>
      </c>
      <c r="Q798" s="3" t="str">
        <f>IF(Table1[[#This Row],[Discharge Date]]="Yes","Discharged","Under Treatment")</f>
        <v>Under Treatment</v>
      </c>
      <c r="R798" s="3" t="str">
        <f>IF(Table1[[#This Row],[Test Results]]&gt;120,"High Risk","Normal")</f>
        <v>High Risk</v>
      </c>
      <c r="S798" s="3" t="str">
        <f>IF(Table1[[#This Row],[Age]]&lt;=18,"0-18",IF(Table1[[#This Row],[Age]]&lt;=35,"19-35",IF(Table1[[#This Row],[Age]]&lt;=50,"36-50",IF(Table1[[#This Row],[Age]]&lt;=65,"51-65","65+"))))</f>
        <v>51-65</v>
      </c>
    </row>
    <row r="799" spans="1:19" x14ac:dyDescent="0.3">
      <c r="A799" s="3" t="s">
        <v>2438</v>
      </c>
      <c r="B799" s="3">
        <v>44</v>
      </c>
      <c r="C799" s="3" t="s">
        <v>16</v>
      </c>
      <c r="D799" s="3" t="s">
        <v>26</v>
      </c>
      <c r="E799" s="3" t="s">
        <v>76</v>
      </c>
      <c r="F799" s="4">
        <v>44583</v>
      </c>
      <c r="G799" s="3" t="s">
        <v>2439</v>
      </c>
      <c r="H799" s="3" t="s">
        <v>2440</v>
      </c>
      <c r="I799" s="3" t="s">
        <v>57</v>
      </c>
      <c r="J799" s="5">
        <v>31043.206335007199</v>
      </c>
      <c r="K799" s="3">
        <v>458</v>
      </c>
      <c r="L799" s="3" t="s">
        <v>22</v>
      </c>
      <c r="M799" s="4">
        <v>44601</v>
      </c>
      <c r="N799" s="3" t="s">
        <v>32</v>
      </c>
      <c r="O799" s="3" t="s">
        <v>33</v>
      </c>
      <c r="P799" s="3" t="str">
        <f>IF(Table1[[#This Row],[Billing Amount]]&lt;5000,"Low",IF(Table1[[#This Row],[Billing Amount]]&lt;=15000,"Medium","High"))</f>
        <v>High</v>
      </c>
      <c r="Q799" s="3" t="str">
        <f>IF(Table1[[#This Row],[Discharge Date]]="Yes","Discharged","Under Treatment")</f>
        <v>Under Treatment</v>
      </c>
      <c r="R799" s="3" t="str">
        <f>IF(Table1[[#This Row],[Test Results]]&gt;120,"High Risk","Normal")</f>
        <v>High Risk</v>
      </c>
      <c r="S799" s="3" t="str">
        <f>IF(Table1[[#This Row],[Age]]&lt;=18,"0-18",IF(Table1[[#This Row],[Age]]&lt;=35,"19-35",IF(Table1[[#This Row],[Age]]&lt;=50,"36-50",IF(Table1[[#This Row],[Age]]&lt;=65,"51-65","65+"))))</f>
        <v>36-50</v>
      </c>
    </row>
    <row r="800" spans="1:19" x14ac:dyDescent="0.3">
      <c r="A800" s="3" t="s">
        <v>2441</v>
      </c>
      <c r="B800" s="3">
        <v>33</v>
      </c>
      <c r="C800" s="3" t="s">
        <v>35</v>
      </c>
      <c r="D800" s="3" t="s">
        <v>59</v>
      </c>
      <c r="E800" s="3" t="s">
        <v>27</v>
      </c>
      <c r="F800" s="4">
        <v>44987</v>
      </c>
      <c r="G800" s="3" t="s">
        <v>2442</v>
      </c>
      <c r="H800" s="3" t="s">
        <v>2443</v>
      </c>
      <c r="I800" s="3" t="s">
        <v>39</v>
      </c>
      <c r="J800" s="5">
        <v>14033.5452110932</v>
      </c>
      <c r="K800" s="3">
        <v>471</v>
      </c>
      <c r="L800" s="3" t="s">
        <v>31</v>
      </c>
      <c r="M800" s="4">
        <v>44988</v>
      </c>
      <c r="N800" s="3" t="s">
        <v>32</v>
      </c>
      <c r="O800" s="3" t="s">
        <v>47</v>
      </c>
      <c r="P800" s="3" t="str">
        <f>IF(Table1[[#This Row],[Billing Amount]]&lt;5000,"Low",IF(Table1[[#This Row],[Billing Amount]]&lt;=15000,"Medium","High"))</f>
        <v>Medium</v>
      </c>
      <c r="Q800" s="3" t="str">
        <f>IF(Table1[[#This Row],[Discharge Date]]="Yes","Discharged","Under Treatment")</f>
        <v>Under Treatment</v>
      </c>
      <c r="R800" s="3" t="str">
        <f>IF(Table1[[#This Row],[Test Results]]&gt;120,"High Risk","Normal")</f>
        <v>High Risk</v>
      </c>
      <c r="S800" s="3" t="str">
        <f>IF(Table1[[#This Row],[Age]]&lt;=18,"0-18",IF(Table1[[#This Row],[Age]]&lt;=35,"19-35",IF(Table1[[#This Row],[Age]]&lt;=50,"36-50",IF(Table1[[#This Row],[Age]]&lt;=65,"51-65","65+"))))</f>
        <v>19-35</v>
      </c>
    </row>
    <row r="801" spans="1:19" x14ac:dyDescent="0.3">
      <c r="A801" s="3" t="s">
        <v>2444</v>
      </c>
      <c r="B801" s="3">
        <v>46</v>
      </c>
      <c r="C801" s="3" t="s">
        <v>16</v>
      </c>
      <c r="D801" s="3" t="s">
        <v>17</v>
      </c>
      <c r="E801" s="3" t="s">
        <v>54</v>
      </c>
      <c r="F801" s="4">
        <v>44601</v>
      </c>
      <c r="G801" s="3" t="s">
        <v>2445</v>
      </c>
      <c r="H801" s="3" t="s">
        <v>2446</v>
      </c>
      <c r="I801" s="3" t="s">
        <v>21</v>
      </c>
      <c r="J801" s="5">
        <v>46467.770805891902</v>
      </c>
      <c r="K801" s="3">
        <v>433</v>
      </c>
      <c r="L801" s="3" t="s">
        <v>22</v>
      </c>
      <c r="M801" s="4">
        <v>44608</v>
      </c>
      <c r="N801" s="3" t="s">
        <v>23</v>
      </c>
      <c r="O801" s="3" t="s">
        <v>33</v>
      </c>
      <c r="P801" s="3" t="str">
        <f>IF(Table1[[#This Row],[Billing Amount]]&lt;5000,"Low",IF(Table1[[#This Row],[Billing Amount]]&lt;=15000,"Medium","High"))</f>
        <v>High</v>
      </c>
      <c r="Q801" s="3" t="str">
        <f>IF(Table1[[#This Row],[Discharge Date]]="Yes","Discharged","Under Treatment")</f>
        <v>Under Treatment</v>
      </c>
      <c r="R801" s="3" t="str">
        <f>IF(Table1[[#This Row],[Test Results]]&gt;120,"High Risk","Normal")</f>
        <v>High Risk</v>
      </c>
      <c r="S801" s="3" t="str">
        <f>IF(Table1[[#This Row],[Age]]&lt;=18,"0-18",IF(Table1[[#This Row],[Age]]&lt;=35,"19-35",IF(Table1[[#This Row],[Age]]&lt;=50,"36-50",IF(Table1[[#This Row],[Age]]&lt;=65,"51-65","65+"))))</f>
        <v>36-50</v>
      </c>
    </row>
    <row r="802" spans="1:19" x14ac:dyDescent="0.3">
      <c r="A802" s="3" t="s">
        <v>2447</v>
      </c>
      <c r="B802" s="3">
        <v>51</v>
      </c>
      <c r="C802" s="3" t="s">
        <v>35</v>
      </c>
      <c r="D802" s="3" t="s">
        <v>103</v>
      </c>
      <c r="E802" s="3" t="s">
        <v>76</v>
      </c>
      <c r="F802" s="4">
        <v>45225</v>
      </c>
      <c r="G802" s="3" t="s">
        <v>2448</v>
      </c>
      <c r="H802" s="3" t="s">
        <v>2449</v>
      </c>
      <c r="I802" s="3" t="s">
        <v>57</v>
      </c>
      <c r="J802" s="5">
        <v>19095.524506596201</v>
      </c>
      <c r="K802" s="3">
        <v>360</v>
      </c>
      <c r="L802" s="3" t="s">
        <v>31</v>
      </c>
      <c r="M802" s="4">
        <v>45251</v>
      </c>
      <c r="N802" s="3" t="s">
        <v>52</v>
      </c>
      <c r="O802" s="3" t="s">
        <v>33</v>
      </c>
      <c r="P802" s="3" t="str">
        <f>IF(Table1[[#This Row],[Billing Amount]]&lt;5000,"Low",IF(Table1[[#This Row],[Billing Amount]]&lt;=15000,"Medium","High"))</f>
        <v>High</v>
      </c>
      <c r="Q802" s="3" t="str">
        <f>IF(Table1[[#This Row],[Discharge Date]]="Yes","Discharged","Under Treatment")</f>
        <v>Under Treatment</v>
      </c>
      <c r="R802" s="3" t="str">
        <f>IF(Table1[[#This Row],[Test Results]]&gt;120,"High Risk","Normal")</f>
        <v>High Risk</v>
      </c>
      <c r="S802" s="3" t="str">
        <f>IF(Table1[[#This Row],[Age]]&lt;=18,"0-18",IF(Table1[[#This Row],[Age]]&lt;=35,"19-35",IF(Table1[[#This Row],[Age]]&lt;=50,"36-50",IF(Table1[[#This Row],[Age]]&lt;=65,"51-65","65+"))))</f>
        <v>51-65</v>
      </c>
    </row>
    <row r="803" spans="1:19" x14ac:dyDescent="0.3">
      <c r="A803" s="3" t="s">
        <v>2450</v>
      </c>
      <c r="B803" s="3">
        <v>75</v>
      </c>
      <c r="C803" s="3" t="s">
        <v>16</v>
      </c>
      <c r="D803" s="3" t="s">
        <v>42</v>
      </c>
      <c r="E803" s="3" t="s">
        <v>76</v>
      </c>
      <c r="F803" s="4">
        <v>44706</v>
      </c>
      <c r="G803" s="3" t="s">
        <v>2451</v>
      </c>
      <c r="H803" s="3" t="s">
        <v>2452</v>
      </c>
      <c r="I803" s="3" t="s">
        <v>39</v>
      </c>
      <c r="J803" s="5">
        <v>47701.5277026525</v>
      </c>
      <c r="K803" s="3">
        <v>184</v>
      </c>
      <c r="L803" s="3" t="s">
        <v>31</v>
      </c>
      <c r="M803" s="4">
        <v>44731</v>
      </c>
      <c r="N803" s="3" t="s">
        <v>23</v>
      </c>
      <c r="O803" s="3" t="s">
        <v>24</v>
      </c>
      <c r="P803" s="3" t="str">
        <f>IF(Table1[[#This Row],[Billing Amount]]&lt;5000,"Low",IF(Table1[[#This Row],[Billing Amount]]&lt;=15000,"Medium","High"))</f>
        <v>High</v>
      </c>
      <c r="Q803" s="3" t="str">
        <f>IF(Table1[[#This Row],[Discharge Date]]="Yes","Discharged","Under Treatment")</f>
        <v>Under Treatment</v>
      </c>
      <c r="R803" s="3" t="str">
        <f>IF(Table1[[#This Row],[Test Results]]&gt;120,"High Risk","Normal")</f>
        <v>High Risk</v>
      </c>
      <c r="S803" s="3" t="str">
        <f>IF(Table1[[#This Row],[Age]]&lt;=18,"0-18",IF(Table1[[#This Row],[Age]]&lt;=35,"19-35",IF(Table1[[#This Row],[Age]]&lt;=50,"36-50",IF(Table1[[#This Row],[Age]]&lt;=65,"51-65","65+"))))</f>
        <v>65+</v>
      </c>
    </row>
    <row r="804" spans="1:19" x14ac:dyDescent="0.3">
      <c r="A804" s="3" t="s">
        <v>2453</v>
      </c>
      <c r="B804" s="3">
        <v>33</v>
      </c>
      <c r="C804" s="3" t="s">
        <v>35</v>
      </c>
      <c r="D804" s="3" t="s">
        <v>17</v>
      </c>
      <c r="E804" s="3" t="s">
        <v>18</v>
      </c>
      <c r="F804" s="4">
        <v>43677</v>
      </c>
      <c r="G804" s="3" t="s">
        <v>2454</v>
      </c>
      <c r="H804" s="3" t="s">
        <v>2455</v>
      </c>
      <c r="I804" s="3" t="s">
        <v>65</v>
      </c>
      <c r="J804" s="5">
        <v>3311.8741954242801</v>
      </c>
      <c r="K804" s="3">
        <v>448</v>
      </c>
      <c r="L804" s="3" t="s">
        <v>46</v>
      </c>
      <c r="M804" s="4">
        <v>43685</v>
      </c>
      <c r="N804" s="3" t="s">
        <v>40</v>
      </c>
      <c r="O804" s="3" t="s">
        <v>47</v>
      </c>
      <c r="P804" s="3" t="str">
        <f>IF(Table1[[#This Row],[Billing Amount]]&lt;5000,"Low",IF(Table1[[#This Row],[Billing Amount]]&lt;=15000,"Medium","High"))</f>
        <v>Low</v>
      </c>
      <c r="Q804" s="3" t="str">
        <f>IF(Table1[[#This Row],[Discharge Date]]="Yes","Discharged","Under Treatment")</f>
        <v>Under Treatment</v>
      </c>
      <c r="R804" s="3" t="str">
        <f>IF(Table1[[#This Row],[Test Results]]&gt;120,"High Risk","Normal")</f>
        <v>High Risk</v>
      </c>
      <c r="S804" s="3" t="str">
        <f>IF(Table1[[#This Row],[Age]]&lt;=18,"0-18",IF(Table1[[#This Row],[Age]]&lt;=35,"19-35",IF(Table1[[#This Row],[Age]]&lt;=50,"36-50",IF(Table1[[#This Row],[Age]]&lt;=65,"51-65","65+"))))</f>
        <v>19-35</v>
      </c>
    </row>
    <row r="805" spans="1:19" x14ac:dyDescent="0.3">
      <c r="A805" s="3" t="s">
        <v>2456</v>
      </c>
      <c r="B805" s="3">
        <v>45</v>
      </c>
      <c r="C805" s="3" t="s">
        <v>35</v>
      </c>
      <c r="D805" s="3" t="s">
        <v>42</v>
      </c>
      <c r="E805" s="3" t="s">
        <v>43</v>
      </c>
      <c r="F805" s="4">
        <v>44619</v>
      </c>
      <c r="G805" s="3" t="s">
        <v>2457</v>
      </c>
      <c r="H805" s="3" t="s">
        <v>2458</v>
      </c>
      <c r="I805" s="3" t="s">
        <v>65</v>
      </c>
      <c r="J805" s="5">
        <v>3553.8964713686401</v>
      </c>
      <c r="K805" s="3">
        <v>375</v>
      </c>
      <c r="L805" s="3" t="s">
        <v>31</v>
      </c>
      <c r="M805" s="4">
        <v>44623</v>
      </c>
      <c r="N805" s="3" t="s">
        <v>40</v>
      </c>
      <c r="O805" s="3" t="s">
        <v>47</v>
      </c>
      <c r="P805" s="3" t="str">
        <f>IF(Table1[[#This Row],[Billing Amount]]&lt;5000,"Low",IF(Table1[[#This Row],[Billing Amount]]&lt;=15000,"Medium","High"))</f>
        <v>Low</v>
      </c>
      <c r="Q805" s="3" t="str">
        <f>IF(Table1[[#This Row],[Discharge Date]]="Yes","Discharged","Under Treatment")</f>
        <v>Under Treatment</v>
      </c>
      <c r="R805" s="3" t="str">
        <f>IF(Table1[[#This Row],[Test Results]]&gt;120,"High Risk","Normal")</f>
        <v>High Risk</v>
      </c>
      <c r="S805" s="3" t="str">
        <f>IF(Table1[[#This Row],[Age]]&lt;=18,"0-18",IF(Table1[[#This Row],[Age]]&lt;=35,"19-35",IF(Table1[[#This Row],[Age]]&lt;=50,"36-50",IF(Table1[[#This Row],[Age]]&lt;=65,"51-65","65+"))))</f>
        <v>36-50</v>
      </c>
    </row>
    <row r="806" spans="1:19" x14ac:dyDescent="0.3">
      <c r="A806" s="3" t="s">
        <v>2459</v>
      </c>
      <c r="B806" s="3">
        <v>81</v>
      </c>
      <c r="C806" s="3" t="s">
        <v>35</v>
      </c>
      <c r="D806" s="3" t="s">
        <v>49</v>
      </c>
      <c r="E806" s="3" t="s">
        <v>43</v>
      </c>
      <c r="F806" s="4">
        <v>44331</v>
      </c>
      <c r="G806" s="3" t="s">
        <v>2460</v>
      </c>
      <c r="H806" s="3" t="s">
        <v>2461</v>
      </c>
      <c r="I806" s="3" t="s">
        <v>57</v>
      </c>
      <c r="J806" s="5">
        <v>41320.708580069098</v>
      </c>
      <c r="K806" s="3">
        <v>136</v>
      </c>
      <c r="L806" s="3" t="s">
        <v>46</v>
      </c>
      <c r="M806" s="4">
        <v>44347</v>
      </c>
      <c r="N806" s="3" t="s">
        <v>23</v>
      </c>
      <c r="O806" s="3" t="s">
        <v>47</v>
      </c>
      <c r="P806" s="3" t="str">
        <f>IF(Table1[[#This Row],[Billing Amount]]&lt;5000,"Low",IF(Table1[[#This Row],[Billing Amount]]&lt;=15000,"Medium","High"))</f>
        <v>High</v>
      </c>
      <c r="Q806" s="3" t="str">
        <f>IF(Table1[[#This Row],[Discharge Date]]="Yes","Discharged","Under Treatment")</f>
        <v>Under Treatment</v>
      </c>
      <c r="R806" s="3" t="str">
        <f>IF(Table1[[#This Row],[Test Results]]&gt;120,"High Risk","Normal")</f>
        <v>High Risk</v>
      </c>
      <c r="S806" s="3" t="str">
        <f>IF(Table1[[#This Row],[Age]]&lt;=18,"0-18",IF(Table1[[#This Row],[Age]]&lt;=35,"19-35",IF(Table1[[#This Row],[Age]]&lt;=50,"36-50",IF(Table1[[#This Row],[Age]]&lt;=65,"51-65","65+"))))</f>
        <v>65+</v>
      </c>
    </row>
    <row r="807" spans="1:19" x14ac:dyDescent="0.3">
      <c r="A807" s="3" t="s">
        <v>2462</v>
      </c>
      <c r="B807" s="3">
        <v>56</v>
      </c>
      <c r="C807" s="3" t="s">
        <v>35</v>
      </c>
      <c r="D807" s="3" t="s">
        <v>17</v>
      </c>
      <c r="E807" s="3" t="s">
        <v>93</v>
      </c>
      <c r="F807" s="4">
        <v>45134</v>
      </c>
      <c r="G807" s="3" t="s">
        <v>2463</v>
      </c>
      <c r="H807" s="3" t="s">
        <v>2464</v>
      </c>
      <c r="I807" s="3" t="s">
        <v>21</v>
      </c>
      <c r="J807" s="5">
        <v>14150.5115538521</v>
      </c>
      <c r="K807" s="3">
        <v>406</v>
      </c>
      <c r="L807" s="3" t="s">
        <v>46</v>
      </c>
      <c r="M807" s="4">
        <v>45157</v>
      </c>
      <c r="N807" s="3" t="s">
        <v>52</v>
      </c>
      <c r="O807" s="3" t="s">
        <v>47</v>
      </c>
      <c r="P807" s="3" t="str">
        <f>IF(Table1[[#This Row],[Billing Amount]]&lt;5000,"Low",IF(Table1[[#This Row],[Billing Amount]]&lt;=15000,"Medium","High"))</f>
        <v>Medium</v>
      </c>
      <c r="Q807" s="3" t="str">
        <f>IF(Table1[[#This Row],[Discharge Date]]="Yes","Discharged","Under Treatment")</f>
        <v>Under Treatment</v>
      </c>
      <c r="R807" s="3" t="str">
        <f>IF(Table1[[#This Row],[Test Results]]&gt;120,"High Risk","Normal")</f>
        <v>High Risk</v>
      </c>
      <c r="S807" s="3" t="str">
        <f>IF(Table1[[#This Row],[Age]]&lt;=18,"0-18",IF(Table1[[#This Row],[Age]]&lt;=35,"19-35",IF(Table1[[#This Row],[Age]]&lt;=50,"36-50",IF(Table1[[#This Row],[Age]]&lt;=65,"51-65","65+"))))</f>
        <v>51-65</v>
      </c>
    </row>
    <row r="808" spans="1:19" x14ac:dyDescent="0.3">
      <c r="A808" s="3" t="s">
        <v>2465</v>
      </c>
      <c r="B808" s="3">
        <v>75</v>
      </c>
      <c r="C808" s="3" t="s">
        <v>16</v>
      </c>
      <c r="D808" s="3" t="s">
        <v>26</v>
      </c>
      <c r="E808" s="3" t="s">
        <v>93</v>
      </c>
      <c r="F808" s="4">
        <v>44333</v>
      </c>
      <c r="G808" s="3" t="s">
        <v>2466</v>
      </c>
      <c r="H808" s="3" t="s">
        <v>2467</v>
      </c>
      <c r="I808" s="3" t="s">
        <v>65</v>
      </c>
      <c r="J808" s="5">
        <v>47641.699248327197</v>
      </c>
      <c r="K808" s="3">
        <v>187</v>
      </c>
      <c r="L808" s="3" t="s">
        <v>22</v>
      </c>
      <c r="M808" s="4">
        <v>44346</v>
      </c>
      <c r="N808" s="3" t="s">
        <v>23</v>
      </c>
      <c r="O808" s="3" t="s">
        <v>47</v>
      </c>
      <c r="P808" s="3" t="str">
        <f>IF(Table1[[#This Row],[Billing Amount]]&lt;5000,"Low",IF(Table1[[#This Row],[Billing Amount]]&lt;=15000,"Medium","High"))</f>
        <v>High</v>
      </c>
      <c r="Q808" s="3" t="str">
        <f>IF(Table1[[#This Row],[Discharge Date]]="Yes","Discharged","Under Treatment")</f>
        <v>Under Treatment</v>
      </c>
      <c r="R808" s="3" t="str">
        <f>IF(Table1[[#This Row],[Test Results]]&gt;120,"High Risk","Normal")</f>
        <v>High Risk</v>
      </c>
      <c r="S808" s="3" t="str">
        <f>IF(Table1[[#This Row],[Age]]&lt;=18,"0-18",IF(Table1[[#This Row],[Age]]&lt;=35,"19-35",IF(Table1[[#This Row],[Age]]&lt;=50,"36-50",IF(Table1[[#This Row],[Age]]&lt;=65,"51-65","65+"))))</f>
        <v>65+</v>
      </c>
    </row>
    <row r="809" spans="1:19" x14ac:dyDescent="0.3">
      <c r="A809" s="3" t="s">
        <v>2468</v>
      </c>
      <c r="B809" s="3">
        <v>22</v>
      </c>
      <c r="C809" s="3" t="s">
        <v>16</v>
      </c>
      <c r="D809" s="3" t="s">
        <v>26</v>
      </c>
      <c r="E809" s="3" t="s">
        <v>18</v>
      </c>
      <c r="F809" s="4">
        <v>44642</v>
      </c>
      <c r="G809" s="3" t="s">
        <v>2469</v>
      </c>
      <c r="H809" s="3" t="s">
        <v>493</v>
      </c>
      <c r="I809" s="3" t="s">
        <v>39</v>
      </c>
      <c r="J809" s="5">
        <v>4440.4233734396003</v>
      </c>
      <c r="K809" s="3">
        <v>245</v>
      </c>
      <c r="L809" s="3" t="s">
        <v>46</v>
      </c>
      <c r="M809" s="4">
        <v>44652</v>
      </c>
      <c r="N809" s="3" t="s">
        <v>32</v>
      </c>
      <c r="O809" s="3" t="s">
        <v>24</v>
      </c>
      <c r="P809" s="3" t="str">
        <f>IF(Table1[[#This Row],[Billing Amount]]&lt;5000,"Low",IF(Table1[[#This Row],[Billing Amount]]&lt;=15000,"Medium","High"))</f>
        <v>Low</v>
      </c>
      <c r="Q809" s="3" t="str">
        <f>IF(Table1[[#This Row],[Discharge Date]]="Yes","Discharged","Under Treatment")</f>
        <v>Under Treatment</v>
      </c>
      <c r="R809" s="3" t="str">
        <f>IF(Table1[[#This Row],[Test Results]]&gt;120,"High Risk","Normal")</f>
        <v>High Risk</v>
      </c>
      <c r="S809" s="3" t="str">
        <f>IF(Table1[[#This Row],[Age]]&lt;=18,"0-18",IF(Table1[[#This Row],[Age]]&lt;=35,"19-35",IF(Table1[[#This Row],[Age]]&lt;=50,"36-50",IF(Table1[[#This Row],[Age]]&lt;=65,"51-65","65+"))))</f>
        <v>19-35</v>
      </c>
    </row>
    <row r="810" spans="1:19" x14ac:dyDescent="0.3">
      <c r="A810" s="3" t="s">
        <v>2470</v>
      </c>
      <c r="B810" s="3">
        <v>22</v>
      </c>
      <c r="C810" s="3" t="s">
        <v>16</v>
      </c>
      <c r="D810" s="3" t="s">
        <v>49</v>
      </c>
      <c r="E810" s="3" t="s">
        <v>93</v>
      </c>
      <c r="F810" s="4">
        <v>44272</v>
      </c>
      <c r="G810" s="3" t="s">
        <v>2471</v>
      </c>
      <c r="H810" s="3" t="s">
        <v>2472</v>
      </c>
      <c r="I810" s="3" t="s">
        <v>57</v>
      </c>
      <c r="J810" s="5">
        <v>44863.650888040698</v>
      </c>
      <c r="K810" s="3">
        <v>244</v>
      </c>
      <c r="L810" s="3" t="s">
        <v>31</v>
      </c>
      <c r="M810" s="4">
        <v>44275</v>
      </c>
      <c r="N810" s="3" t="s">
        <v>40</v>
      </c>
      <c r="O810" s="3" t="s">
        <v>24</v>
      </c>
      <c r="P810" s="3" t="str">
        <f>IF(Table1[[#This Row],[Billing Amount]]&lt;5000,"Low",IF(Table1[[#This Row],[Billing Amount]]&lt;=15000,"Medium","High"))</f>
        <v>High</v>
      </c>
      <c r="Q810" s="3" t="str">
        <f>IF(Table1[[#This Row],[Discharge Date]]="Yes","Discharged","Under Treatment")</f>
        <v>Under Treatment</v>
      </c>
      <c r="R810" s="3" t="str">
        <f>IF(Table1[[#This Row],[Test Results]]&gt;120,"High Risk","Normal")</f>
        <v>High Risk</v>
      </c>
      <c r="S810" s="3" t="str">
        <f>IF(Table1[[#This Row],[Age]]&lt;=18,"0-18",IF(Table1[[#This Row],[Age]]&lt;=35,"19-35",IF(Table1[[#This Row],[Age]]&lt;=50,"36-50",IF(Table1[[#This Row],[Age]]&lt;=65,"51-65","65+"))))</f>
        <v>19-35</v>
      </c>
    </row>
    <row r="811" spans="1:19" x14ac:dyDescent="0.3">
      <c r="A811" s="3" t="s">
        <v>2473</v>
      </c>
      <c r="B811" s="3">
        <v>47</v>
      </c>
      <c r="C811" s="3" t="s">
        <v>16</v>
      </c>
      <c r="D811" s="3" t="s">
        <v>26</v>
      </c>
      <c r="E811" s="3" t="s">
        <v>18</v>
      </c>
      <c r="F811" s="4">
        <v>43629</v>
      </c>
      <c r="G811" s="3" t="s">
        <v>2474</v>
      </c>
      <c r="H811" s="3" t="s">
        <v>2475</v>
      </c>
      <c r="I811" s="3" t="s">
        <v>30</v>
      </c>
      <c r="J811" s="5">
        <v>6877.4774014395898</v>
      </c>
      <c r="K811" s="3">
        <v>200</v>
      </c>
      <c r="L811" s="3" t="s">
        <v>31</v>
      </c>
      <c r="M811" s="4">
        <v>43633</v>
      </c>
      <c r="N811" s="3" t="s">
        <v>52</v>
      </c>
      <c r="O811" s="3" t="s">
        <v>24</v>
      </c>
      <c r="P811" s="3" t="str">
        <f>IF(Table1[[#This Row],[Billing Amount]]&lt;5000,"Low",IF(Table1[[#This Row],[Billing Amount]]&lt;=15000,"Medium","High"))</f>
        <v>Medium</v>
      </c>
      <c r="Q811" s="3" t="str">
        <f>IF(Table1[[#This Row],[Discharge Date]]="Yes","Discharged","Under Treatment")</f>
        <v>Under Treatment</v>
      </c>
      <c r="R811" s="3" t="str">
        <f>IF(Table1[[#This Row],[Test Results]]&gt;120,"High Risk","Normal")</f>
        <v>High Risk</v>
      </c>
      <c r="S811" s="3" t="str">
        <f>IF(Table1[[#This Row],[Age]]&lt;=18,"0-18",IF(Table1[[#This Row],[Age]]&lt;=35,"19-35",IF(Table1[[#This Row],[Age]]&lt;=50,"36-50",IF(Table1[[#This Row],[Age]]&lt;=65,"51-65","65+"))))</f>
        <v>36-50</v>
      </c>
    </row>
    <row r="812" spans="1:19" x14ac:dyDescent="0.3">
      <c r="A812" s="3" t="s">
        <v>2476</v>
      </c>
      <c r="B812" s="3">
        <v>45</v>
      </c>
      <c r="C812" s="3" t="s">
        <v>16</v>
      </c>
      <c r="D812" s="3" t="s">
        <v>49</v>
      </c>
      <c r="E812" s="3" t="s">
        <v>54</v>
      </c>
      <c r="F812" s="4">
        <v>43954</v>
      </c>
      <c r="G812" s="3" t="s">
        <v>2477</v>
      </c>
      <c r="H812" s="3" t="s">
        <v>2478</v>
      </c>
      <c r="I812" s="3" t="s">
        <v>65</v>
      </c>
      <c r="J812" s="5">
        <v>47624.2484624075</v>
      </c>
      <c r="K812" s="3">
        <v>261</v>
      </c>
      <c r="L812" s="3" t="s">
        <v>22</v>
      </c>
      <c r="M812" s="4">
        <v>43978</v>
      </c>
      <c r="N812" s="3" t="s">
        <v>79</v>
      </c>
      <c r="O812" s="3" t="s">
        <v>47</v>
      </c>
      <c r="P812" s="3" t="str">
        <f>IF(Table1[[#This Row],[Billing Amount]]&lt;5000,"Low",IF(Table1[[#This Row],[Billing Amount]]&lt;=15000,"Medium","High"))</f>
        <v>High</v>
      </c>
      <c r="Q812" s="3" t="str">
        <f>IF(Table1[[#This Row],[Discharge Date]]="Yes","Discharged","Under Treatment")</f>
        <v>Under Treatment</v>
      </c>
      <c r="R812" s="3" t="str">
        <f>IF(Table1[[#This Row],[Test Results]]&gt;120,"High Risk","Normal")</f>
        <v>High Risk</v>
      </c>
      <c r="S812" s="3" t="str">
        <f>IF(Table1[[#This Row],[Age]]&lt;=18,"0-18",IF(Table1[[#This Row],[Age]]&lt;=35,"19-35",IF(Table1[[#This Row],[Age]]&lt;=50,"36-50",IF(Table1[[#This Row],[Age]]&lt;=65,"51-65","65+"))))</f>
        <v>36-50</v>
      </c>
    </row>
    <row r="813" spans="1:19" x14ac:dyDescent="0.3">
      <c r="A813" s="3" t="s">
        <v>2479</v>
      </c>
      <c r="B813" s="3">
        <v>23</v>
      </c>
      <c r="C813" s="3" t="s">
        <v>35</v>
      </c>
      <c r="D813" s="3" t="s">
        <v>26</v>
      </c>
      <c r="E813" s="3" t="s">
        <v>93</v>
      </c>
      <c r="F813" s="4">
        <v>44894</v>
      </c>
      <c r="G813" s="3" t="s">
        <v>2480</v>
      </c>
      <c r="H813" s="3" t="s">
        <v>2481</v>
      </c>
      <c r="I813" s="3" t="s">
        <v>65</v>
      </c>
      <c r="J813" s="5">
        <v>22014.560506305999</v>
      </c>
      <c r="K813" s="3">
        <v>132</v>
      </c>
      <c r="L813" s="3" t="s">
        <v>46</v>
      </c>
      <c r="M813" s="4">
        <v>44912</v>
      </c>
      <c r="N813" s="3" t="s">
        <v>32</v>
      </c>
      <c r="O813" s="3" t="s">
        <v>47</v>
      </c>
      <c r="P813" s="3" t="str">
        <f>IF(Table1[[#This Row],[Billing Amount]]&lt;5000,"Low",IF(Table1[[#This Row],[Billing Amount]]&lt;=15000,"Medium","High"))</f>
        <v>High</v>
      </c>
      <c r="Q813" s="3" t="str">
        <f>IF(Table1[[#This Row],[Discharge Date]]="Yes","Discharged","Under Treatment")</f>
        <v>Under Treatment</v>
      </c>
      <c r="R813" s="3" t="str">
        <f>IF(Table1[[#This Row],[Test Results]]&gt;120,"High Risk","Normal")</f>
        <v>High Risk</v>
      </c>
      <c r="S813" s="3" t="str">
        <f>IF(Table1[[#This Row],[Age]]&lt;=18,"0-18",IF(Table1[[#This Row],[Age]]&lt;=35,"19-35",IF(Table1[[#This Row],[Age]]&lt;=50,"36-50",IF(Table1[[#This Row],[Age]]&lt;=65,"51-65","65+"))))</f>
        <v>19-35</v>
      </c>
    </row>
    <row r="814" spans="1:19" x14ac:dyDescent="0.3">
      <c r="A814" s="3" t="s">
        <v>2483</v>
      </c>
      <c r="B814" s="3">
        <v>21</v>
      </c>
      <c r="C814" s="3" t="s">
        <v>35</v>
      </c>
      <c r="D814" s="3" t="s">
        <v>49</v>
      </c>
      <c r="E814" s="3" t="s">
        <v>18</v>
      </c>
      <c r="F814" s="4">
        <v>44447</v>
      </c>
      <c r="G814" s="3" t="s">
        <v>2484</v>
      </c>
      <c r="H814" s="3" t="s">
        <v>2485</v>
      </c>
      <c r="I814" s="3" t="s">
        <v>65</v>
      </c>
      <c r="J814" s="5">
        <v>40960.957470365101</v>
      </c>
      <c r="K814" s="3">
        <v>171</v>
      </c>
      <c r="L814" s="3" t="s">
        <v>46</v>
      </c>
      <c r="M814" s="4">
        <v>44472</v>
      </c>
      <c r="N814" s="3" t="s">
        <v>52</v>
      </c>
      <c r="O814" s="3" t="s">
        <v>24</v>
      </c>
      <c r="P814" s="3" t="str">
        <f>IF(Table1[[#This Row],[Billing Amount]]&lt;5000,"Low",IF(Table1[[#This Row],[Billing Amount]]&lt;=15000,"Medium","High"))</f>
        <v>High</v>
      </c>
      <c r="Q814" s="3" t="str">
        <f>IF(Table1[[#This Row],[Discharge Date]]="Yes","Discharged","Under Treatment")</f>
        <v>Under Treatment</v>
      </c>
      <c r="R814" s="3" t="str">
        <f>IF(Table1[[#This Row],[Test Results]]&gt;120,"High Risk","Normal")</f>
        <v>High Risk</v>
      </c>
      <c r="S814" s="3" t="str">
        <f>IF(Table1[[#This Row],[Age]]&lt;=18,"0-18",IF(Table1[[#This Row],[Age]]&lt;=35,"19-35",IF(Table1[[#This Row],[Age]]&lt;=50,"36-50",IF(Table1[[#This Row],[Age]]&lt;=65,"51-65","65+"))))</f>
        <v>19-35</v>
      </c>
    </row>
    <row r="815" spans="1:19" x14ac:dyDescent="0.3">
      <c r="A815" s="3" t="s">
        <v>2486</v>
      </c>
      <c r="B815" s="3">
        <v>64</v>
      </c>
      <c r="C815" s="3" t="s">
        <v>16</v>
      </c>
      <c r="D815" s="3" t="s">
        <v>103</v>
      </c>
      <c r="E815" s="3" t="s">
        <v>27</v>
      </c>
      <c r="F815" s="4">
        <v>43975</v>
      </c>
      <c r="G815" s="3" t="s">
        <v>2487</v>
      </c>
      <c r="H815" s="3" t="s">
        <v>2488</v>
      </c>
      <c r="I815" s="3" t="s">
        <v>57</v>
      </c>
      <c r="J815" s="5">
        <v>29685.109822373201</v>
      </c>
      <c r="K815" s="3">
        <v>307</v>
      </c>
      <c r="L815" s="3" t="s">
        <v>31</v>
      </c>
      <c r="M815" s="4">
        <v>43983</v>
      </c>
      <c r="N815" s="3" t="s">
        <v>32</v>
      </c>
      <c r="O815" s="3" t="s">
        <v>47</v>
      </c>
      <c r="P815" s="3" t="str">
        <f>IF(Table1[[#This Row],[Billing Amount]]&lt;5000,"Low",IF(Table1[[#This Row],[Billing Amount]]&lt;=15000,"Medium","High"))</f>
        <v>High</v>
      </c>
      <c r="Q815" s="3" t="str">
        <f>IF(Table1[[#This Row],[Discharge Date]]="Yes","Discharged","Under Treatment")</f>
        <v>Under Treatment</v>
      </c>
      <c r="R815" s="3" t="str">
        <f>IF(Table1[[#This Row],[Test Results]]&gt;120,"High Risk","Normal")</f>
        <v>High Risk</v>
      </c>
      <c r="S815" s="3" t="str">
        <f>IF(Table1[[#This Row],[Age]]&lt;=18,"0-18",IF(Table1[[#This Row],[Age]]&lt;=35,"19-35",IF(Table1[[#This Row],[Age]]&lt;=50,"36-50",IF(Table1[[#This Row],[Age]]&lt;=65,"51-65","65+"))))</f>
        <v>51-65</v>
      </c>
    </row>
    <row r="816" spans="1:19" x14ac:dyDescent="0.3">
      <c r="A816" s="3" t="s">
        <v>2489</v>
      </c>
      <c r="B816" s="3">
        <v>23</v>
      </c>
      <c r="C816" s="3" t="s">
        <v>16</v>
      </c>
      <c r="D816" s="3" t="s">
        <v>17</v>
      </c>
      <c r="E816" s="3" t="s">
        <v>27</v>
      </c>
      <c r="F816" s="4">
        <v>43835</v>
      </c>
      <c r="G816" s="3" t="s">
        <v>2246</v>
      </c>
      <c r="H816" s="3" t="s">
        <v>2490</v>
      </c>
      <c r="I816" s="3" t="s">
        <v>57</v>
      </c>
      <c r="J816" s="5">
        <v>11418.622172395</v>
      </c>
      <c r="K816" s="3">
        <v>360</v>
      </c>
      <c r="L816" s="3" t="s">
        <v>22</v>
      </c>
      <c r="M816" s="4">
        <v>43861</v>
      </c>
      <c r="N816" s="3" t="s">
        <v>79</v>
      </c>
      <c r="O816" s="3" t="s">
        <v>47</v>
      </c>
      <c r="P816" s="3" t="str">
        <f>IF(Table1[[#This Row],[Billing Amount]]&lt;5000,"Low",IF(Table1[[#This Row],[Billing Amount]]&lt;=15000,"Medium","High"))</f>
        <v>Medium</v>
      </c>
      <c r="Q816" s="3" t="str">
        <f>IF(Table1[[#This Row],[Discharge Date]]="Yes","Discharged","Under Treatment")</f>
        <v>Under Treatment</v>
      </c>
      <c r="R816" s="3" t="str">
        <f>IF(Table1[[#This Row],[Test Results]]&gt;120,"High Risk","Normal")</f>
        <v>High Risk</v>
      </c>
      <c r="S816" s="3" t="str">
        <f>IF(Table1[[#This Row],[Age]]&lt;=18,"0-18",IF(Table1[[#This Row],[Age]]&lt;=35,"19-35",IF(Table1[[#This Row],[Age]]&lt;=50,"36-50",IF(Table1[[#This Row],[Age]]&lt;=65,"51-65","65+"))))</f>
        <v>19-35</v>
      </c>
    </row>
    <row r="817" spans="1:19" x14ac:dyDescent="0.3">
      <c r="A817" s="3" t="s">
        <v>2491</v>
      </c>
      <c r="B817" s="3">
        <v>29</v>
      </c>
      <c r="C817" s="3" t="s">
        <v>35</v>
      </c>
      <c r="D817" s="3" t="s">
        <v>17</v>
      </c>
      <c r="E817" s="3" t="s">
        <v>18</v>
      </c>
      <c r="F817" s="4">
        <v>45066</v>
      </c>
      <c r="G817" s="3" t="s">
        <v>2492</v>
      </c>
      <c r="H817" s="3" t="s">
        <v>2493</v>
      </c>
      <c r="I817" s="3" t="s">
        <v>65</v>
      </c>
      <c r="J817" s="5">
        <v>20578.2957125184</v>
      </c>
      <c r="K817" s="3">
        <v>408</v>
      </c>
      <c r="L817" s="3" t="s">
        <v>31</v>
      </c>
      <c r="M817" s="4">
        <v>45071</v>
      </c>
      <c r="N817" s="3" t="s">
        <v>52</v>
      </c>
      <c r="O817" s="3" t="s">
        <v>24</v>
      </c>
      <c r="P817" s="3" t="str">
        <f>IF(Table1[[#This Row],[Billing Amount]]&lt;5000,"Low",IF(Table1[[#This Row],[Billing Amount]]&lt;=15000,"Medium","High"))</f>
        <v>High</v>
      </c>
      <c r="Q817" s="3" t="str">
        <f>IF(Table1[[#This Row],[Discharge Date]]="Yes","Discharged","Under Treatment")</f>
        <v>Under Treatment</v>
      </c>
      <c r="R817" s="3" t="str">
        <f>IF(Table1[[#This Row],[Test Results]]&gt;120,"High Risk","Normal")</f>
        <v>High Risk</v>
      </c>
      <c r="S817" s="3" t="str">
        <f>IF(Table1[[#This Row],[Age]]&lt;=18,"0-18",IF(Table1[[#This Row],[Age]]&lt;=35,"19-35",IF(Table1[[#This Row],[Age]]&lt;=50,"36-50",IF(Table1[[#This Row],[Age]]&lt;=65,"51-65","65+"))))</f>
        <v>19-35</v>
      </c>
    </row>
    <row r="818" spans="1:19" x14ac:dyDescent="0.3">
      <c r="A818" s="3" t="s">
        <v>2494</v>
      </c>
      <c r="B818" s="3">
        <v>79</v>
      </c>
      <c r="C818" s="3" t="s">
        <v>35</v>
      </c>
      <c r="D818" s="3" t="s">
        <v>122</v>
      </c>
      <c r="E818" s="3" t="s">
        <v>93</v>
      </c>
      <c r="F818" s="4">
        <v>45215</v>
      </c>
      <c r="G818" s="3" t="s">
        <v>2495</v>
      </c>
      <c r="H818" s="3" t="s">
        <v>2496</v>
      </c>
      <c r="I818" s="3" t="s">
        <v>65</v>
      </c>
      <c r="J818" s="5">
        <v>7068.9139844759202</v>
      </c>
      <c r="K818" s="3">
        <v>237</v>
      </c>
      <c r="L818" s="3" t="s">
        <v>46</v>
      </c>
      <c r="M818" s="4">
        <v>45226</v>
      </c>
      <c r="N818" s="3" t="s">
        <v>52</v>
      </c>
      <c r="O818" s="3" t="s">
        <v>33</v>
      </c>
      <c r="P818" s="3" t="str">
        <f>IF(Table1[[#This Row],[Billing Amount]]&lt;5000,"Low",IF(Table1[[#This Row],[Billing Amount]]&lt;=15000,"Medium","High"))</f>
        <v>Medium</v>
      </c>
      <c r="Q818" s="3" t="str">
        <f>IF(Table1[[#This Row],[Discharge Date]]="Yes","Discharged","Under Treatment")</f>
        <v>Under Treatment</v>
      </c>
      <c r="R818" s="3" t="str">
        <f>IF(Table1[[#This Row],[Test Results]]&gt;120,"High Risk","Normal")</f>
        <v>High Risk</v>
      </c>
      <c r="S818" s="3" t="str">
        <f>IF(Table1[[#This Row],[Age]]&lt;=18,"0-18",IF(Table1[[#This Row],[Age]]&lt;=35,"19-35",IF(Table1[[#This Row],[Age]]&lt;=50,"36-50",IF(Table1[[#This Row],[Age]]&lt;=65,"51-65","65+"))))</f>
        <v>65+</v>
      </c>
    </row>
    <row r="819" spans="1:19" x14ac:dyDescent="0.3">
      <c r="A819" s="3" t="s">
        <v>2498</v>
      </c>
      <c r="B819" s="3">
        <v>59</v>
      </c>
      <c r="C819" s="3" t="s">
        <v>35</v>
      </c>
      <c r="D819" s="3" t="s">
        <v>49</v>
      </c>
      <c r="E819" s="3" t="s">
        <v>27</v>
      </c>
      <c r="F819" s="4">
        <v>44801</v>
      </c>
      <c r="G819" s="3" t="s">
        <v>2499</v>
      </c>
      <c r="H819" s="3" t="s">
        <v>2500</v>
      </c>
      <c r="I819" s="3" t="s">
        <v>65</v>
      </c>
      <c r="J819" s="5">
        <v>28954.261391611999</v>
      </c>
      <c r="K819" s="3">
        <v>379</v>
      </c>
      <c r="L819" s="3" t="s">
        <v>31</v>
      </c>
      <c r="M819" s="4">
        <v>44818</v>
      </c>
      <c r="N819" s="3" t="s">
        <v>40</v>
      </c>
      <c r="O819" s="3" t="s">
        <v>33</v>
      </c>
      <c r="P819" s="3" t="str">
        <f>IF(Table1[[#This Row],[Billing Amount]]&lt;5000,"Low",IF(Table1[[#This Row],[Billing Amount]]&lt;=15000,"Medium","High"))</f>
        <v>High</v>
      </c>
      <c r="Q819" s="3" t="str">
        <f>IF(Table1[[#This Row],[Discharge Date]]="Yes","Discharged","Under Treatment")</f>
        <v>Under Treatment</v>
      </c>
      <c r="R819" s="3" t="str">
        <f>IF(Table1[[#This Row],[Test Results]]&gt;120,"High Risk","Normal")</f>
        <v>High Risk</v>
      </c>
      <c r="S819" s="3" t="str">
        <f>IF(Table1[[#This Row],[Age]]&lt;=18,"0-18",IF(Table1[[#This Row],[Age]]&lt;=35,"19-35",IF(Table1[[#This Row],[Age]]&lt;=50,"36-50",IF(Table1[[#This Row],[Age]]&lt;=65,"51-65","65+"))))</f>
        <v>51-65</v>
      </c>
    </row>
    <row r="820" spans="1:19" x14ac:dyDescent="0.3">
      <c r="A820" s="3" t="s">
        <v>2501</v>
      </c>
      <c r="B820" s="3">
        <v>26</v>
      </c>
      <c r="C820" s="3" t="s">
        <v>35</v>
      </c>
      <c r="D820" s="3" t="s">
        <v>26</v>
      </c>
      <c r="E820" s="3" t="s">
        <v>43</v>
      </c>
      <c r="F820" s="4">
        <v>45245</v>
      </c>
      <c r="G820" s="3" t="s">
        <v>2502</v>
      </c>
      <c r="H820" s="3" t="s">
        <v>2503</v>
      </c>
      <c r="I820" s="3" t="s">
        <v>65</v>
      </c>
      <c r="J820" s="5">
        <v>2329.10809281296</v>
      </c>
      <c r="K820" s="3">
        <v>496</v>
      </c>
      <c r="L820" s="3" t="s">
        <v>22</v>
      </c>
      <c r="M820" s="4">
        <v>45257</v>
      </c>
      <c r="N820" s="3" t="s">
        <v>79</v>
      </c>
      <c r="O820" s="3" t="s">
        <v>47</v>
      </c>
      <c r="P820" s="3" t="str">
        <f>IF(Table1[[#This Row],[Billing Amount]]&lt;5000,"Low",IF(Table1[[#This Row],[Billing Amount]]&lt;=15000,"Medium","High"))</f>
        <v>Low</v>
      </c>
      <c r="Q820" s="3" t="str">
        <f>IF(Table1[[#This Row],[Discharge Date]]="Yes","Discharged","Under Treatment")</f>
        <v>Under Treatment</v>
      </c>
      <c r="R820" s="3" t="str">
        <f>IF(Table1[[#This Row],[Test Results]]&gt;120,"High Risk","Normal")</f>
        <v>High Risk</v>
      </c>
      <c r="S820" s="3" t="str">
        <f>IF(Table1[[#This Row],[Age]]&lt;=18,"0-18",IF(Table1[[#This Row],[Age]]&lt;=35,"19-35",IF(Table1[[#This Row],[Age]]&lt;=50,"36-50",IF(Table1[[#This Row],[Age]]&lt;=65,"51-65","65+"))))</f>
        <v>19-35</v>
      </c>
    </row>
    <row r="821" spans="1:19" x14ac:dyDescent="0.3">
      <c r="A821" s="3" t="s">
        <v>2504</v>
      </c>
      <c r="B821" s="3">
        <v>56</v>
      </c>
      <c r="C821" s="3" t="s">
        <v>16</v>
      </c>
      <c r="D821" s="3" t="s">
        <v>49</v>
      </c>
      <c r="E821" s="3" t="s">
        <v>27</v>
      </c>
      <c r="F821" s="4">
        <v>45010</v>
      </c>
      <c r="G821" s="3" t="s">
        <v>2505</v>
      </c>
      <c r="H821" s="3" t="s">
        <v>735</v>
      </c>
      <c r="I821" s="3" t="s">
        <v>57</v>
      </c>
      <c r="J821" s="5">
        <v>17327.984497481601</v>
      </c>
      <c r="K821" s="3">
        <v>480</v>
      </c>
      <c r="L821" s="3" t="s">
        <v>22</v>
      </c>
      <c r="M821" s="4">
        <v>45011</v>
      </c>
      <c r="N821" s="3" t="s">
        <v>52</v>
      </c>
      <c r="O821" s="3" t="s">
        <v>47</v>
      </c>
      <c r="P821" s="3" t="str">
        <f>IF(Table1[[#This Row],[Billing Amount]]&lt;5000,"Low",IF(Table1[[#This Row],[Billing Amount]]&lt;=15000,"Medium","High"))</f>
        <v>High</v>
      </c>
      <c r="Q821" s="3" t="str">
        <f>IF(Table1[[#This Row],[Discharge Date]]="Yes","Discharged","Under Treatment")</f>
        <v>Under Treatment</v>
      </c>
      <c r="R821" s="3" t="str">
        <f>IF(Table1[[#This Row],[Test Results]]&gt;120,"High Risk","Normal")</f>
        <v>High Risk</v>
      </c>
      <c r="S821" s="3" t="str">
        <f>IF(Table1[[#This Row],[Age]]&lt;=18,"0-18",IF(Table1[[#This Row],[Age]]&lt;=35,"19-35",IF(Table1[[#This Row],[Age]]&lt;=50,"36-50",IF(Table1[[#This Row],[Age]]&lt;=65,"51-65","65+"))))</f>
        <v>51-65</v>
      </c>
    </row>
    <row r="822" spans="1:19" x14ac:dyDescent="0.3">
      <c r="A822" s="3" t="s">
        <v>2506</v>
      </c>
      <c r="B822" s="3">
        <v>19</v>
      </c>
      <c r="C822" s="3" t="s">
        <v>16</v>
      </c>
      <c r="D822" s="3" t="s">
        <v>26</v>
      </c>
      <c r="E822" s="3" t="s">
        <v>76</v>
      </c>
      <c r="F822" s="4">
        <v>44009</v>
      </c>
      <c r="G822" s="3" t="s">
        <v>2507</v>
      </c>
      <c r="H822" s="3" t="s">
        <v>2508</v>
      </c>
      <c r="I822" s="3" t="s">
        <v>30</v>
      </c>
      <c r="J822" s="5">
        <v>26660.4482046587</v>
      </c>
      <c r="K822" s="3">
        <v>109</v>
      </c>
      <c r="L822" s="3" t="s">
        <v>22</v>
      </c>
      <c r="M822" s="4">
        <v>44035</v>
      </c>
      <c r="N822" s="3" t="s">
        <v>40</v>
      </c>
      <c r="O822" s="3" t="s">
        <v>24</v>
      </c>
      <c r="P822" s="3" t="str">
        <f>IF(Table1[[#This Row],[Billing Amount]]&lt;5000,"Low",IF(Table1[[#This Row],[Billing Amount]]&lt;=15000,"Medium","High"))</f>
        <v>High</v>
      </c>
      <c r="Q822" s="3" t="str">
        <f>IF(Table1[[#This Row],[Discharge Date]]="Yes","Discharged","Under Treatment")</f>
        <v>Under Treatment</v>
      </c>
      <c r="R822" s="3" t="str">
        <f>IF(Table1[[#This Row],[Test Results]]&gt;120,"High Risk","Normal")</f>
        <v>High Risk</v>
      </c>
      <c r="S822" s="3" t="str">
        <f>IF(Table1[[#This Row],[Age]]&lt;=18,"0-18",IF(Table1[[#This Row],[Age]]&lt;=35,"19-35",IF(Table1[[#This Row],[Age]]&lt;=50,"36-50",IF(Table1[[#This Row],[Age]]&lt;=65,"51-65","65+"))))</f>
        <v>19-35</v>
      </c>
    </row>
    <row r="823" spans="1:19" x14ac:dyDescent="0.3">
      <c r="A823" s="3" t="s">
        <v>2509</v>
      </c>
      <c r="B823" s="3">
        <v>79</v>
      </c>
      <c r="C823" s="3" t="s">
        <v>35</v>
      </c>
      <c r="D823" s="3" t="s">
        <v>26</v>
      </c>
      <c r="E823" s="3" t="s">
        <v>27</v>
      </c>
      <c r="F823" s="4">
        <v>44569</v>
      </c>
      <c r="G823" s="3" t="s">
        <v>2510</v>
      </c>
      <c r="H823" s="3" t="s">
        <v>2511</v>
      </c>
      <c r="I823" s="3" t="s">
        <v>30</v>
      </c>
      <c r="J823" s="5">
        <v>33071.266573138302</v>
      </c>
      <c r="K823" s="3">
        <v>328</v>
      </c>
      <c r="L823" s="3" t="s">
        <v>31</v>
      </c>
      <c r="M823" s="4">
        <v>44592</v>
      </c>
      <c r="N823" s="3" t="s">
        <v>52</v>
      </c>
      <c r="O823" s="3" t="s">
        <v>47</v>
      </c>
      <c r="P823" s="3" t="str">
        <f>IF(Table1[[#This Row],[Billing Amount]]&lt;5000,"Low",IF(Table1[[#This Row],[Billing Amount]]&lt;=15000,"Medium","High"))</f>
        <v>High</v>
      </c>
      <c r="Q823" s="3" t="str">
        <f>IF(Table1[[#This Row],[Discharge Date]]="Yes","Discharged","Under Treatment")</f>
        <v>Under Treatment</v>
      </c>
      <c r="R823" s="3" t="str">
        <f>IF(Table1[[#This Row],[Test Results]]&gt;120,"High Risk","Normal")</f>
        <v>High Risk</v>
      </c>
      <c r="S823" s="3" t="str">
        <f>IF(Table1[[#This Row],[Age]]&lt;=18,"0-18",IF(Table1[[#This Row],[Age]]&lt;=35,"19-35",IF(Table1[[#This Row],[Age]]&lt;=50,"36-50",IF(Table1[[#This Row],[Age]]&lt;=65,"51-65","65+"))))</f>
        <v>65+</v>
      </c>
    </row>
    <row r="824" spans="1:19" x14ac:dyDescent="0.3">
      <c r="A824" s="3" t="s">
        <v>2512</v>
      </c>
      <c r="B824" s="3">
        <v>56</v>
      </c>
      <c r="C824" s="3" t="s">
        <v>35</v>
      </c>
      <c r="D824" s="3" t="s">
        <v>26</v>
      </c>
      <c r="E824" s="3" t="s">
        <v>93</v>
      </c>
      <c r="F824" s="4">
        <v>43709</v>
      </c>
      <c r="G824" s="3" t="s">
        <v>2513</v>
      </c>
      <c r="H824" s="3" t="s">
        <v>2514</v>
      </c>
      <c r="I824" s="3" t="s">
        <v>30</v>
      </c>
      <c r="J824" s="5">
        <v>36923.5400841382</v>
      </c>
      <c r="K824" s="3">
        <v>387</v>
      </c>
      <c r="L824" s="3" t="s">
        <v>31</v>
      </c>
      <c r="M824" s="4">
        <v>43739</v>
      </c>
      <c r="N824" s="3" t="s">
        <v>79</v>
      </c>
      <c r="O824" s="3" t="s">
        <v>47</v>
      </c>
      <c r="P824" s="3" t="str">
        <f>IF(Table1[[#This Row],[Billing Amount]]&lt;5000,"Low",IF(Table1[[#This Row],[Billing Amount]]&lt;=15000,"Medium","High"))</f>
        <v>High</v>
      </c>
      <c r="Q824" s="3" t="str">
        <f>IF(Table1[[#This Row],[Discharge Date]]="Yes","Discharged","Under Treatment")</f>
        <v>Under Treatment</v>
      </c>
      <c r="R824" s="3" t="str">
        <f>IF(Table1[[#This Row],[Test Results]]&gt;120,"High Risk","Normal")</f>
        <v>High Risk</v>
      </c>
      <c r="S824" s="3" t="str">
        <f>IF(Table1[[#This Row],[Age]]&lt;=18,"0-18",IF(Table1[[#This Row],[Age]]&lt;=35,"19-35",IF(Table1[[#This Row],[Age]]&lt;=50,"36-50",IF(Table1[[#This Row],[Age]]&lt;=65,"51-65","65+"))))</f>
        <v>51-65</v>
      </c>
    </row>
    <row r="825" spans="1:19" x14ac:dyDescent="0.3">
      <c r="A825" s="3" t="s">
        <v>2515</v>
      </c>
      <c r="B825" s="3">
        <v>54</v>
      </c>
      <c r="C825" s="3" t="s">
        <v>35</v>
      </c>
      <c r="D825" s="3" t="s">
        <v>122</v>
      </c>
      <c r="E825" s="3" t="s">
        <v>93</v>
      </c>
      <c r="F825" s="4">
        <v>43878</v>
      </c>
      <c r="G825" s="3" t="s">
        <v>2516</v>
      </c>
      <c r="H825" s="3" t="s">
        <v>2517</v>
      </c>
      <c r="I825" s="3" t="s">
        <v>57</v>
      </c>
      <c r="J825" s="5">
        <v>34455.475482420203</v>
      </c>
      <c r="K825" s="3">
        <v>102</v>
      </c>
      <c r="L825" s="3" t="s">
        <v>22</v>
      </c>
      <c r="M825" s="4">
        <v>43882</v>
      </c>
      <c r="N825" s="3" t="s">
        <v>52</v>
      </c>
      <c r="O825" s="3" t="s">
        <v>24</v>
      </c>
      <c r="P825" s="3" t="str">
        <f>IF(Table1[[#This Row],[Billing Amount]]&lt;5000,"Low",IF(Table1[[#This Row],[Billing Amount]]&lt;=15000,"Medium","High"))</f>
        <v>High</v>
      </c>
      <c r="Q825" s="3" t="str">
        <f>IF(Table1[[#This Row],[Discharge Date]]="Yes","Discharged","Under Treatment")</f>
        <v>Under Treatment</v>
      </c>
      <c r="R825" s="3" t="str">
        <f>IF(Table1[[#This Row],[Test Results]]&gt;120,"High Risk","Normal")</f>
        <v>High Risk</v>
      </c>
      <c r="S825" s="3" t="str">
        <f>IF(Table1[[#This Row],[Age]]&lt;=18,"0-18",IF(Table1[[#This Row],[Age]]&lt;=35,"19-35",IF(Table1[[#This Row],[Age]]&lt;=50,"36-50",IF(Table1[[#This Row],[Age]]&lt;=65,"51-65","65+"))))</f>
        <v>51-65</v>
      </c>
    </row>
    <row r="826" spans="1:19" x14ac:dyDescent="0.3">
      <c r="A826" s="3" t="s">
        <v>2518</v>
      </c>
      <c r="B826" s="3">
        <v>37</v>
      </c>
      <c r="C826" s="3" t="s">
        <v>35</v>
      </c>
      <c r="D826" s="3" t="s">
        <v>122</v>
      </c>
      <c r="E826" s="3" t="s">
        <v>93</v>
      </c>
      <c r="F826" s="4">
        <v>44291</v>
      </c>
      <c r="G826" s="3" t="s">
        <v>2519</v>
      </c>
      <c r="H826" s="3" t="s">
        <v>2520</v>
      </c>
      <c r="I826" s="3" t="s">
        <v>57</v>
      </c>
      <c r="J826" s="5">
        <v>29993.379009175998</v>
      </c>
      <c r="K826" s="3">
        <v>205</v>
      </c>
      <c r="L826" s="3" t="s">
        <v>46</v>
      </c>
      <c r="M826" s="4">
        <v>44295</v>
      </c>
      <c r="N826" s="3" t="s">
        <v>23</v>
      </c>
      <c r="O826" s="3" t="s">
        <v>33</v>
      </c>
      <c r="P826" s="3" t="str">
        <f>IF(Table1[[#This Row],[Billing Amount]]&lt;5000,"Low",IF(Table1[[#This Row],[Billing Amount]]&lt;=15000,"Medium","High"))</f>
        <v>High</v>
      </c>
      <c r="Q826" s="3" t="str">
        <f>IF(Table1[[#This Row],[Discharge Date]]="Yes","Discharged","Under Treatment")</f>
        <v>Under Treatment</v>
      </c>
      <c r="R826" s="3" t="str">
        <f>IF(Table1[[#This Row],[Test Results]]&gt;120,"High Risk","Normal")</f>
        <v>High Risk</v>
      </c>
      <c r="S826" s="3" t="str">
        <f>IF(Table1[[#This Row],[Age]]&lt;=18,"0-18",IF(Table1[[#This Row],[Age]]&lt;=35,"19-35",IF(Table1[[#This Row],[Age]]&lt;=50,"36-50",IF(Table1[[#This Row],[Age]]&lt;=65,"51-65","65+"))))</f>
        <v>36-50</v>
      </c>
    </row>
    <row r="827" spans="1:19" x14ac:dyDescent="0.3">
      <c r="A827" s="3" t="s">
        <v>2521</v>
      </c>
      <c r="B827" s="3">
        <v>23</v>
      </c>
      <c r="C827" s="3" t="s">
        <v>16</v>
      </c>
      <c r="D827" s="3" t="s">
        <v>103</v>
      </c>
      <c r="E827" s="3" t="s">
        <v>43</v>
      </c>
      <c r="F827" s="4">
        <v>45121</v>
      </c>
      <c r="G827" s="3" t="s">
        <v>2522</v>
      </c>
      <c r="H827" s="3" t="s">
        <v>2523</v>
      </c>
      <c r="I827" s="3" t="s">
        <v>21</v>
      </c>
      <c r="J827" s="5">
        <v>9736.4647381899395</v>
      </c>
      <c r="K827" s="3">
        <v>391</v>
      </c>
      <c r="L827" s="3" t="s">
        <v>22</v>
      </c>
      <c r="M827" s="4">
        <v>45125</v>
      </c>
      <c r="N827" s="3" t="s">
        <v>79</v>
      </c>
      <c r="O827" s="3" t="s">
        <v>47</v>
      </c>
      <c r="P827" s="3" t="str">
        <f>IF(Table1[[#This Row],[Billing Amount]]&lt;5000,"Low",IF(Table1[[#This Row],[Billing Amount]]&lt;=15000,"Medium","High"))</f>
        <v>Medium</v>
      </c>
      <c r="Q827" s="3" t="str">
        <f>IF(Table1[[#This Row],[Discharge Date]]="Yes","Discharged","Under Treatment")</f>
        <v>Under Treatment</v>
      </c>
      <c r="R827" s="3" t="str">
        <f>IF(Table1[[#This Row],[Test Results]]&gt;120,"High Risk","Normal")</f>
        <v>High Risk</v>
      </c>
      <c r="S827" s="3" t="str">
        <f>IF(Table1[[#This Row],[Age]]&lt;=18,"0-18",IF(Table1[[#This Row],[Age]]&lt;=35,"19-35",IF(Table1[[#This Row],[Age]]&lt;=50,"36-50",IF(Table1[[#This Row],[Age]]&lt;=65,"51-65","65+"))))</f>
        <v>19-35</v>
      </c>
    </row>
    <row r="828" spans="1:19" x14ac:dyDescent="0.3">
      <c r="A828" s="3" t="s">
        <v>2524</v>
      </c>
      <c r="B828" s="3">
        <v>35</v>
      </c>
      <c r="C828" s="3" t="s">
        <v>16</v>
      </c>
      <c r="D828" s="3" t="s">
        <v>26</v>
      </c>
      <c r="E828" s="3" t="s">
        <v>18</v>
      </c>
      <c r="F828" s="4">
        <v>44202</v>
      </c>
      <c r="G828" s="3" t="s">
        <v>2525</v>
      </c>
      <c r="H828" s="3" t="s">
        <v>2526</v>
      </c>
      <c r="I828" s="3" t="s">
        <v>21</v>
      </c>
      <c r="J828" s="5">
        <v>43625.562173780003</v>
      </c>
      <c r="K828" s="3">
        <v>167</v>
      </c>
      <c r="L828" s="3" t="s">
        <v>31</v>
      </c>
      <c r="M828" s="4">
        <v>44221</v>
      </c>
      <c r="N828" s="3" t="s">
        <v>52</v>
      </c>
      <c r="O828" s="3" t="s">
        <v>47</v>
      </c>
      <c r="P828" s="3" t="str">
        <f>IF(Table1[[#This Row],[Billing Amount]]&lt;5000,"Low",IF(Table1[[#This Row],[Billing Amount]]&lt;=15000,"Medium","High"))</f>
        <v>High</v>
      </c>
      <c r="Q828" s="3" t="str">
        <f>IF(Table1[[#This Row],[Discharge Date]]="Yes","Discharged","Under Treatment")</f>
        <v>Under Treatment</v>
      </c>
      <c r="R828" s="3" t="str">
        <f>IF(Table1[[#This Row],[Test Results]]&gt;120,"High Risk","Normal")</f>
        <v>High Risk</v>
      </c>
      <c r="S828" s="3" t="str">
        <f>IF(Table1[[#This Row],[Age]]&lt;=18,"0-18",IF(Table1[[#This Row],[Age]]&lt;=35,"19-35",IF(Table1[[#This Row],[Age]]&lt;=50,"36-50",IF(Table1[[#This Row],[Age]]&lt;=65,"51-65","65+"))))</f>
        <v>19-35</v>
      </c>
    </row>
    <row r="829" spans="1:19" x14ac:dyDescent="0.3">
      <c r="A829" s="3" t="s">
        <v>2527</v>
      </c>
      <c r="B829" s="3">
        <v>52</v>
      </c>
      <c r="C829" s="3" t="s">
        <v>16</v>
      </c>
      <c r="D829" s="3" t="s">
        <v>36</v>
      </c>
      <c r="E829" s="3" t="s">
        <v>18</v>
      </c>
      <c r="F829" s="4">
        <v>45051</v>
      </c>
      <c r="G829" s="3" t="s">
        <v>2528</v>
      </c>
      <c r="H829" s="3" t="s">
        <v>2529</v>
      </c>
      <c r="I829" s="3" t="s">
        <v>65</v>
      </c>
      <c r="J829" s="5">
        <v>33864.953129245303</v>
      </c>
      <c r="K829" s="3">
        <v>429</v>
      </c>
      <c r="L829" s="3" t="s">
        <v>46</v>
      </c>
      <c r="M829" s="4">
        <v>45060</v>
      </c>
      <c r="N829" s="3" t="s">
        <v>32</v>
      </c>
      <c r="O829" s="3" t="s">
        <v>47</v>
      </c>
      <c r="P829" s="3" t="str">
        <f>IF(Table1[[#This Row],[Billing Amount]]&lt;5000,"Low",IF(Table1[[#This Row],[Billing Amount]]&lt;=15000,"Medium","High"))</f>
        <v>High</v>
      </c>
      <c r="Q829" s="3" t="str">
        <f>IF(Table1[[#This Row],[Discharge Date]]="Yes","Discharged","Under Treatment")</f>
        <v>Under Treatment</v>
      </c>
      <c r="R829" s="3" t="str">
        <f>IF(Table1[[#This Row],[Test Results]]&gt;120,"High Risk","Normal")</f>
        <v>High Risk</v>
      </c>
      <c r="S829" s="3" t="str">
        <f>IF(Table1[[#This Row],[Age]]&lt;=18,"0-18",IF(Table1[[#This Row],[Age]]&lt;=35,"19-35",IF(Table1[[#This Row],[Age]]&lt;=50,"36-50",IF(Table1[[#This Row],[Age]]&lt;=65,"51-65","65+"))))</f>
        <v>51-65</v>
      </c>
    </row>
    <row r="830" spans="1:19" x14ac:dyDescent="0.3">
      <c r="A830" s="3" t="s">
        <v>2530</v>
      </c>
      <c r="B830" s="3">
        <v>47</v>
      </c>
      <c r="C830" s="3" t="s">
        <v>35</v>
      </c>
      <c r="D830" s="3" t="s">
        <v>36</v>
      </c>
      <c r="E830" s="3" t="s">
        <v>43</v>
      </c>
      <c r="F830" s="4">
        <v>43747</v>
      </c>
      <c r="G830" s="3" t="s">
        <v>2531</v>
      </c>
      <c r="H830" s="3" t="s">
        <v>2532</v>
      </c>
      <c r="I830" s="3" t="s">
        <v>21</v>
      </c>
      <c r="J830" s="5">
        <v>9594.8862744858998</v>
      </c>
      <c r="K830" s="3">
        <v>312</v>
      </c>
      <c r="L830" s="3" t="s">
        <v>31</v>
      </c>
      <c r="M830" s="4">
        <v>43776</v>
      </c>
      <c r="N830" s="3" t="s">
        <v>23</v>
      </c>
      <c r="O830" s="3" t="s">
        <v>24</v>
      </c>
      <c r="P830" s="3" t="str">
        <f>IF(Table1[[#This Row],[Billing Amount]]&lt;5000,"Low",IF(Table1[[#This Row],[Billing Amount]]&lt;=15000,"Medium","High"))</f>
        <v>Medium</v>
      </c>
      <c r="Q830" s="3" t="str">
        <f>IF(Table1[[#This Row],[Discharge Date]]="Yes","Discharged","Under Treatment")</f>
        <v>Under Treatment</v>
      </c>
      <c r="R830" s="3" t="str">
        <f>IF(Table1[[#This Row],[Test Results]]&gt;120,"High Risk","Normal")</f>
        <v>High Risk</v>
      </c>
      <c r="S830" s="3" t="str">
        <f>IF(Table1[[#This Row],[Age]]&lt;=18,"0-18",IF(Table1[[#This Row],[Age]]&lt;=35,"19-35",IF(Table1[[#This Row],[Age]]&lt;=50,"36-50",IF(Table1[[#This Row],[Age]]&lt;=65,"51-65","65+"))))</f>
        <v>36-50</v>
      </c>
    </row>
    <row r="831" spans="1:19" x14ac:dyDescent="0.3">
      <c r="A831" s="3" t="s">
        <v>2533</v>
      </c>
      <c r="B831" s="3">
        <v>68</v>
      </c>
      <c r="C831" s="3" t="s">
        <v>35</v>
      </c>
      <c r="D831" s="3" t="s">
        <v>103</v>
      </c>
      <c r="E831" s="3" t="s">
        <v>93</v>
      </c>
      <c r="F831" s="4">
        <v>44687</v>
      </c>
      <c r="G831" s="3" t="s">
        <v>2534</v>
      </c>
      <c r="H831" s="3" t="s">
        <v>2535</v>
      </c>
      <c r="I831" s="3" t="s">
        <v>30</v>
      </c>
      <c r="J831" s="5">
        <v>3770.6373806159199</v>
      </c>
      <c r="K831" s="3">
        <v>356</v>
      </c>
      <c r="L831" s="3" t="s">
        <v>31</v>
      </c>
      <c r="M831" s="4">
        <v>44695</v>
      </c>
      <c r="N831" s="3" t="s">
        <v>23</v>
      </c>
      <c r="O831" s="3" t="s">
        <v>33</v>
      </c>
      <c r="P831" s="3" t="str">
        <f>IF(Table1[[#This Row],[Billing Amount]]&lt;5000,"Low",IF(Table1[[#This Row],[Billing Amount]]&lt;=15000,"Medium","High"))</f>
        <v>Low</v>
      </c>
      <c r="Q831" s="3" t="str">
        <f>IF(Table1[[#This Row],[Discharge Date]]="Yes","Discharged","Under Treatment")</f>
        <v>Under Treatment</v>
      </c>
      <c r="R831" s="3" t="str">
        <f>IF(Table1[[#This Row],[Test Results]]&gt;120,"High Risk","Normal")</f>
        <v>High Risk</v>
      </c>
      <c r="S831" s="3" t="str">
        <f>IF(Table1[[#This Row],[Age]]&lt;=18,"0-18",IF(Table1[[#This Row],[Age]]&lt;=35,"19-35",IF(Table1[[#This Row],[Age]]&lt;=50,"36-50",IF(Table1[[#This Row],[Age]]&lt;=65,"51-65","65+"))))</f>
        <v>65+</v>
      </c>
    </row>
    <row r="832" spans="1:19" x14ac:dyDescent="0.3">
      <c r="A832" s="3" t="s">
        <v>2536</v>
      </c>
      <c r="B832" s="3">
        <v>25</v>
      </c>
      <c r="C832" s="3" t="s">
        <v>35</v>
      </c>
      <c r="D832" s="3" t="s">
        <v>103</v>
      </c>
      <c r="E832" s="3" t="s">
        <v>18</v>
      </c>
      <c r="F832" s="4">
        <v>43654</v>
      </c>
      <c r="G832" s="3" t="s">
        <v>2537</v>
      </c>
      <c r="H832" s="3" t="s">
        <v>2538</v>
      </c>
      <c r="I832" s="3" t="s">
        <v>39</v>
      </c>
      <c r="J832" s="5">
        <v>12950.759575448599</v>
      </c>
      <c r="K832" s="3">
        <v>333</v>
      </c>
      <c r="L832" s="3" t="s">
        <v>31</v>
      </c>
      <c r="M832" s="4">
        <v>43660</v>
      </c>
      <c r="N832" s="3" t="s">
        <v>23</v>
      </c>
      <c r="O832" s="3" t="s">
        <v>33</v>
      </c>
      <c r="P832" s="3" t="str">
        <f>IF(Table1[[#This Row],[Billing Amount]]&lt;5000,"Low",IF(Table1[[#This Row],[Billing Amount]]&lt;=15000,"Medium","High"))</f>
        <v>Medium</v>
      </c>
      <c r="Q832" s="3" t="str">
        <f>IF(Table1[[#This Row],[Discharge Date]]="Yes","Discharged","Under Treatment")</f>
        <v>Under Treatment</v>
      </c>
      <c r="R832" s="3" t="str">
        <f>IF(Table1[[#This Row],[Test Results]]&gt;120,"High Risk","Normal")</f>
        <v>High Risk</v>
      </c>
      <c r="S832" s="3" t="str">
        <f>IF(Table1[[#This Row],[Age]]&lt;=18,"0-18",IF(Table1[[#This Row],[Age]]&lt;=35,"19-35",IF(Table1[[#This Row],[Age]]&lt;=50,"36-50",IF(Table1[[#This Row],[Age]]&lt;=65,"51-65","65+"))))</f>
        <v>19-35</v>
      </c>
    </row>
    <row r="833" spans="1:19" x14ac:dyDescent="0.3">
      <c r="A833" s="3" t="s">
        <v>2539</v>
      </c>
      <c r="B833" s="3">
        <v>34</v>
      </c>
      <c r="C833" s="3" t="s">
        <v>16</v>
      </c>
      <c r="D833" s="3" t="s">
        <v>26</v>
      </c>
      <c r="E833" s="3" t="s">
        <v>43</v>
      </c>
      <c r="F833" s="4">
        <v>44812</v>
      </c>
      <c r="G833" s="3" t="s">
        <v>2540</v>
      </c>
      <c r="H833" s="3" t="s">
        <v>2541</v>
      </c>
      <c r="I833" s="3" t="s">
        <v>30</v>
      </c>
      <c r="J833" s="5">
        <v>12586.422175762</v>
      </c>
      <c r="K833" s="3">
        <v>234</v>
      </c>
      <c r="L833" s="3" t="s">
        <v>22</v>
      </c>
      <c r="M833" s="4">
        <v>44825</v>
      </c>
      <c r="N833" s="3" t="s">
        <v>52</v>
      </c>
      <c r="O833" s="3" t="s">
        <v>24</v>
      </c>
      <c r="P833" s="3" t="str">
        <f>IF(Table1[[#This Row],[Billing Amount]]&lt;5000,"Low",IF(Table1[[#This Row],[Billing Amount]]&lt;=15000,"Medium","High"))</f>
        <v>Medium</v>
      </c>
      <c r="Q833" s="3" t="str">
        <f>IF(Table1[[#This Row],[Discharge Date]]="Yes","Discharged","Under Treatment")</f>
        <v>Under Treatment</v>
      </c>
      <c r="R833" s="3" t="str">
        <f>IF(Table1[[#This Row],[Test Results]]&gt;120,"High Risk","Normal")</f>
        <v>High Risk</v>
      </c>
      <c r="S833" s="3" t="str">
        <f>IF(Table1[[#This Row],[Age]]&lt;=18,"0-18",IF(Table1[[#This Row],[Age]]&lt;=35,"19-35",IF(Table1[[#This Row],[Age]]&lt;=50,"36-50",IF(Table1[[#This Row],[Age]]&lt;=65,"51-65","65+"))))</f>
        <v>19-35</v>
      </c>
    </row>
    <row r="834" spans="1:19" x14ac:dyDescent="0.3">
      <c r="A834" s="3" t="s">
        <v>2542</v>
      </c>
      <c r="B834" s="3">
        <v>57</v>
      </c>
      <c r="C834" s="3" t="s">
        <v>16</v>
      </c>
      <c r="D834" s="3" t="s">
        <v>17</v>
      </c>
      <c r="E834" s="3" t="s">
        <v>27</v>
      </c>
      <c r="F834" s="4">
        <v>44787</v>
      </c>
      <c r="G834" s="3" t="s">
        <v>2543</v>
      </c>
      <c r="H834" s="3" t="s">
        <v>2544</v>
      </c>
      <c r="I834" s="3" t="s">
        <v>39</v>
      </c>
      <c r="J834" s="5">
        <v>26378.979266611499</v>
      </c>
      <c r="K834" s="3">
        <v>357</v>
      </c>
      <c r="L834" s="3" t="s">
        <v>22</v>
      </c>
      <c r="M834" s="4">
        <v>44817</v>
      </c>
      <c r="N834" s="3" t="s">
        <v>32</v>
      </c>
      <c r="O834" s="3" t="s">
        <v>33</v>
      </c>
      <c r="P834" s="3" t="str">
        <f>IF(Table1[[#This Row],[Billing Amount]]&lt;5000,"Low",IF(Table1[[#This Row],[Billing Amount]]&lt;=15000,"Medium","High"))</f>
        <v>High</v>
      </c>
      <c r="Q834" s="3" t="str">
        <f>IF(Table1[[#This Row],[Discharge Date]]="Yes","Discharged","Under Treatment")</f>
        <v>Under Treatment</v>
      </c>
      <c r="R834" s="3" t="str">
        <f>IF(Table1[[#This Row],[Test Results]]&gt;120,"High Risk","Normal")</f>
        <v>High Risk</v>
      </c>
      <c r="S834" s="3" t="str">
        <f>IF(Table1[[#This Row],[Age]]&lt;=18,"0-18",IF(Table1[[#This Row],[Age]]&lt;=35,"19-35",IF(Table1[[#This Row],[Age]]&lt;=50,"36-50",IF(Table1[[#This Row],[Age]]&lt;=65,"51-65","65+"))))</f>
        <v>51-65</v>
      </c>
    </row>
    <row r="835" spans="1:19" x14ac:dyDescent="0.3">
      <c r="A835" s="3" t="s">
        <v>2545</v>
      </c>
      <c r="B835" s="3">
        <v>73</v>
      </c>
      <c r="C835" s="3" t="s">
        <v>35</v>
      </c>
      <c r="D835" s="3" t="s">
        <v>59</v>
      </c>
      <c r="E835" s="3" t="s">
        <v>54</v>
      </c>
      <c r="F835" s="4">
        <v>45055</v>
      </c>
      <c r="G835" s="3" t="s">
        <v>2546</v>
      </c>
      <c r="H835" s="3" t="s">
        <v>2547</v>
      </c>
      <c r="I835" s="3" t="s">
        <v>30</v>
      </c>
      <c r="J835" s="5">
        <v>34587.807228902398</v>
      </c>
      <c r="K835" s="3">
        <v>252</v>
      </c>
      <c r="L835" s="3" t="s">
        <v>22</v>
      </c>
      <c r="M835" s="4">
        <v>45076</v>
      </c>
      <c r="N835" s="3" t="s">
        <v>79</v>
      </c>
      <c r="O835" s="3" t="s">
        <v>33</v>
      </c>
      <c r="P835" s="3" t="str">
        <f>IF(Table1[[#This Row],[Billing Amount]]&lt;5000,"Low",IF(Table1[[#This Row],[Billing Amount]]&lt;=15000,"Medium","High"))</f>
        <v>High</v>
      </c>
      <c r="Q835" s="3" t="str">
        <f>IF(Table1[[#This Row],[Discharge Date]]="Yes","Discharged","Under Treatment")</f>
        <v>Under Treatment</v>
      </c>
      <c r="R835" s="3" t="str">
        <f>IF(Table1[[#This Row],[Test Results]]&gt;120,"High Risk","Normal")</f>
        <v>High Risk</v>
      </c>
      <c r="S835" s="3" t="str">
        <f>IF(Table1[[#This Row],[Age]]&lt;=18,"0-18",IF(Table1[[#This Row],[Age]]&lt;=35,"19-35",IF(Table1[[#This Row],[Age]]&lt;=50,"36-50",IF(Table1[[#This Row],[Age]]&lt;=65,"51-65","65+"))))</f>
        <v>65+</v>
      </c>
    </row>
    <row r="836" spans="1:19" x14ac:dyDescent="0.3">
      <c r="A836" s="3" t="s">
        <v>2548</v>
      </c>
      <c r="B836" s="3">
        <v>64</v>
      </c>
      <c r="C836" s="3" t="s">
        <v>35</v>
      </c>
      <c r="D836" s="3" t="s">
        <v>103</v>
      </c>
      <c r="E836" s="3" t="s">
        <v>18</v>
      </c>
      <c r="F836" s="4">
        <v>44469</v>
      </c>
      <c r="G836" s="3" t="s">
        <v>2549</v>
      </c>
      <c r="H836" s="3" t="s">
        <v>2550</v>
      </c>
      <c r="I836" s="3" t="s">
        <v>30</v>
      </c>
      <c r="J836" s="5">
        <v>33631.417667171401</v>
      </c>
      <c r="K836" s="3">
        <v>176</v>
      </c>
      <c r="L836" s="3" t="s">
        <v>22</v>
      </c>
      <c r="M836" s="4">
        <v>44472</v>
      </c>
      <c r="N836" s="3" t="s">
        <v>79</v>
      </c>
      <c r="O836" s="3" t="s">
        <v>24</v>
      </c>
      <c r="P836" s="3" t="str">
        <f>IF(Table1[[#This Row],[Billing Amount]]&lt;5000,"Low",IF(Table1[[#This Row],[Billing Amount]]&lt;=15000,"Medium","High"))</f>
        <v>High</v>
      </c>
      <c r="Q836" s="3" t="str">
        <f>IF(Table1[[#This Row],[Discharge Date]]="Yes","Discharged","Under Treatment")</f>
        <v>Under Treatment</v>
      </c>
      <c r="R836" s="3" t="str">
        <f>IF(Table1[[#This Row],[Test Results]]&gt;120,"High Risk","Normal")</f>
        <v>High Risk</v>
      </c>
      <c r="S836" s="3" t="str">
        <f>IF(Table1[[#This Row],[Age]]&lt;=18,"0-18",IF(Table1[[#This Row],[Age]]&lt;=35,"19-35",IF(Table1[[#This Row],[Age]]&lt;=50,"36-50",IF(Table1[[#This Row],[Age]]&lt;=65,"51-65","65+"))))</f>
        <v>51-65</v>
      </c>
    </row>
    <row r="837" spans="1:19" x14ac:dyDescent="0.3">
      <c r="A837" s="3" t="s">
        <v>2551</v>
      </c>
      <c r="B837" s="3">
        <v>26</v>
      </c>
      <c r="C837" s="3" t="s">
        <v>35</v>
      </c>
      <c r="D837" s="3" t="s">
        <v>49</v>
      </c>
      <c r="E837" s="3" t="s">
        <v>93</v>
      </c>
      <c r="F837" s="4">
        <v>44304</v>
      </c>
      <c r="G837" s="3" t="s">
        <v>2552</v>
      </c>
      <c r="H837" s="3" t="s">
        <v>2553</v>
      </c>
      <c r="I837" s="3" t="s">
        <v>21</v>
      </c>
      <c r="J837" s="5">
        <v>30502.461414768801</v>
      </c>
      <c r="K837" s="3">
        <v>443</v>
      </c>
      <c r="L837" s="3" t="s">
        <v>46</v>
      </c>
      <c r="M837" s="4">
        <v>44316</v>
      </c>
      <c r="N837" s="3" t="s">
        <v>32</v>
      </c>
      <c r="O837" s="3" t="s">
        <v>47</v>
      </c>
      <c r="P837" s="3" t="str">
        <f>IF(Table1[[#This Row],[Billing Amount]]&lt;5000,"Low",IF(Table1[[#This Row],[Billing Amount]]&lt;=15000,"Medium","High"))</f>
        <v>High</v>
      </c>
      <c r="Q837" s="3" t="str">
        <f>IF(Table1[[#This Row],[Discharge Date]]="Yes","Discharged","Under Treatment")</f>
        <v>Under Treatment</v>
      </c>
      <c r="R837" s="3" t="str">
        <f>IF(Table1[[#This Row],[Test Results]]&gt;120,"High Risk","Normal")</f>
        <v>High Risk</v>
      </c>
      <c r="S837" s="3" t="str">
        <f>IF(Table1[[#This Row],[Age]]&lt;=18,"0-18",IF(Table1[[#This Row],[Age]]&lt;=35,"19-35",IF(Table1[[#This Row],[Age]]&lt;=50,"36-50",IF(Table1[[#This Row],[Age]]&lt;=65,"51-65","65+"))))</f>
        <v>19-35</v>
      </c>
    </row>
    <row r="838" spans="1:19" x14ac:dyDescent="0.3">
      <c r="A838" s="3" t="s">
        <v>2554</v>
      </c>
      <c r="B838" s="3">
        <v>56</v>
      </c>
      <c r="C838" s="3" t="s">
        <v>16</v>
      </c>
      <c r="D838" s="3" t="s">
        <v>49</v>
      </c>
      <c r="E838" s="3" t="s">
        <v>76</v>
      </c>
      <c r="F838" s="4">
        <v>45335</v>
      </c>
      <c r="G838" s="3" t="s">
        <v>2555</v>
      </c>
      <c r="H838" s="3" t="s">
        <v>2556</v>
      </c>
      <c r="I838" s="3" t="s">
        <v>57</v>
      </c>
      <c r="J838" s="5">
        <v>6576.0851251517697</v>
      </c>
      <c r="K838" s="3">
        <v>396</v>
      </c>
      <c r="L838" s="3" t="s">
        <v>46</v>
      </c>
      <c r="M838" s="4">
        <v>45346</v>
      </c>
      <c r="N838" s="3" t="s">
        <v>79</v>
      </c>
      <c r="O838" s="3" t="s">
        <v>33</v>
      </c>
      <c r="P838" s="3" t="str">
        <f>IF(Table1[[#This Row],[Billing Amount]]&lt;5000,"Low",IF(Table1[[#This Row],[Billing Amount]]&lt;=15000,"Medium","High"))</f>
        <v>Medium</v>
      </c>
      <c r="Q838" s="3" t="str">
        <f>IF(Table1[[#This Row],[Discharge Date]]="Yes","Discharged","Under Treatment")</f>
        <v>Under Treatment</v>
      </c>
      <c r="R838" s="3" t="str">
        <f>IF(Table1[[#This Row],[Test Results]]&gt;120,"High Risk","Normal")</f>
        <v>High Risk</v>
      </c>
      <c r="S838" s="3" t="str">
        <f>IF(Table1[[#This Row],[Age]]&lt;=18,"0-18",IF(Table1[[#This Row],[Age]]&lt;=35,"19-35",IF(Table1[[#This Row],[Age]]&lt;=50,"36-50",IF(Table1[[#This Row],[Age]]&lt;=65,"51-65","65+"))))</f>
        <v>51-65</v>
      </c>
    </row>
    <row r="839" spans="1:19" x14ac:dyDescent="0.3">
      <c r="A839" s="3" t="s">
        <v>2557</v>
      </c>
      <c r="B839" s="3">
        <v>46</v>
      </c>
      <c r="C839" s="3" t="s">
        <v>35</v>
      </c>
      <c r="D839" s="3" t="s">
        <v>26</v>
      </c>
      <c r="E839" s="3" t="s">
        <v>43</v>
      </c>
      <c r="F839" s="4">
        <v>44109</v>
      </c>
      <c r="G839" s="3" t="s">
        <v>2558</v>
      </c>
      <c r="H839" s="3" t="s">
        <v>2559</v>
      </c>
      <c r="I839" s="3" t="s">
        <v>39</v>
      </c>
      <c r="J839" s="5">
        <v>41392.7801248701</v>
      </c>
      <c r="K839" s="3">
        <v>331</v>
      </c>
      <c r="L839" s="3" t="s">
        <v>46</v>
      </c>
      <c r="M839" s="4">
        <v>44111</v>
      </c>
      <c r="N839" s="3" t="s">
        <v>40</v>
      </c>
      <c r="O839" s="3" t="s">
        <v>47</v>
      </c>
      <c r="P839" s="3" t="str">
        <f>IF(Table1[[#This Row],[Billing Amount]]&lt;5000,"Low",IF(Table1[[#This Row],[Billing Amount]]&lt;=15000,"Medium","High"))</f>
        <v>High</v>
      </c>
      <c r="Q839" s="3" t="str">
        <f>IF(Table1[[#This Row],[Discharge Date]]="Yes","Discharged","Under Treatment")</f>
        <v>Under Treatment</v>
      </c>
      <c r="R839" s="3" t="str">
        <f>IF(Table1[[#This Row],[Test Results]]&gt;120,"High Risk","Normal")</f>
        <v>High Risk</v>
      </c>
      <c r="S839" s="3" t="str">
        <f>IF(Table1[[#This Row],[Age]]&lt;=18,"0-18",IF(Table1[[#This Row],[Age]]&lt;=35,"19-35",IF(Table1[[#This Row],[Age]]&lt;=50,"36-50",IF(Table1[[#This Row],[Age]]&lt;=65,"51-65","65+"))))</f>
        <v>36-50</v>
      </c>
    </row>
    <row r="840" spans="1:19" x14ac:dyDescent="0.3">
      <c r="A840" s="3" t="s">
        <v>2560</v>
      </c>
      <c r="B840" s="3">
        <v>58</v>
      </c>
      <c r="C840" s="3" t="s">
        <v>16</v>
      </c>
      <c r="D840" s="3" t="s">
        <v>36</v>
      </c>
      <c r="E840" s="3" t="s">
        <v>18</v>
      </c>
      <c r="F840" s="4">
        <v>44850</v>
      </c>
      <c r="G840" s="3" t="s">
        <v>2561</v>
      </c>
      <c r="H840" s="3" t="s">
        <v>2562</v>
      </c>
      <c r="I840" s="3" t="s">
        <v>39</v>
      </c>
      <c r="J840" s="5">
        <v>30627.208616756099</v>
      </c>
      <c r="K840" s="3">
        <v>291</v>
      </c>
      <c r="L840" s="3" t="s">
        <v>31</v>
      </c>
      <c r="M840" s="4">
        <v>44860</v>
      </c>
      <c r="N840" s="3" t="s">
        <v>79</v>
      </c>
      <c r="O840" s="3" t="s">
        <v>47</v>
      </c>
      <c r="P840" s="3" t="str">
        <f>IF(Table1[[#This Row],[Billing Amount]]&lt;5000,"Low",IF(Table1[[#This Row],[Billing Amount]]&lt;=15000,"Medium","High"))</f>
        <v>High</v>
      </c>
      <c r="Q840" s="3" t="str">
        <f>IF(Table1[[#This Row],[Discharge Date]]="Yes","Discharged","Under Treatment")</f>
        <v>Under Treatment</v>
      </c>
      <c r="R840" s="3" t="str">
        <f>IF(Table1[[#This Row],[Test Results]]&gt;120,"High Risk","Normal")</f>
        <v>High Risk</v>
      </c>
      <c r="S840" s="3" t="str">
        <f>IF(Table1[[#This Row],[Age]]&lt;=18,"0-18",IF(Table1[[#This Row],[Age]]&lt;=35,"19-35",IF(Table1[[#This Row],[Age]]&lt;=50,"36-50",IF(Table1[[#This Row],[Age]]&lt;=65,"51-65","65+"))))</f>
        <v>51-65</v>
      </c>
    </row>
    <row r="841" spans="1:19" x14ac:dyDescent="0.3">
      <c r="A841" s="3" t="s">
        <v>2563</v>
      </c>
      <c r="B841" s="3">
        <v>40</v>
      </c>
      <c r="C841" s="3" t="s">
        <v>16</v>
      </c>
      <c r="D841" s="3" t="s">
        <v>17</v>
      </c>
      <c r="E841" s="3" t="s">
        <v>18</v>
      </c>
      <c r="F841" s="4">
        <v>45273</v>
      </c>
      <c r="G841" s="3" t="s">
        <v>2564</v>
      </c>
      <c r="H841" s="3" t="s">
        <v>2565</v>
      </c>
      <c r="I841" s="3" t="s">
        <v>30</v>
      </c>
      <c r="J841" s="5">
        <v>32482.1557628681</v>
      </c>
      <c r="K841" s="3">
        <v>196</v>
      </c>
      <c r="L841" s="3" t="s">
        <v>31</v>
      </c>
      <c r="M841" s="4">
        <v>45279</v>
      </c>
      <c r="N841" s="3" t="s">
        <v>40</v>
      </c>
      <c r="O841" s="3" t="s">
        <v>33</v>
      </c>
      <c r="P841" s="3" t="str">
        <f>IF(Table1[[#This Row],[Billing Amount]]&lt;5000,"Low",IF(Table1[[#This Row],[Billing Amount]]&lt;=15000,"Medium","High"))</f>
        <v>High</v>
      </c>
      <c r="Q841" s="3" t="str">
        <f>IF(Table1[[#This Row],[Discharge Date]]="Yes","Discharged","Under Treatment")</f>
        <v>Under Treatment</v>
      </c>
      <c r="R841" s="3" t="str">
        <f>IF(Table1[[#This Row],[Test Results]]&gt;120,"High Risk","Normal")</f>
        <v>High Risk</v>
      </c>
      <c r="S841" s="3" t="str">
        <f>IF(Table1[[#This Row],[Age]]&lt;=18,"0-18",IF(Table1[[#This Row],[Age]]&lt;=35,"19-35",IF(Table1[[#This Row],[Age]]&lt;=50,"36-50",IF(Table1[[#This Row],[Age]]&lt;=65,"51-65","65+"))))</f>
        <v>36-50</v>
      </c>
    </row>
    <row r="842" spans="1:19" x14ac:dyDescent="0.3">
      <c r="A842" s="3" t="s">
        <v>2566</v>
      </c>
      <c r="B842" s="3">
        <v>84</v>
      </c>
      <c r="C842" s="3" t="s">
        <v>35</v>
      </c>
      <c r="D842" s="3" t="s">
        <v>122</v>
      </c>
      <c r="E842" s="3" t="s">
        <v>27</v>
      </c>
      <c r="F842" s="4">
        <v>45249</v>
      </c>
      <c r="G842" s="3" t="s">
        <v>2567</v>
      </c>
      <c r="H842" s="3" t="s">
        <v>2568</v>
      </c>
      <c r="I842" s="3" t="s">
        <v>21</v>
      </c>
      <c r="J842" s="5">
        <v>7238.96331235666</v>
      </c>
      <c r="K842" s="3">
        <v>328</v>
      </c>
      <c r="L842" s="3" t="s">
        <v>22</v>
      </c>
      <c r="M842" s="4">
        <v>45252</v>
      </c>
      <c r="N842" s="3" t="s">
        <v>79</v>
      </c>
      <c r="O842" s="3" t="s">
        <v>24</v>
      </c>
      <c r="P842" s="3" t="str">
        <f>IF(Table1[[#This Row],[Billing Amount]]&lt;5000,"Low",IF(Table1[[#This Row],[Billing Amount]]&lt;=15000,"Medium","High"))</f>
        <v>Medium</v>
      </c>
      <c r="Q842" s="3" t="str">
        <f>IF(Table1[[#This Row],[Discharge Date]]="Yes","Discharged","Under Treatment")</f>
        <v>Under Treatment</v>
      </c>
      <c r="R842" s="3" t="str">
        <f>IF(Table1[[#This Row],[Test Results]]&gt;120,"High Risk","Normal")</f>
        <v>High Risk</v>
      </c>
      <c r="S842" s="3" t="str">
        <f>IF(Table1[[#This Row],[Age]]&lt;=18,"0-18",IF(Table1[[#This Row],[Age]]&lt;=35,"19-35",IF(Table1[[#This Row],[Age]]&lt;=50,"36-50",IF(Table1[[#This Row],[Age]]&lt;=65,"51-65","65+"))))</f>
        <v>65+</v>
      </c>
    </row>
    <row r="843" spans="1:19" x14ac:dyDescent="0.3">
      <c r="A843" s="3" t="s">
        <v>2569</v>
      </c>
      <c r="B843" s="3">
        <v>41</v>
      </c>
      <c r="C843" s="3" t="s">
        <v>16</v>
      </c>
      <c r="D843" s="3" t="s">
        <v>49</v>
      </c>
      <c r="E843" s="3" t="s">
        <v>27</v>
      </c>
      <c r="F843" s="4">
        <v>44835</v>
      </c>
      <c r="G843" s="3" t="s">
        <v>2570</v>
      </c>
      <c r="H843" s="3" t="s">
        <v>2571</v>
      </c>
      <c r="I843" s="3" t="s">
        <v>65</v>
      </c>
      <c r="J843" s="5">
        <v>1114.41155922194</v>
      </c>
      <c r="K843" s="3">
        <v>150</v>
      </c>
      <c r="L843" s="3" t="s">
        <v>31</v>
      </c>
      <c r="M843" s="4">
        <v>44854</v>
      </c>
      <c r="N843" s="3" t="s">
        <v>23</v>
      </c>
      <c r="O843" s="3" t="s">
        <v>33</v>
      </c>
      <c r="P843" s="3" t="str">
        <f>IF(Table1[[#This Row],[Billing Amount]]&lt;5000,"Low",IF(Table1[[#This Row],[Billing Amount]]&lt;=15000,"Medium","High"))</f>
        <v>Low</v>
      </c>
      <c r="Q843" s="3" t="str">
        <f>IF(Table1[[#This Row],[Discharge Date]]="Yes","Discharged","Under Treatment")</f>
        <v>Under Treatment</v>
      </c>
      <c r="R843" s="3" t="str">
        <f>IF(Table1[[#This Row],[Test Results]]&gt;120,"High Risk","Normal")</f>
        <v>High Risk</v>
      </c>
      <c r="S843" s="3" t="str">
        <f>IF(Table1[[#This Row],[Age]]&lt;=18,"0-18",IF(Table1[[#This Row],[Age]]&lt;=35,"19-35",IF(Table1[[#This Row],[Age]]&lt;=50,"36-50",IF(Table1[[#This Row],[Age]]&lt;=65,"51-65","65+"))))</f>
        <v>36-50</v>
      </c>
    </row>
    <row r="844" spans="1:19" x14ac:dyDescent="0.3">
      <c r="A844" s="3" t="s">
        <v>2572</v>
      </c>
      <c r="B844" s="3">
        <v>74</v>
      </c>
      <c r="C844" s="3" t="s">
        <v>16</v>
      </c>
      <c r="D844" s="3" t="s">
        <v>103</v>
      </c>
      <c r="E844" s="3" t="s">
        <v>18</v>
      </c>
      <c r="F844" s="4">
        <v>43609</v>
      </c>
      <c r="G844" s="3" t="s">
        <v>2573</v>
      </c>
      <c r="H844" s="3" t="s">
        <v>2574</v>
      </c>
      <c r="I844" s="3" t="s">
        <v>57</v>
      </c>
      <c r="J844" s="5">
        <v>11162.425018145899</v>
      </c>
      <c r="K844" s="3">
        <v>455</v>
      </c>
      <c r="L844" s="3" t="s">
        <v>31</v>
      </c>
      <c r="M844" s="4">
        <v>43633</v>
      </c>
      <c r="N844" s="3" t="s">
        <v>40</v>
      </c>
      <c r="O844" s="3" t="s">
        <v>24</v>
      </c>
      <c r="P844" s="3" t="str">
        <f>IF(Table1[[#This Row],[Billing Amount]]&lt;5000,"Low",IF(Table1[[#This Row],[Billing Amount]]&lt;=15000,"Medium","High"))</f>
        <v>Medium</v>
      </c>
      <c r="Q844" s="3" t="str">
        <f>IF(Table1[[#This Row],[Discharge Date]]="Yes","Discharged","Under Treatment")</f>
        <v>Under Treatment</v>
      </c>
      <c r="R844" s="3" t="str">
        <f>IF(Table1[[#This Row],[Test Results]]&gt;120,"High Risk","Normal")</f>
        <v>High Risk</v>
      </c>
      <c r="S844" s="3" t="str">
        <f>IF(Table1[[#This Row],[Age]]&lt;=18,"0-18",IF(Table1[[#This Row],[Age]]&lt;=35,"19-35",IF(Table1[[#This Row],[Age]]&lt;=50,"36-50",IF(Table1[[#This Row],[Age]]&lt;=65,"51-65","65+"))))</f>
        <v>65+</v>
      </c>
    </row>
    <row r="845" spans="1:19" x14ac:dyDescent="0.3">
      <c r="A845" s="3" t="s">
        <v>2575</v>
      </c>
      <c r="B845" s="3">
        <v>84</v>
      </c>
      <c r="C845" s="3" t="s">
        <v>35</v>
      </c>
      <c r="D845" s="3" t="s">
        <v>122</v>
      </c>
      <c r="E845" s="3" t="s">
        <v>27</v>
      </c>
      <c r="F845" s="4">
        <v>44347</v>
      </c>
      <c r="G845" s="3" t="s">
        <v>2576</v>
      </c>
      <c r="H845" s="3" t="s">
        <v>2577</v>
      </c>
      <c r="I845" s="3" t="s">
        <v>57</v>
      </c>
      <c r="J845" s="5">
        <v>1990.26905333071</v>
      </c>
      <c r="K845" s="3">
        <v>488</v>
      </c>
      <c r="L845" s="3" t="s">
        <v>22</v>
      </c>
      <c r="M845" s="4">
        <v>44350</v>
      </c>
      <c r="N845" s="3" t="s">
        <v>79</v>
      </c>
      <c r="O845" s="3" t="s">
        <v>24</v>
      </c>
      <c r="P845" s="3" t="str">
        <f>IF(Table1[[#This Row],[Billing Amount]]&lt;5000,"Low",IF(Table1[[#This Row],[Billing Amount]]&lt;=15000,"Medium","High"))</f>
        <v>Low</v>
      </c>
      <c r="Q845" s="3" t="str">
        <f>IF(Table1[[#This Row],[Discharge Date]]="Yes","Discharged","Under Treatment")</f>
        <v>Under Treatment</v>
      </c>
      <c r="R845" s="3" t="str">
        <f>IF(Table1[[#This Row],[Test Results]]&gt;120,"High Risk","Normal")</f>
        <v>High Risk</v>
      </c>
      <c r="S845" s="3" t="str">
        <f>IF(Table1[[#This Row],[Age]]&lt;=18,"0-18",IF(Table1[[#This Row],[Age]]&lt;=35,"19-35",IF(Table1[[#This Row],[Age]]&lt;=50,"36-50",IF(Table1[[#This Row],[Age]]&lt;=65,"51-65","65+"))))</f>
        <v>65+</v>
      </c>
    </row>
    <row r="846" spans="1:19" x14ac:dyDescent="0.3">
      <c r="A846" s="3" t="s">
        <v>2578</v>
      </c>
      <c r="B846" s="3">
        <v>67</v>
      </c>
      <c r="C846" s="3" t="s">
        <v>35</v>
      </c>
      <c r="D846" s="3" t="s">
        <v>103</v>
      </c>
      <c r="E846" s="3" t="s">
        <v>27</v>
      </c>
      <c r="F846" s="4">
        <v>43648</v>
      </c>
      <c r="G846" s="3" t="s">
        <v>2579</v>
      </c>
      <c r="H846" s="3" t="s">
        <v>2580</v>
      </c>
      <c r="I846" s="3" t="s">
        <v>30</v>
      </c>
      <c r="J846" s="5">
        <v>32363.644181923701</v>
      </c>
      <c r="K846" s="3">
        <v>161</v>
      </c>
      <c r="L846" s="3" t="s">
        <v>46</v>
      </c>
      <c r="M846" s="4">
        <v>43659</v>
      </c>
      <c r="N846" s="3" t="s">
        <v>52</v>
      </c>
      <c r="O846" s="3" t="s">
        <v>33</v>
      </c>
      <c r="P846" s="3" t="str">
        <f>IF(Table1[[#This Row],[Billing Amount]]&lt;5000,"Low",IF(Table1[[#This Row],[Billing Amount]]&lt;=15000,"Medium","High"))</f>
        <v>High</v>
      </c>
      <c r="Q846" s="3" t="str">
        <f>IF(Table1[[#This Row],[Discharge Date]]="Yes","Discharged","Under Treatment")</f>
        <v>Under Treatment</v>
      </c>
      <c r="R846" s="3" t="str">
        <f>IF(Table1[[#This Row],[Test Results]]&gt;120,"High Risk","Normal")</f>
        <v>High Risk</v>
      </c>
      <c r="S846" s="3" t="str">
        <f>IF(Table1[[#This Row],[Age]]&lt;=18,"0-18",IF(Table1[[#This Row],[Age]]&lt;=35,"19-35",IF(Table1[[#This Row],[Age]]&lt;=50,"36-50",IF(Table1[[#This Row],[Age]]&lt;=65,"51-65","65+"))))</f>
        <v>65+</v>
      </c>
    </row>
    <row r="847" spans="1:19" x14ac:dyDescent="0.3">
      <c r="A847" s="3" t="s">
        <v>2581</v>
      </c>
      <c r="B847" s="3">
        <v>84</v>
      </c>
      <c r="C847" s="3" t="s">
        <v>35</v>
      </c>
      <c r="D847" s="3" t="s">
        <v>103</v>
      </c>
      <c r="E847" s="3" t="s">
        <v>27</v>
      </c>
      <c r="F847" s="4">
        <v>43642</v>
      </c>
      <c r="G847" s="3" t="s">
        <v>2582</v>
      </c>
      <c r="H847" s="3" t="s">
        <v>2583</v>
      </c>
      <c r="I847" s="3" t="s">
        <v>21</v>
      </c>
      <c r="J847" s="5">
        <v>36760.483287079398</v>
      </c>
      <c r="K847" s="3">
        <v>442</v>
      </c>
      <c r="L847" s="3" t="s">
        <v>46</v>
      </c>
      <c r="M847" s="4">
        <v>43646</v>
      </c>
      <c r="N847" s="3" t="s">
        <v>79</v>
      </c>
      <c r="O847" s="3" t="s">
        <v>47</v>
      </c>
      <c r="P847" s="3" t="str">
        <f>IF(Table1[[#This Row],[Billing Amount]]&lt;5000,"Low",IF(Table1[[#This Row],[Billing Amount]]&lt;=15000,"Medium","High"))</f>
        <v>High</v>
      </c>
      <c r="Q847" s="3" t="str">
        <f>IF(Table1[[#This Row],[Discharge Date]]="Yes","Discharged","Under Treatment")</f>
        <v>Under Treatment</v>
      </c>
      <c r="R847" s="3" t="str">
        <f>IF(Table1[[#This Row],[Test Results]]&gt;120,"High Risk","Normal")</f>
        <v>High Risk</v>
      </c>
      <c r="S847" s="3" t="str">
        <f>IF(Table1[[#This Row],[Age]]&lt;=18,"0-18",IF(Table1[[#This Row],[Age]]&lt;=35,"19-35",IF(Table1[[#This Row],[Age]]&lt;=50,"36-50",IF(Table1[[#This Row],[Age]]&lt;=65,"51-65","65+"))))</f>
        <v>65+</v>
      </c>
    </row>
    <row r="848" spans="1:19" x14ac:dyDescent="0.3">
      <c r="A848" s="3" t="s">
        <v>2584</v>
      </c>
      <c r="B848" s="3">
        <v>28</v>
      </c>
      <c r="C848" s="3" t="s">
        <v>16</v>
      </c>
      <c r="D848" s="3" t="s">
        <v>26</v>
      </c>
      <c r="E848" s="3" t="s">
        <v>27</v>
      </c>
      <c r="F848" s="4">
        <v>44976</v>
      </c>
      <c r="G848" s="3" t="s">
        <v>2585</v>
      </c>
      <c r="H848" s="3" t="s">
        <v>2586</v>
      </c>
      <c r="I848" s="3" t="s">
        <v>65</v>
      </c>
      <c r="J848" s="5">
        <v>24416.376023705601</v>
      </c>
      <c r="K848" s="3">
        <v>110</v>
      </c>
      <c r="L848" s="3" t="s">
        <v>31</v>
      </c>
      <c r="M848" s="4">
        <v>44998</v>
      </c>
      <c r="N848" s="3" t="s">
        <v>23</v>
      </c>
      <c r="O848" s="3" t="s">
        <v>24</v>
      </c>
      <c r="P848" s="3" t="str">
        <f>IF(Table1[[#This Row],[Billing Amount]]&lt;5000,"Low",IF(Table1[[#This Row],[Billing Amount]]&lt;=15000,"Medium","High"))</f>
        <v>High</v>
      </c>
      <c r="Q848" s="3" t="str">
        <f>IF(Table1[[#This Row],[Discharge Date]]="Yes","Discharged","Under Treatment")</f>
        <v>Under Treatment</v>
      </c>
      <c r="R848" s="3" t="str">
        <f>IF(Table1[[#This Row],[Test Results]]&gt;120,"High Risk","Normal")</f>
        <v>High Risk</v>
      </c>
      <c r="S848" s="3" t="str">
        <f>IF(Table1[[#This Row],[Age]]&lt;=18,"0-18",IF(Table1[[#This Row],[Age]]&lt;=35,"19-35",IF(Table1[[#This Row],[Age]]&lt;=50,"36-50",IF(Table1[[#This Row],[Age]]&lt;=65,"51-65","65+"))))</f>
        <v>19-35</v>
      </c>
    </row>
    <row r="849" spans="1:19" x14ac:dyDescent="0.3">
      <c r="A849" s="3" t="s">
        <v>2587</v>
      </c>
      <c r="B849" s="3">
        <v>51</v>
      </c>
      <c r="C849" s="3" t="s">
        <v>35</v>
      </c>
      <c r="D849" s="3" t="s">
        <v>103</v>
      </c>
      <c r="E849" s="3" t="s">
        <v>54</v>
      </c>
      <c r="F849" s="4">
        <v>44963</v>
      </c>
      <c r="G849" s="3" t="s">
        <v>2588</v>
      </c>
      <c r="H849" s="3" t="s">
        <v>2589</v>
      </c>
      <c r="I849" s="3" t="s">
        <v>30</v>
      </c>
      <c r="J849" s="5">
        <v>48723.708478119603</v>
      </c>
      <c r="K849" s="3">
        <v>297</v>
      </c>
      <c r="L849" s="3" t="s">
        <v>31</v>
      </c>
      <c r="M849" s="4">
        <v>44987</v>
      </c>
      <c r="N849" s="3" t="s">
        <v>52</v>
      </c>
      <c r="O849" s="3" t="s">
        <v>47</v>
      </c>
      <c r="P849" s="3" t="str">
        <f>IF(Table1[[#This Row],[Billing Amount]]&lt;5000,"Low",IF(Table1[[#This Row],[Billing Amount]]&lt;=15000,"Medium","High"))</f>
        <v>High</v>
      </c>
      <c r="Q849" s="3" t="str">
        <f>IF(Table1[[#This Row],[Discharge Date]]="Yes","Discharged","Under Treatment")</f>
        <v>Under Treatment</v>
      </c>
      <c r="R849" s="3" t="str">
        <f>IF(Table1[[#This Row],[Test Results]]&gt;120,"High Risk","Normal")</f>
        <v>High Risk</v>
      </c>
      <c r="S849" s="3" t="str">
        <f>IF(Table1[[#This Row],[Age]]&lt;=18,"0-18",IF(Table1[[#This Row],[Age]]&lt;=35,"19-35",IF(Table1[[#This Row],[Age]]&lt;=50,"36-50",IF(Table1[[#This Row],[Age]]&lt;=65,"51-65","65+"))))</f>
        <v>51-65</v>
      </c>
    </row>
    <row r="850" spans="1:19" x14ac:dyDescent="0.3">
      <c r="A850" s="3" t="s">
        <v>2590</v>
      </c>
      <c r="B850" s="3">
        <v>41</v>
      </c>
      <c r="C850" s="3" t="s">
        <v>16</v>
      </c>
      <c r="D850" s="3" t="s">
        <v>49</v>
      </c>
      <c r="E850" s="3" t="s">
        <v>76</v>
      </c>
      <c r="F850" s="4">
        <v>44182</v>
      </c>
      <c r="G850" s="3" t="s">
        <v>2591</v>
      </c>
      <c r="H850" s="3" t="s">
        <v>2592</v>
      </c>
      <c r="I850" s="3" t="s">
        <v>21</v>
      </c>
      <c r="J850" s="5">
        <v>1538.39431655048</v>
      </c>
      <c r="K850" s="3">
        <v>258</v>
      </c>
      <c r="L850" s="3" t="s">
        <v>31</v>
      </c>
      <c r="M850" s="4">
        <v>44185</v>
      </c>
      <c r="N850" s="3" t="s">
        <v>79</v>
      </c>
      <c r="O850" s="3" t="s">
        <v>24</v>
      </c>
      <c r="P850" s="3" t="str">
        <f>IF(Table1[[#This Row],[Billing Amount]]&lt;5000,"Low",IF(Table1[[#This Row],[Billing Amount]]&lt;=15000,"Medium","High"))</f>
        <v>Low</v>
      </c>
      <c r="Q850" s="3" t="str">
        <f>IF(Table1[[#This Row],[Discharge Date]]="Yes","Discharged","Under Treatment")</f>
        <v>Under Treatment</v>
      </c>
      <c r="R850" s="3" t="str">
        <f>IF(Table1[[#This Row],[Test Results]]&gt;120,"High Risk","Normal")</f>
        <v>High Risk</v>
      </c>
      <c r="S850" s="3" t="str">
        <f>IF(Table1[[#This Row],[Age]]&lt;=18,"0-18",IF(Table1[[#This Row],[Age]]&lt;=35,"19-35",IF(Table1[[#This Row],[Age]]&lt;=50,"36-50",IF(Table1[[#This Row],[Age]]&lt;=65,"51-65","65+"))))</f>
        <v>36-50</v>
      </c>
    </row>
    <row r="851" spans="1:19" x14ac:dyDescent="0.3">
      <c r="A851" s="3" t="s">
        <v>2593</v>
      </c>
      <c r="B851" s="3">
        <v>63</v>
      </c>
      <c r="C851" s="3" t="s">
        <v>16</v>
      </c>
      <c r="D851" s="3" t="s">
        <v>26</v>
      </c>
      <c r="E851" s="3" t="s">
        <v>27</v>
      </c>
      <c r="F851" s="4">
        <v>44571</v>
      </c>
      <c r="G851" s="3" t="s">
        <v>2594</v>
      </c>
      <c r="H851" s="3" t="s">
        <v>2595</v>
      </c>
      <c r="I851" s="3" t="s">
        <v>65</v>
      </c>
      <c r="J851" s="5">
        <v>33449.559001325601</v>
      </c>
      <c r="K851" s="3">
        <v>301</v>
      </c>
      <c r="L851" s="3" t="s">
        <v>46</v>
      </c>
      <c r="M851" s="4">
        <v>44573</v>
      </c>
      <c r="N851" s="3" t="s">
        <v>40</v>
      </c>
      <c r="O851" s="3" t="s">
        <v>24</v>
      </c>
      <c r="P851" s="3" t="str">
        <f>IF(Table1[[#This Row],[Billing Amount]]&lt;5000,"Low",IF(Table1[[#This Row],[Billing Amount]]&lt;=15000,"Medium","High"))</f>
        <v>High</v>
      </c>
      <c r="Q851" s="3" t="str">
        <f>IF(Table1[[#This Row],[Discharge Date]]="Yes","Discharged","Under Treatment")</f>
        <v>Under Treatment</v>
      </c>
      <c r="R851" s="3" t="str">
        <f>IF(Table1[[#This Row],[Test Results]]&gt;120,"High Risk","Normal")</f>
        <v>High Risk</v>
      </c>
      <c r="S851" s="3" t="str">
        <f>IF(Table1[[#This Row],[Age]]&lt;=18,"0-18",IF(Table1[[#This Row],[Age]]&lt;=35,"19-35",IF(Table1[[#This Row],[Age]]&lt;=50,"36-50",IF(Table1[[#This Row],[Age]]&lt;=65,"51-65","65+"))))</f>
        <v>51-65</v>
      </c>
    </row>
    <row r="852" spans="1:19" x14ac:dyDescent="0.3">
      <c r="A852" s="3" t="s">
        <v>2596</v>
      </c>
      <c r="B852" s="3">
        <v>49</v>
      </c>
      <c r="C852" s="3" t="s">
        <v>16</v>
      </c>
      <c r="D852" s="3" t="s">
        <v>59</v>
      </c>
      <c r="E852" s="3" t="s">
        <v>27</v>
      </c>
      <c r="F852" s="4">
        <v>43682</v>
      </c>
      <c r="G852" s="3" t="s">
        <v>2597</v>
      </c>
      <c r="H852" s="3" t="s">
        <v>2598</v>
      </c>
      <c r="I852" s="3" t="s">
        <v>65</v>
      </c>
      <c r="J852" s="5">
        <v>45777.4365015812</v>
      </c>
      <c r="K852" s="3">
        <v>178</v>
      </c>
      <c r="L852" s="3" t="s">
        <v>46</v>
      </c>
      <c r="M852" s="4">
        <v>43685</v>
      </c>
      <c r="N852" s="3" t="s">
        <v>52</v>
      </c>
      <c r="O852" s="3" t="s">
        <v>24</v>
      </c>
      <c r="P852" s="3" t="str">
        <f>IF(Table1[[#This Row],[Billing Amount]]&lt;5000,"Low",IF(Table1[[#This Row],[Billing Amount]]&lt;=15000,"Medium","High"))</f>
        <v>High</v>
      </c>
      <c r="Q852" s="3" t="str">
        <f>IF(Table1[[#This Row],[Discharge Date]]="Yes","Discharged","Under Treatment")</f>
        <v>Under Treatment</v>
      </c>
      <c r="R852" s="3" t="str">
        <f>IF(Table1[[#This Row],[Test Results]]&gt;120,"High Risk","Normal")</f>
        <v>High Risk</v>
      </c>
      <c r="S852" s="3" t="str">
        <f>IF(Table1[[#This Row],[Age]]&lt;=18,"0-18",IF(Table1[[#This Row],[Age]]&lt;=35,"19-35",IF(Table1[[#This Row],[Age]]&lt;=50,"36-50",IF(Table1[[#This Row],[Age]]&lt;=65,"51-65","65+"))))</f>
        <v>36-50</v>
      </c>
    </row>
    <row r="853" spans="1:19" x14ac:dyDescent="0.3">
      <c r="A853" s="3" t="s">
        <v>2599</v>
      </c>
      <c r="B853" s="3">
        <v>55</v>
      </c>
      <c r="C853" s="3" t="s">
        <v>16</v>
      </c>
      <c r="D853" s="3" t="s">
        <v>59</v>
      </c>
      <c r="E853" s="3" t="s">
        <v>93</v>
      </c>
      <c r="F853" s="4">
        <v>45000</v>
      </c>
      <c r="G853" s="3" t="s">
        <v>2600</v>
      </c>
      <c r="H853" s="3" t="s">
        <v>2601</v>
      </c>
      <c r="I853" s="3" t="s">
        <v>57</v>
      </c>
      <c r="J853" s="5">
        <v>30299.1967949715</v>
      </c>
      <c r="K853" s="3">
        <v>281</v>
      </c>
      <c r="L853" s="3" t="s">
        <v>31</v>
      </c>
      <c r="M853" s="4">
        <v>45006</v>
      </c>
      <c r="N853" s="3" t="s">
        <v>23</v>
      </c>
      <c r="O853" s="3" t="s">
        <v>24</v>
      </c>
      <c r="P853" s="3" t="str">
        <f>IF(Table1[[#This Row],[Billing Amount]]&lt;5000,"Low",IF(Table1[[#This Row],[Billing Amount]]&lt;=15000,"Medium","High"))</f>
        <v>High</v>
      </c>
      <c r="Q853" s="3" t="str">
        <f>IF(Table1[[#This Row],[Discharge Date]]="Yes","Discharged","Under Treatment")</f>
        <v>Under Treatment</v>
      </c>
      <c r="R853" s="3" t="str">
        <f>IF(Table1[[#This Row],[Test Results]]&gt;120,"High Risk","Normal")</f>
        <v>High Risk</v>
      </c>
      <c r="S853" s="3" t="str">
        <f>IF(Table1[[#This Row],[Age]]&lt;=18,"0-18",IF(Table1[[#This Row],[Age]]&lt;=35,"19-35",IF(Table1[[#This Row],[Age]]&lt;=50,"36-50",IF(Table1[[#This Row],[Age]]&lt;=65,"51-65","65+"))))</f>
        <v>51-65</v>
      </c>
    </row>
    <row r="854" spans="1:19" x14ac:dyDescent="0.3">
      <c r="A854" s="3" t="s">
        <v>2602</v>
      </c>
      <c r="B854" s="3">
        <v>71</v>
      </c>
      <c r="C854" s="3" t="s">
        <v>35</v>
      </c>
      <c r="D854" s="3" t="s">
        <v>42</v>
      </c>
      <c r="E854" s="3" t="s">
        <v>76</v>
      </c>
      <c r="F854" s="4">
        <v>45315</v>
      </c>
      <c r="G854" s="3" t="s">
        <v>2603</v>
      </c>
      <c r="H854" s="3" t="s">
        <v>2604</v>
      </c>
      <c r="I854" s="3" t="s">
        <v>21</v>
      </c>
      <c r="J854" s="5">
        <v>15645.720782789</v>
      </c>
      <c r="K854" s="3">
        <v>335</v>
      </c>
      <c r="L854" s="3" t="s">
        <v>46</v>
      </c>
      <c r="M854" s="4">
        <v>45333</v>
      </c>
      <c r="N854" s="3" t="s">
        <v>23</v>
      </c>
      <c r="O854" s="3" t="s">
        <v>47</v>
      </c>
      <c r="P854" s="3" t="str">
        <f>IF(Table1[[#This Row],[Billing Amount]]&lt;5000,"Low",IF(Table1[[#This Row],[Billing Amount]]&lt;=15000,"Medium","High"))</f>
        <v>High</v>
      </c>
      <c r="Q854" s="3" t="str">
        <f>IF(Table1[[#This Row],[Discharge Date]]="Yes","Discharged","Under Treatment")</f>
        <v>Under Treatment</v>
      </c>
      <c r="R854" s="3" t="str">
        <f>IF(Table1[[#This Row],[Test Results]]&gt;120,"High Risk","Normal")</f>
        <v>High Risk</v>
      </c>
      <c r="S854" s="3" t="str">
        <f>IF(Table1[[#This Row],[Age]]&lt;=18,"0-18",IF(Table1[[#This Row],[Age]]&lt;=35,"19-35",IF(Table1[[#This Row],[Age]]&lt;=50,"36-50",IF(Table1[[#This Row],[Age]]&lt;=65,"51-65","65+"))))</f>
        <v>65+</v>
      </c>
    </row>
    <row r="855" spans="1:19" x14ac:dyDescent="0.3">
      <c r="A855" s="3" t="s">
        <v>2605</v>
      </c>
      <c r="B855" s="3">
        <v>18</v>
      </c>
      <c r="C855" s="3" t="s">
        <v>35</v>
      </c>
      <c r="D855" s="3" t="s">
        <v>36</v>
      </c>
      <c r="E855" s="3" t="s">
        <v>18</v>
      </c>
      <c r="F855" s="4">
        <v>44198</v>
      </c>
      <c r="G855" s="3" t="s">
        <v>2606</v>
      </c>
      <c r="H855" s="3" t="s">
        <v>2607</v>
      </c>
      <c r="I855" s="3" t="s">
        <v>65</v>
      </c>
      <c r="J855" s="5">
        <v>47559.879763042802</v>
      </c>
      <c r="K855" s="3">
        <v>369</v>
      </c>
      <c r="L855" s="3" t="s">
        <v>46</v>
      </c>
      <c r="M855" s="4">
        <v>44206</v>
      </c>
      <c r="N855" s="3" t="s">
        <v>79</v>
      </c>
      <c r="O855" s="3" t="s">
        <v>33</v>
      </c>
      <c r="P855" s="3" t="str">
        <f>IF(Table1[[#This Row],[Billing Amount]]&lt;5000,"Low",IF(Table1[[#This Row],[Billing Amount]]&lt;=15000,"Medium","High"))</f>
        <v>High</v>
      </c>
      <c r="Q855" s="3" t="str">
        <f>IF(Table1[[#This Row],[Discharge Date]]="Yes","Discharged","Under Treatment")</f>
        <v>Under Treatment</v>
      </c>
      <c r="R855" s="3" t="str">
        <f>IF(Table1[[#This Row],[Test Results]]&gt;120,"High Risk","Normal")</f>
        <v>High Risk</v>
      </c>
      <c r="S855" s="3" t="str">
        <f>IF(Table1[[#This Row],[Age]]&lt;=18,"0-18",IF(Table1[[#This Row],[Age]]&lt;=35,"19-35",IF(Table1[[#This Row],[Age]]&lt;=50,"36-50",IF(Table1[[#This Row],[Age]]&lt;=65,"51-65","65+"))))</f>
        <v>0-18</v>
      </c>
    </row>
    <row r="856" spans="1:19" x14ac:dyDescent="0.3">
      <c r="A856" s="3" t="s">
        <v>2608</v>
      </c>
      <c r="B856" s="3">
        <v>23</v>
      </c>
      <c r="C856" s="3" t="s">
        <v>16</v>
      </c>
      <c r="D856" s="3" t="s">
        <v>59</v>
      </c>
      <c r="E856" s="3" t="s">
        <v>27</v>
      </c>
      <c r="F856" s="4">
        <v>43658</v>
      </c>
      <c r="G856" s="3" t="s">
        <v>2609</v>
      </c>
      <c r="H856" s="3" t="s">
        <v>2610</v>
      </c>
      <c r="I856" s="3" t="s">
        <v>57</v>
      </c>
      <c r="J856" s="5">
        <v>33991.2017554048</v>
      </c>
      <c r="K856" s="3">
        <v>138</v>
      </c>
      <c r="L856" s="3" t="s">
        <v>22</v>
      </c>
      <c r="M856" s="4">
        <v>43671</v>
      </c>
      <c r="N856" s="3" t="s">
        <v>23</v>
      </c>
      <c r="O856" s="3" t="s">
        <v>24</v>
      </c>
      <c r="P856" s="3" t="str">
        <f>IF(Table1[[#This Row],[Billing Amount]]&lt;5000,"Low",IF(Table1[[#This Row],[Billing Amount]]&lt;=15000,"Medium","High"))</f>
        <v>High</v>
      </c>
      <c r="Q856" s="3" t="str">
        <f>IF(Table1[[#This Row],[Discharge Date]]="Yes","Discharged","Under Treatment")</f>
        <v>Under Treatment</v>
      </c>
      <c r="R856" s="3" t="str">
        <f>IF(Table1[[#This Row],[Test Results]]&gt;120,"High Risk","Normal")</f>
        <v>High Risk</v>
      </c>
      <c r="S856" s="3" t="str">
        <f>IF(Table1[[#This Row],[Age]]&lt;=18,"0-18",IF(Table1[[#This Row],[Age]]&lt;=35,"19-35",IF(Table1[[#This Row],[Age]]&lt;=50,"36-50",IF(Table1[[#This Row],[Age]]&lt;=65,"51-65","65+"))))</f>
        <v>19-35</v>
      </c>
    </row>
    <row r="857" spans="1:19" x14ac:dyDescent="0.3">
      <c r="A857" s="3" t="s">
        <v>2611</v>
      </c>
      <c r="B857" s="3">
        <v>38</v>
      </c>
      <c r="C857" s="3" t="s">
        <v>16</v>
      </c>
      <c r="D857" s="3" t="s">
        <v>42</v>
      </c>
      <c r="E857" s="3" t="s">
        <v>76</v>
      </c>
      <c r="F857" s="4">
        <v>43735</v>
      </c>
      <c r="G857" s="3" t="s">
        <v>2612</v>
      </c>
      <c r="H857" s="3" t="s">
        <v>2613</v>
      </c>
      <c r="I857" s="3" t="s">
        <v>30</v>
      </c>
      <c r="J857" s="5">
        <v>48437.879591428398</v>
      </c>
      <c r="K857" s="3">
        <v>136</v>
      </c>
      <c r="L857" s="3" t="s">
        <v>22</v>
      </c>
      <c r="M857" s="4">
        <v>43738</v>
      </c>
      <c r="N857" s="3" t="s">
        <v>32</v>
      </c>
      <c r="O857" s="3" t="s">
        <v>33</v>
      </c>
      <c r="P857" s="3" t="str">
        <f>IF(Table1[[#This Row],[Billing Amount]]&lt;5000,"Low",IF(Table1[[#This Row],[Billing Amount]]&lt;=15000,"Medium","High"))</f>
        <v>High</v>
      </c>
      <c r="Q857" s="3" t="str">
        <f>IF(Table1[[#This Row],[Discharge Date]]="Yes","Discharged","Under Treatment")</f>
        <v>Under Treatment</v>
      </c>
      <c r="R857" s="3" t="str">
        <f>IF(Table1[[#This Row],[Test Results]]&gt;120,"High Risk","Normal")</f>
        <v>High Risk</v>
      </c>
      <c r="S857" s="3" t="str">
        <f>IF(Table1[[#This Row],[Age]]&lt;=18,"0-18",IF(Table1[[#This Row],[Age]]&lt;=35,"19-35",IF(Table1[[#This Row],[Age]]&lt;=50,"36-50",IF(Table1[[#This Row],[Age]]&lt;=65,"51-65","65+"))))</f>
        <v>36-50</v>
      </c>
    </row>
    <row r="858" spans="1:19" x14ac:dyDescent="0.3">
      <c r="A858" s="3" t="s">
        <v>2614</v>
      </c>
      <c r="B858" s="3">
        <v>39</v>
      </c>
      <c r="C858" s="3" t="s">
        <v>16</v>
      </c>
      <c r="D858" s="3" t="s">
        <v>36</v>
      </c>
      <c r="E858" s="3" t="s">
        <v>43</v>
      </c>
      <c r="F858" s="4">
        <v>44673</v>
      </c>
      <c r="G858" s="3" t="s">
        <v>2615</v>
      </c>
      <c r="H858" s="3" t="s">
        <v>2616</v>
      </c>
      <c r="I858" s="3" t="s">
        <v>21</v>
      </c>
      <c r="J858" s="5">
        <v>39180.299094829803</v>
      </c>
      <c r="K858" s="3">
        <v>118</v>
      </c>
      <c r="L858" s="3" t="s">
        <v>46</v>
      </c>
      <c r="M858" s="4">
        <v>44689</v>
      </c>
      <c r="N858" s="3" t="s">
        <v>32</v>
      </c>
      <c r="O858" s="3" t="s">
        <v>33</v>
      </c>
      <c r="P858" s="3" t="str">
        <f>IF(Table1[[#This Row],[Billing Amount]]&lt;5000,"Low",IF(Table1[[#This Row],[Billing Amount]]&lt;=15000,"Medium","High"))</f>
        <v>High</v>
      </c>
      <c r="Q858" s="3" t="str">
        <f>IF(Table1[[#This Row],[Discharge Date]]="Yes","Discharged","Under Treatment")</f>
        <v>Under Treatment</v>
      </c>
      <c r="R858" s="3" t="str">
        <f>IF(Table1[[#This Row],[Test Results]]&gt;120,"High Risk","Normal")</f>
        <v>High Risk</v>
      </c>
      <c r="S858" s="3" t="str">
        <f>IF(Table1[[#This Row],[Age]]&lt;=18,"0-18",IF(Table1[[#This Row],[Age]]&lt;=35,"19-35",IF(Table1[[#This Row],[Age]]&lt;=50,"36-50",IF(Table1[[#This Row],[Age]]&lt;=65,"51-65","65+"))))</f>
        <v>36-50</v>
      </c>
    </row>
    <row r="859" spans="1:19" x14ac:dyDescent="0.3">
      <c r="A859" s="3" t="s">
        <v>2617</v>
      </c>
      <c r="B859" s="3">
        <v>38</v>
      </c>
      <c r="C859" s="3" t="s">
        <v>16</v>
      </c>
      <c r="D859" s="3" t="s">
        <v>122</v>
      </c>
      <c r="E859" s="3" t="s">
        <v>54</v>
      </c>
      <c r="F859" s="4">
        <v>44545</v>
      </c>
      <c r="G859" s="3" t="s">
        <v>2618</v>
      </c>
      <c r="H859" s="3" t="s">
        <v>2619</v>
      </c>
      <c r="I859" s="3" t="s">
        <v>57</v>
      </c>
      <c r="J859" s="5">
        <v>18510.3301477485</v>
      </c>
      <c r="K859" s="3">
        <v>217</v>
      </c>
      <c r="L859" s="3" t="s">
        <v>46</v>
      </c>
      <c r="M859" s="4">
        <v>44574</v>
      </c>
      <c r="N859" s="3" t="s">
        <v>79</v>
      </c>
      <c r="O859" s="3" t="s">
        <v>24</v>
      </c>
      <c r="P859" s="3" t="str">
        <f>IF(Table1[[#This Row],[Billing Amount]]&lt;5000,"Low",IF(Table1[[#This Row],[Billing Amount]]&lt;=15000,"Medium","High"))</f>
        <v>High</v>
      </c>
      <c r="Q859" s="3" t="str">
        <f>IF(Table1[[#This Row],[Discharge Date]]="Yes","Discharged","Under Treatment")</f>
        <v>Under Treatment</v>
      </c>
      <c r="R859" s="3" t="str">
        <f>IF(Table1[[#This Row],[Test Results]]&gt;120,"High Risk","Normal")</f>
        <v>High Risk</v>
      </c>
      <c r="S859" s="3" t="str">
        <f>IF(Table1[[#This Row],[Age]]&lt;=18,"0-18",IF(Table1[[#This Row],[Age]]&lt;=35,"19-35",IF(Table1[[#This Row],[Age]]&lt;=50,"36-50",IF(Table1[[#This Row],[Age]]&lt;=65,"51-65","65+"))))</f>
        <v>36-50</v>
      </c>
    </row>
    <row r="860" spans="1:19" x14ac:dyDescent="0.3">
      <c r="A860" s="3" t="s">
        <v>2620</v>
      </c>
      <c r="B860" s="3">
        <v>60</v>
      </c>
      <c r="C860" s="3" t="s">
        <v>35</v>
      </c>
      <c r="D860" s="3" t="s">
        <v>26</v>
      </c>
      <c r="E860" s="3" t="s">
        <v>27</v>
      </c>
      <c r="F860" s="4">
        <v>44553</v>
      </c>
      <c r="G860" s="3" t="s">
        <v>2621</v>
      </c>
      <c r="H860" s="3" t="s">
        <v>2622</v>
      </c>
      <c r="I860" s="3" t="s">
        <v>65</v>
      </c>
      <c r="J860" s="5">
        <v>10649.3284078219</v>
      </c>
      <c r="K860" s="3">
        <v>236</v>
      </c>
      <c r="L860" s="3" t="s">
        <v>22</v>
      </c>
      <c r="M860" s="4">
        <v>44560</v>
      </c>
      <c r="N860" s="3" t="s">
        <v>52</v>
      </c>
      <c r="O860" s="3" t="s">
        <v>33</v>
      </c>
      <c r="P860" s="3" t="str">
        <f>IF(Table1[[#This Row],[Billing Amount]]&lt;5000,"Low",IF(Table1[[#This Row],[Billing Amount]]&lt;=15000,"Medium","High"))</f>
        <v>Medium</v>
      </c>
      <c r="Q860" s="3" t="str">
        <f>IF(Table1[[#This Row],[Discharge Date]]="Yes","Discharged","Under Treatment")</f>
        <v>Under Treatment</v>
      </c>
      <c r="R860" s="3" t="str">
        <f>IF(Table1[[#This Row],[Test Results]]&gt;120,"High Risk","Normal")</f>
        <v>High Risk</v>
      </c>
      <c r="S860" s="3" t="str">
        <f>IF(Table1[[#This Row],[Age]]&lt;=18,"0-18",IF(Table1[[#This Row],[Age]]&lt;=35,"19-35",IF(Table1[[#This Row],[Age]]&lt;=50,"36-50",IF(Table1[[#This Row],[Age]]&lt;=65,"51-65","65+"))))</f>
        <v>51-65</v>
      </c>
    </row>
    <row r="861" spans="1:19" x14ac:dyDescent="0.3">
      <c r="A861" s="3" t="s">
        <v>2623</v>
      </c>
      <c r="B861" s="3">
        <v>55</v>
      </c>
      <c r="C861" s="3" t="s">
        <v>16</v>
      </c>
      <c r="D861" s="3" t="s">
        <v>49</v>
      </c>
      <c r="E861" s="3" t="s">
        <v>93</v>
      </c>
      <c r="F861" s="4">
        <v>44625</v>
      </c>
      <c r="G861" s="3" t="s">
        <v>2624</v>
      </c>
      <c r="H861" s="3" t="s">
        <v>2625</v>
      </c>
      <c r="I861" s="3" t="s">
        <v>65</v>
      </c>
      <c r="J861" s="5">
        <v>34602.101944388502</v>
      </c>
      <c r="K861" s="3">
        <v>339</v>
      </c>
      <c r="L861" s="3" t="s">
        <v>46</v>
      </c>
      <c r="M861" s="4">
        <v>44634</v>
      </c>
      <c r="N861" s="3" t="s">
        <v>23</v>
      </c>
      <c r="O861" s="3" t="s">
        <v>24</v>
      </c>
      <c r="P861" s="3" t="str">
        <f>IF(Table1[[#This Row],[Billing Amount]]&lt;5000,"Low",IF(Table1[[#This Row],[Billing Amount]]&lt;=15000,"Medium","High"))</f>
        <v>High</v>
      </c>
      <c r="Q861" s="3" t="str">
        <f>IF(Table1[[#This Row],[Discharge Date]]="Yes","Discharged","Under Treatment")</f>
        <v>Under Treatment</v>
      </c>
      <c r="R861" s="3" t="str">
        <f>IF(Table1[[#This Row],[Test Results]]&gt;120,"High Risk","Normal")</f>
        <v>High Risk</v>
      </c>
      <c r="S861" s="3" t="str">
        <f>IF(Table1[[#This Row],[Age]]&lt;=18,"0-18",IF(Table1[[#This Row],[Age]]&lt;=35,"19-35",IF(Table1[[#This Row],[Age]]&lt;=50,"36-50",IF(Table1[[#This Row],[Age]]&lt;=65,"51-65","65+"))))</f>
        <v>51-65</v>
      </c>
    </row>
    <row r="862" spans="1:19" x14ac:dyDescent="0.3">
      <c r="A862" s="3" t="s">
        <v>2626</v>
      </c>
      <c r="B862" s="3">
        <v>59</v>
      </c>
      <c r="C862" s="3" t="s">
        <v>16</v>
      </c>
      <c r="D862" s="3" t="s">
        <v>49</v>
      </c>
      <c r="E862" s="3" t="s">
        <v>43</v>
      </c>
      <c r="F862" s="4">
        <v>45252</v>
      </c>
      <c r="G862" s="3" t="s">
        <v>2627</v>
      </c>
      <c r="H862" s="3" t="s">
        <v>2628</v>
      </c>
      <c r="I862" s="3" t="s">
        <v>39</v>
      </c>
      <c r="J862" s="5">
        <v>6216.4062284851398</v>
      </c>
      <c r="K862" s="3">
        <v>276</v>
      </c>
      <c r="L862" s="3" t="s">
        <v>31</v>
      </c>
      <c r="M862" s="4">
        <v>45253</v>
      </c>
      <c r="N862" s="3" t="s">
        <v>23</v>
      </c>
      <c r="O862" s="3" t="s">
        <v>33</v>
      </c>
      <c r="P862" s="3" t="str">
        <f>IF(Table1[[#This Row],[Billing Amount]]&lt;5000,"Low",IF(Table1[[#This Row],[Billing Amount]]&lt;=15000,"Medium","High"))</f>
        <v>Medium</v>
      </c>
      <c r="Q862" s="3" t="str">
        <f>IF(Table1[[#This Row],[Discharge Date]]="Yes","Discharged","Under Treatment")</f>
        <v>Under Treatment</v>
      </c>
      <c r="R862" s="3" t="str">
        <f>IF(Table1[[#This Row],[Test Results]]&gt;120,"High Risk","Normal")</f>
        <v>High Risk</v>
      </c>
      <c r="S862" s="3" t="str">
        <f>IF(Table1[[#This Row],[Age]]&lt;=18,"0-18",IF(Table1[[#This Row],[Age]]&lt;=35,"19-35",IF(Table1[[#This Row],[Age]]&lt;=50,"36-50",IF(Table1[[#This Row],[Age]]&lt;=65,"51-65","65+"))))</f>
        <v>51-65</v>
      </c>
    </row>
    <row r="863" spans="1:19" x14ac:dyDescent="0.3">
      <c r="A863" s="3" t="s">
        <v>2629</v>
      </c>
      <c r="B863" s="3">
        <v>83</v>
      </c>
      <c r="C863" s="3" t="s">
        <v>16</v>
      </c>
      <c r="D863" s="3" t="s">
        <v>122</v>
      </c>
      <c r="E863" s="3" t="s">
        <v>27</v>
      </c>
      <c r="F863" s="4">
        <v>44204</v>
      </c>
      <c r="G863" s="3" t="s">
        <v>2630</v>
      </c>
      <c r="H863" s="3" t="s">
        <v>2631</v>
      </c>
      <c r="I863" s="3" t="s">
        <v>30</v>
      </c>
      <c r="J863" s="5">
        <v>34770.747961031098</v>
      </c>
      <c r="K863" s="3">
        <v>328</v>
      </c>
      <c r="L863" s="3" t="s">
        <v>22</v>
      </c>
      <c r="M863" s="4">
        <v>44233</v>
      </c>
      <c r="N863" s="3" t="s">
        <v>40</v>
      </c>
      <c r="O863" s="3" t="s">
        <v>24</v>
      </c>
      <c r="P863" s="3" t="str">
        <f>IF(Table1[[#This Row],[Billing Amount]]&lt;5000,"Low",IF(Table1[[#This Row],[Billing Amount]]&lt;=15000,"Medium","High"))</f>
        <v>High</v>
      </c>
      <c r="Q863" s="3" t="str">
        <f>IF(Table1[[#This Row],[Discharge Date]]="Yes","Discharged","Under Treatment")</f>
        <v>Under Treatment</v>
      </c>
      <c r="R863" s="3" t="str">
        <f>IF(Table1[[#This Row],[Test Results]]&gt;120,"High Risk","Normal")</f>
        <v>High Risk</v>
      </c>
      <c r="S863" s="3" t="str">
        <f>IF(Table1[[#This Row],[Age]]&lt;=18,"0-18",IF(Table1[[#This Row],[Age]]&lt;=35,"19-35",IF(Table1[[#This Row],[Age]]&lt;=50,"36-50",IF(Table1[[#This Row],[Age]]&lt;=65,"51-65","65+"))))</f>
        <v>65+</v>
      </c>
    </row>
    <row r="864" spans="1:19" x14ac:dyDescent="0.3">
      <c r="A864" s="3" t="s">
        <v>2632</v>
      </c>
      <c r="B864" s="3">
        <v>51</v>
      </c>
      <c r="C864" s="3" t="s">
        <v>16</v>
      </c>
      <c r="D864" s="3" t="s">
        <v>36</v>
      </c>
      <c r="E864" s="3" t="s">
        <v>93</v>
      </c>
      <c r="F864" s="4">
        <v>43687</v>
      </c>
      <c r="G864" s="3" t="s">
        <v>2633</v>
      </c>
      <c r="H864" s="3" t="s">
        <v>1640</v>
      </c>
      <c r="I864" s="3" t="s">
        <v>57</v>
      </c>
      <c r="J864" s="5">
        <v>12297.0256972428</v>
      </c>
      <c r="K864" s="3">
        <v>103</v>
      </c>
      <c r="L864" s="3" t="s">
        <v>31</v>
      </c>
      <c r="M864" s="4">
        <v>43691</v>
      </c>
      <c r="N864" s="3" t="s">
        <v>23</v>
      </c>
      <c r="O864" s="3" t="s">
        <v>47</v>
      </c>
      <c r="P864" s="3" t="str">
        <f>IF(Table1[[#This Row],[Billing Amount]]&lt;5000,"Low",IF(Table1[[#This Row],[Billing Amount]]&lt;=15000,"Medium","High"))</f>
        <v>Medium</v>
      </c>
      <c r="Q864" s="3" t="str">
        <f>IF(Table1[[#This Row],[Discharge Date]]="Yes","Discharged","Under Treatment")</f>
        <v>Under Treatment</v>
      </c>
      <c r="R864" s="3" t="str">
        <f>IF(Table1[[#This Row],[Test Results]]&gt;120,"High Risk","Normal")</f>
        <v>High Risk</v>
      </c>
      <c r="S864" s="3" t="str">
        <f>IF(Table1[[#This Row],[Age]]&lt;=18,"0-18",IF(Table1[[#This Row],[Age]]&lt;=35,"19-35",IF(Table1[[#This Row],[Age]]&lt;=50,"36-50",IF(Table1[[#This Row],[Age]]&lt;=65,"51-65","65+"))))</f>
        <v>51-65</v>
      </c>
    </row>
    <row r="865" spans="1:19" x14ac:dyDescent="0.3">
      <c r="A865" s="3" t="s">
        <v>2634</v>
      </c>
      <c r="B865" s="3">
        <v>64</v>
      </c>
      <c r="C865" s="3" t="s">
        <v>35</v>
      </c>
      <c r="D865" s="3" t="s">
        <v>49</v>
      </c>
      <c r="E865" s="3" t="s">
        <v>93</v>
      </c>
      <c r="F865" s="4">
        <v>44372</v>
      </c>
      <c r="G865" s="3" t="s">
        <v>2635</v>
      </c>
      <c r="H865" s="3" t="s">
        <v>2636</v>
      </c>
      <c r="I865" s="3" t="s">
        <v>21</v>
      </c>
      <c r="J865" s="5">
        <v>21690.797971472799</v>
      </c>
      <c r="K865" s="3">
        <v>140</v>
      </c>
      <c r="L865" s="3" t="s">
        <v>31</v>
      </c>
      <c r="M865" s="4">
        <v>44393</v>
      </c>
      <c r="N865" s="3" t="s">
        <v>79</v>
      </c>
      <c r="O865" s="3" t="s">
        <v>47</v>
      </c>
      <c r="P865" s="3" t="str">
        <f>IF(Table1[[#This Row],[Billing Amount]]&lt;5000,"Low",IF(Table1[[#This Row],[Billing Amount]]&lt;=15000,"Medium","High"))</f>
        <v>High</v>
      </c>
      <c r="Q865" s="3" t="str">
        <f>IF(Table1[[#This Row],[Discharge Date]]="Yes","Discharged","Under Treatment")</f>
        <v>Under Treatment</v>
      </c>
      <c r="R865" s="3" t="str">
        <f>IF(Table1[[#This Row],[Test Results]]&gt;120,"High Risk","Normal")</f>
        <v>High Risk</v>
      </c>
      <c r="S865" s="3" t="str">
        <f>IF(Table1[[#This Row],[Age]]&lt;=18,"0-18",IF(Table1[[#This Row],[Age]]&lt;=35,"19-35",IF(Table1[[#This Row],[Age]]&lt;=50,"36-50",IF(Table1[[#This Row],[Age]]&lt;=65,"51-65","65+"))))</f>
        <v>51-65</v>
      </c>
    </row>
    <row r="866" spans="1:19" x14ac:dyDescent="0.3">
      <c r="A866" s="3" t="s">
        <v>2637</v>
      </c>
      <c r="B866" s="3">
        <v>25</v>
      </c>
      <c r="C866" s="3" t="s">
        <v>35</v>
      </c>
      <c r="D866" s="3" t="s">
        <v>103</v>
      </c>
      <c r="E866" s="3" t="s">
        <v>27</v>
      </c>
      <c r="F866" s="4">
        <v>43856</v>
      </c>
      <c r="G866" s="3" t="s">
        <v>2638</v>
      </c>
      <c r="H866" s="3" t="s">
        <v>2639</v>
      </c>
      <c r="I866" s="3" t="s">
        <v>57</v>
      </c>
      <c r="J866" s="5">
        <v>4980.3874753985301</v>
      </c>
      <c r="K866" s="3">
        <v>192</v>
      </c>
      <c r="L866" s="3" t="s">
        <v>31</v>
      </c>
      <c r="M866" s="4">
        <v>43880</v>
      </c>
      <c r="N866" s="3" t="s">
        <v>23</v>
      </c>
      <c r="O866" s="3" t="s">
        <v>24</v>
      </c>
      <c r="P866" s="3" t="str">
        <f>IF(Table1[[#This Row],[Billing Amount]]&lt;5000,"Low",IF(Table1[[#This Row],[Billing Amount]]&lt;=15000,"Medium","High"))</f>
        <v>Low</v>
      </c>
      <c r="Q866" s="3" t="str">
        <f>IF(Table1[[#This Row],[Discharge Date]]="Yes","Discharged","Under Treatment")</f>
        <v>Under Treatment</v>
      </c>
      <c r="R866" s="3" t="str">
        <f>IF(Table1[[#This Row],[Test Results]]&gt;120,"High Risk","Normal")</f>
        <v>High Risk</v>
      </c>
      <c r="S866" s="3" t="str">
        <f>IF(Table1[[#This Row],[Age]]&lt;=18,"0-18",IF(Table1[[#This Row],[Age]]&lt;=35,"19-35",IF(Table1[[#This Row],[Age]]&lt;=50,"36-50",IF(Table1[[#This Row],[Age]]&lt;=65,"51-65","65+"))))</f>
        <v>19-35</v>
      </c>
    </row>
    <row r="867" spans="1:19" x14ac:dyDescent="0.3">
      <c r="A867" s="3" t="s">
        <v>2640</v>
      </c>
      <c r="B867" s="3">
        <v>34</v>
      </c>
      <c r="C867" s="3" t="s">
        <v>35</v>
      </c>
      <c r="D867" s="3" t="s">
        <v>26</v>
      </c>
      <c r="E867" s="3" t="s">
        <v>18</v>
      </c>
      <c r="F867" s="4">
        <v>44866</v>
      </c>
      <c r="G867" s="3" t="s">
        <v>2641</v>
      </c>
      <c r="H867" s="3" t="s">
        <v>2642</v>
      </c>
      <c r="I867" s="3" t="s">
        <v>21</v>
      </c>
      <c r="J867" s="5">
        <v>22549.379635232901</v>
      </c>
      <c r="K867" s="3">
        <v>207</v>
      </c>
      <c r="L867" s="3" t="s">
        <v>31</v>
      </c>
      <c r="M867" s="4">
        <v>44883</v>
      </c>
      <c r="N867" s="3" t="s">
        <v>52</v>
      </c>
      <c r="O867" s="3" t="s">
        <v>24</v>
      </c>
      <c r="P867" s="3" t="str">
        <f>IF(Table1[[#This Row],[Billing Amount]]&lt;5000,"Low",IF(Table1[[#This Row],[Billing Amount]]&lt;=15000,"Medium","High"))</f>
        <v>High</v>
      </c>
      <c r="Q867" s="3" t="str">
        <f>IF(Table1[[#This Row],[Discharge Date]]="Yes","Discharged","Under Treatment")</f>
        <v>Under Treatment</v>
      </c>
      <c r="R867" s="3" t="str">
        <f>IF(Table1[[#This Row],[Test Results]]&gt;120,"High Risk","Normal")</f>
        <v>High Risk</v>
      </c>
      <c r="S867" s="3" t="str">
        <f>IF(Table1[[#This Row],[Age]]&lt;=18,"0-18",IF(Table1[[#This Row],[Age]]&lt;=35,"19-35",IF(Table1[[#This Row],[Age]]&lt;=50,"36-50",IF(Table1[[#This Row],[Age]]&lt;=65,"51-65","65+"))))</f>
        <v>19-35</v>
      </c>
    </row>
    <row r="868" spans="1:19" x14ac:dyDescent="0.3">
      <c r="A868" s="3" t="s">
        <v>2643</v>
      </c>
      <c r="B868" s="3">
        <v>32</v>
      </c>
      <c r="C868" s="3" t="s">
        <v>35</v>
      </c>
      <c r="D868" s="3" t="s">
        <v>103</v>
      </c>
      <c r="E868" s="3" t="s">
        <v>27</v>
      </c>
      <c r="F868" s="4">
        <v>44845</v>
      </c>
      <c r="G868" s="3" t="s">
        <v>2644</v>
      </c>
      <c r="H868" s="3" t="s">
        <v>2645</v>
      </c>
      <c r="I868" s="3" t="s">
        <v>65</v>
      </c>
      <c r="J868" s="5">
        <v>45870.560193349498</v>
      </c>
      <c r="K868" s="3">
        <v>314</v>
      </c>
      <c r="L868" s="3" t="s">
        <v>22</v>
      </c>
      <c r="M868" s="4">
        <v>44871</v>
      </c>
      <c r="N868" s="3" t="s">
        <v>52</v>
      </c>
      <c r="O868" s="3" t="s">
        <v>47</v>
      </c>
      <c r="P868" s="3" t="str">
        <f>IF(Table1[[#This Row],[Billing Amount]]&lt;5000,"Low",IF(Table1[[#This Row],[Billing Amount]]&lt;=15000,"Medium","High"))</f>
        <v>High</v>
      </c>
      <c r="Q868" s="3" t="str">
        <f>IF(Table1[[#This Row],[Discharge Date]]="Yes","Discharged","Under Treatment")</f>
        <v>Under Treatment</v>
      </c>
      <c r="R868" s="3" t="str">
        <f>IF(Table1[[#This Row],[Test Results]]&gt;120,"High Risk","Normal")</f>
        <v>High Risk</v>
      </c>
      <c r="S868" s="3" t="str">
        <f>IF(Table1[[#This Row],[Age]]&lt;=18,"0-18",IF(Table1[[#This Row],[Age]]&lt;=35,"19-35",IF(Table1[[#This Row],[Age]]&lt;=50,"36-50",IF(Table1[[#This Row],[Age]]&lt;=65,"51-65","65+"))))</f>
        <v>19-35</v>
      </c>
    </row>
    <row r="869" spans="1:19" x14ac:dyDescent="0.3">
      <c r="A869" s="3" t="s">
        <v>2646</v>
      </c>
      <c r="B869" s="3">
        <v>37</v>
      </c>
      <c r="C869" s="3" t="s">
        <v>35</v>
      </c>
      <c r="D869" s="3" t="s">
        <v>122</v>
      </c>
      <c r="E869" s="3" t="s">
        <v>93</v>
      </c>
      <c r="F869" s="4">
        <v>44087</v>
      </c>
      <c r="G869" s="3" t="s">
        <v>2647</v>
      </c>
      <c r="H869" s="3" t="s">
        <v>2648</v>
      </c>
      <c r="I869" s="3" t="s">
        <v>21</v>
      </c>
      <c r="J869" s="5">
        <v>16828.051973821599</v>
      </c>
      <c r="K869" s="3">
        <v>147</v>
      </c>
      <c r="L869" s="3" t="s">
        <v>22</v>
      </c>
      <c r="M869" s="4">
        <v>44117</v>
      </c>
      <c r="N869" s="3" t="s">
        <v>23</v>
      </c>
      <c r="O869" s="3" t="s">
        <v>33</v>
      </c>
      <c r="P869" s="3" t="str">
        <f>IF(Table1[[#This Row],[Billing Amount]]&lt;5000,"Low",IF(Table1[[#This Row],[Billing Amount]]&lt;=15000,"Medium","High"))</f>
        <v>High</v>
      </c>
      <c r="Q869" s="3" t="str">
        <f>IF(Table1[[#This Row],[Discharge Date]]="Yes","Discharged","Under Treatment")</f>
        <v>Under Treatment</v>
      </c>
      <c r="R869" s="3" t="str">
        <f>IF(Table1[[#This Row],[Test Results]]&gt;120,"High Risk","Normal")</f>
        <v>High Risk</v>
      </c>
      <c r="S869" s="3" t="str">
        <f>IF(Table1[[#This Row],[Age]]&lt;=18,"0-18",IF(Table1[[#This Row],[Age]]&lt;=35,"19-35",IF(Table1[[#This Row],[Age]]&lt;=50,"36-50",IF(Table1[[#This Row],[Age]]&lt;=65,"51-65","65+"))))</f>
        <v>36-50</v>
      </c>
    </row>
    <row r="870" spans="1:19" x14ac:dyDescent="0.3">
      <c r="A870" s="3" t="s">
        <v>2649</v>
      </c>
      <c r="B870" s="3">
        <v>21</v>
      </c>
      <c r="C870" s="3" t="s">
        <v>35</v>
      </c>
      <c r="D870" s="3" t="s">
        <v>103</v>
      </c>
      <c r="E870" s="3" t="s">
        <v>43</v>
      </c>
      <c r="F870" s="4">
        <v>45281</v>
      </c>
      <c r="G870" s="3" t="s">
        <v>2650</v>
      </c>
      <c r="H870" s="3" t="s">
        <v>2651</v>
      </c>
      <c r="I870" s="3" t="s">
        <v>57</v>
      </c>
      <c r="J870" s="5">
        <v>22757.5871819934</v>
      </c>
      <c r="K870" s="3">
        <v>407</v>
      </c>
      <c r="L870" s="3" t="s">
        <v>31</v>
      </c>
      <c r="M870" s="4">
        <v>45302</v>
      </c>
      <c r="N870" s="3" t="s">
        <v>32</v>
      </c>
      <c r="O870" s="3" t="s">
        <v>47</v>
      </c>
      <c r="P870" s="3" t="str">
        <f>IF(Table1[[#This Row],[Billing Amount]]&lt;5000,"Low",IF(Table1[[#This Row],[Billing Amount]]&lt;=15000,"Medium","High"))</f>
        <v>High</v>
      </c>
      <c r="Q870" s="3" t="str">
        <f>IF(Table1[[#This Row],[Discharge Date]]="Yes","Discharged","Under Treatment")</f>
        <v>Under Treatment</v>
      </c>
      <c r="R870" s="3" t="str">
        <f>IF(Table1[[#This Row],[Test Results]]&gt;120,"High Risk","Normal")</f>
        <v>High Risk</v>
      </c>
      <c r="S870" s="3" t="str">
        <f>IF(Table1[[#This Row],[Age]]&lt;=18,"0-18",IF(Table1[[#This Row],[Age]]&lt;=35,"19-35",IF(Table1[[#This Row],[Age]]&lt;=50,"36-50",IF(Table1[[#This Row],[Age]]&lt;=65,"51-65","65+"))))</f>
        <v>19-35</v>
      </c>
    </row>
    <row r="871" spans="1:19" x14ac:dyDescent="0.3">
      <c r="A871" s="3" t="s">
        <v>2653</v>
      </c>
      <c r="B871" s="3">
        <v>47</v>
      </c>
      <c r="C871" s="3" t="s">
        <v>35</v>
      </c>
      <c r="D871" s="3" t="s">
        <v>103</v>
      </c>
      <c r="E871" s="3" t="s">
        <v>93</v>
      </c>
      <c r="F871" s="4">
        <v>45042</v>
      </c>
      <c r="G871" s="3" t="s">
        <v>2654</v>
      </c>
      <c r="H871" s="3" t="s">
        <v>2655</v>
      </c>
      <c r="I871" s="3" t="s">
        <v>30</v>
      </c>
      <c r="J871" s="5">
        <v>17353.787810702001</v>
      </c>
      <c r="K871" s="3">
        <v>192</v>
      </c>
      <c r="L871" s="3" t="s">
        <v>46</v>
      </c>
      <c r="M871" s="4">
        <v>45062</v>
      </c>
      <c r="N871" s="3" t="s">
        <v>52</v>
      </c>
      <c r="O871" s="3" t="s">
        <v>47</v>
      </c>
      <c r="P871" s="3" t="str">
        <f>IF(Table1[[#This Row],[Billing Amount]]&lt;5000,"Low",IF(Table1[[#This Row],[Billing Amount]]&lt;=15000,"Medium","High"))</f>
        <v>High</v>
      </c>
      <c r="Q871" s="3" t="str">
        <f>IF(Table1[[#This Row],[Discharge Date]]="Yes","Discharged","Under Treatment")</f>
        <v>Under Treatment</v>
      </c>
      <c r="R871" s="3" t="str">
        <f>IF(Table1[[#This Row],[Test Results]]&gt;120,"High Risk","Normal")</f>
        <v>High Risk</v>
      </c>
      <c r="S871" s="3" t="str">
        <f>IF(Table1[[#This Row],[Age]]&lt;=18,"0-18",IF(Table1[[#This Row],[Age]]&lt;=35,"19-35",IF(Table1[[#This Row],[Age]]&lt;=50,"36-50",IF(Table1[[#This Row],[Age]]&lt;=65,"51-65","65+"))))</f>
        <v>36-50</v>
      </c>
    </row>
    <row r="872" spans="1:19" x14ac:dyDescent="0.3">
      <c r="A872" s="3" t="s">
        <v>2656</v>
      </c>
      <c r="B872" s="3">
        <v>47</v>
      </c>
      <c r="C872" s="3" t="s">
        <v>35</v>
      </c>
      <c r="D872" s="3" t="s">
        <v>17</v>
      </c>
      <c r="E872" s="3" t="s">
        <v>18</v>
      </c>
      <c r="F872" s="4">
        <v>43867</v>
      </c>
      <c r="G872" s="3" t="s">
        <v>2657</v>
      </c>
      <c r="H872" s="3" t="s">
        <v>2658</v>
      </c>
      <c r="I872" s="3" t="s">
        <v>30</v>
      </c>
      <c r="J872" s="5">
        <v>16670.0125626587</v>
      </c>
      <c r="K872" s="3">
        <v>107</v>
      </c>
      <c r="L872" s="3" t="s">
        <v>22</v>
      </c>
      <c r="M872" s="4">
        <v>43875</v>
      </c>
      <c r="N872" s="3" t="s">
        <v>40</v>
      </c>
      <c r="O872" s="3" t="s">
        <v>24</v>
      </c>
      <c r="P872" s="3" t="str">
        <f>IF(Table1[[#This Row],[Billing Amount]]&lt;5000,"Low",IF(Table1[[#This Row],[Billing Amount]]&lt;=15000,"Medium","High"))</f>
        <v>High</v>
      </c>
      <c r="Q872" s="3" t="str">
        <f>IF(Table1[[#This Row],[Discharge Date]]="Yes","Discharged","Under Treatment")</f>
        <v>Under Treatment</v>
      </c>
      <c r="R872" s="3" t="str">
        <f>IF(Table1[[#This Row],[Test Results]]&gt;120,"High Risk","Normal")</f>
        <v>High Risk</v>
      </c>
      <c r="S872" s="3" t="str">
        <f>IF(Table1[[#This Row],[Age]]&lt;=18,"0-18",IF(Table1[[#This Row],[Age]]&lt;=35,"19-35",IF(Table1[[#This Row],[Age]]&lt;=50,"36-50",IF(Table1[[#This Row],[Age]]&lt;=65,"51-65","65+"))))</f>
        <v>36-50</v>
      </c>
    </row>
    <row r="873" spans="1:19" x14ac:dyDescent="0.3">
      <c r="A873" s="3" t="s">
        <v>2659</v>
      </c>
      <c r="B873" s="3">
        <v>44</v>
      </c>
      <c r="C873" s="3" t="s">
        <v>16</v>
      </c>
      <c r="D873" s="3" t="s">
        <v>103</v>
      </c>
      <c r="E873" s="3" t="s">
        <v>18</v>
      </c>
      <c r="F873" s="4">
        <v>44681</v>
      </c>
      <c r="G873" s="3" t="s">
        <v>2660</v>
      </c>
      <c r="H873" s="3" t="s">
        <v>2661</v>
      </c>
      <c r="I873" s="3" t="s">
        <v>30</v>
      </c>
      <c r="J873" s="5">
        <v>45625.238108733298</v>
      </c>
      <c r="K873" s="3">
        <v>440</v>
      </c>
      <c r="L873" s="3" t="s">
        <v>22</v>
      </c>
      <c r="M873" s="4">
        <v>44693</v>
      </c>
      <c r="N873" s="3" t="s">
        <v>32</v>
      </c>
      <c r="O873" s="3" t="s">
        <v>33</v>
      </c>
      <c r="P873" s="3" t="str">
        <f>IF(Table1[[#This Row],[Billing Amount]]&lt;5000,"Low",IF(Table1[[#This Row],[Billing Amount]]&lt;=15000,"Medium","High"))</f>
        <v>High</v>
      </c>
      <c r="Q873" s="3" t="str">
        <f>IF(Table1[[#This Row],[Discharge Date]]="Yes","Discharged","Under Treatment")</f>
        <v>Under Treatment</v>
      </c>
      <c r="R873" s="3" t="str">
        <f>IF(Table1[[#This Row],[Test Results]]&gt;120,"High Risk","Normal")</f>
        <v>High Risk</v>
      </c>
      <c r="S873" s="3" t="str">
        <f>IF(Table1[[#This Row],[Age]]&lt;=18,"0-18",IF(Table1[[#This Row],[Age]]&lt;=35,"19-35",IF(Table1[[#This Row],[Age]]&lt;=50,"36-50",IF(Table1[[#This Row],[Age]]&lt;=65,"51-65","65+"))))</f>
        <v>36-50</v>
      </c>
    </row>
    <row r="874" spans="1:19" x14ac:dyDescent="0.3">
      <c r="A874" s="3" t="s">
        <v>2662</v>
      </c>
      <c r="B874" s="3">
        <v>42</v>
      </c>
      <c r="C874" s="3" t="s">
        <v>16</v>
      </c>
      <c r="D874" s="3" t="s">
        <v>59</v>
      </c>
      <c r="E874" s="3" t="s">
        <v>93</v>
      </c>
      <c r="F874" s="4">
        <v>43930</v>
      </c>
      <c r="G874" s="3" t="s">
        <v>2663</v>
      </c>
      <c r="H874" s="3" t="s">
        <v>2664</v>
      </c>
      <c r="I874" s="3" t="s">
        <v>21</v>
      </c>
      <c r="J874" s="5">
        <v>11641.628850155499</v>
      </c>
      <c r="K874" s="3">
        <v>396</v>
      </c>
      <c r="L874" s="3" t="s">
        <v>31</v>
      </c>
      <c r="M874" s="4">
        <v>43932</v>
      </c>
      <c r="N874" s="3" t="s">
        <v>52</v>
      </c>
      <c r="O874" s="3" t="s">
        <v>33</v>
      </c>
      <c r="P874" s="3" t="str">
        <f>IF(Table1[[#This Row],[Billing Amount]]&lt;5000,"Low",IF(Table1[[#This Row],[Billing Amount]]&lt;=15000,"Medium","High"))</f>
        <v>Medium</v>
      </c>
      <c r="Q874" s="3" t="str">
        <f>IF(Table1[[#This Row],[Discharge Date]]="Yes","Discharged","Under Treatment")</f>
        <v>Under Treatment</v>
      </c>
      <c r="R874" s="3" t="str">
        <f>IF(Table1[[#This Row],[Test Results]]&gt;120,"High Risk","Normal")</f>
        <v>High Risk</v>
      </c>
      <c r="S874" s="3" t="str">
        <f>IF(Table1[[#This Row],[Age]]&lt;=18,"0-18",IF(Table1[[#This Row],[Age]]&lt;=35,"19-35",IF(Table1[[#This Row],[Age]]&lt;=50,"36-50",IF(Table1[[#This Row],[Age]]&lt;=65,"51-65","65+"))))</f>
        <v>36-50</v>
      </c>
    </row>
    <row r="875" spans="1:19" x14ac:dyDescent="0.3">
      <c r="A875" s="3" t="s">
        <v>2665</v>
      </c>
      <c r="B875" s="3">
        <v>39</v>
      </c>
      <c r="C875" s="3" t="s">
        <v>35</v>
      </c>
      <c r="D875" s="3" t="s">
        <v>42</v>
      </c>
      <c r="E875" s="3" t="s">
        <v>54</v>
      </c>
      <c r="F875" s="4">
        <v>43827</v>
      </c>
      <c r="G875" s="3" t="s">
        <v>2666</v>
      </c>
      <c r="H875" s="3" t="s">
        <v>2667</v>
      </c>
      <c r="I875" s="3" t="s">
        <v>39</v>
      </c>
      <c r="J875" s="5">
        <v>48038.2169675771</v>
      </c>
      <c r="K875" s="3">
        <v>107</v>
      </c>
      <c r="L875" s="3" t="s">
        <v>46</v>
      </c>
      <c r="M875" s="4">
        <v>43835</v>
      </c>
      <c r="N875" s="3" t="s">
        <v>40</v>
      </c>
      <c r="O875" s="3" t="s">
        <v>24</v>
      </c>
      <c r="P875" s="3" t="str">
        <f>IF(Table1[[#This Row],[Billing Amount]]&lt;5000,"Low",IF(Table1[[#This Row],[Billing Amount]]&lt;=15000,"Medium","High"))</f>
        <v>High</v>
      </c>
      <c r="Q875" s="3" t="str">
        <f>IF(Table1[[#This Row],[Discharge Date]]="Yes","Discharged","Under Treatment")</f>
        <v>Under Treatment</v>
      </c>
      <c r="R875" s="3" t="str">
        <f>IF(Table1[[#This Row],[Test Results]]&gt;120,"High Risk","Normal")</f>
        <v>High Risk</v>
      </c>
      <c r="S875" s="3" t="str">
        <f>IF(Table1[[#This Row],[Age]]&lt;=18,"0-18",IF(Table1[[#This Row],[Age]]&lt;=35,"19-35",IF(Table1[[#This Row],[Age]]&lt;=50,"36-50",IF(Table1[[#This Row],[Age]]&lt;=65,"51-65","65+"))))</f>
        <v>36-50</v>
      </c>
    </row>
    <row r="876" spans="1:19" x14ac:dyDescent="0.3">
      <c r="A876" s="3" t="s">
        <v>2668</v>
      </c>
      <c r="B876" s="3">
        <v>67</v>
      </c>
      <c r="C876" s="3" t="s">
        <v>35</v>
      </c>
      <c r="D876" s="3" t="s">
        <v>59</v>
      </c>
      <c r="E876" s="3" t="s">
        <v>54</v>
      </c>
      <c r="F876" s="4">
        <v>45174</v>
      </c>
      <c r="G876" s="3" t="s">
        <v>2669</v>
      </c>
      <c r="H876" s="3" t="s">
        <v>2670</v>
      </c>
      <c r="I876" s="3" t="s">
        <v>21</v>
      </c>
      <c r="J876" s="5">
        <v>33118.529019625901</v>
      </c>
      <c r="K876" s="3">
        <v>236</v>
      </c>
      <c r="L876" s="3" t="s">
        <v>31</v>
      </c>
      <c r="M876" s="4">
        <v>45183</v>
      </c>
      <c r="N876" s="3" t="s">
        <v>23</v>
      </c>
      <c r="O876" s="3" t="s">
        <v>33</v>
      </c>
      <c r="P876" s="3" t="str">
        <f>IF(Table1[[#This Row],[Billing Amount]]&lt;5000,"Low",IF(Table1[[#This Row],[Billing Amount]]&lt;=15000,"Medium","High"))</f>
        <v>High</v>
      </c>
      <c r="Q876" s="3" t="str">
        <f>IF(Table1[[#This Row],[Discharge Date]]="Yes","Discharged","Under Treatment")</f>
        <v>Under Treatment</v>
      </c>
      <c r="R876" s="3" t="str">
        <f>IF(Table1[[#This Row],[Test Results]]&gt;120,"High Risk","Normal")</f>
        <v>High Risk</v>
      </c>
      <c r="S876" s="3" t="str">
        <f>IF(Table1[[#This Row],[Age]]&lt;=18,"0-18",IF(Table1[[#This Row],[Age]]&lt;=35,"19-35",IF(Table1[[#This Row],[Age]]&lt;=50,"36-50",IF(Table1[[#This Row],[Age]]&lt;=65,"51-65","65+"))))</f>
        <v>65+</v>
      </c>
    </row>
    <row r="877" spans="1:19" x14ac:dyDescent="0.3">
      <c r="A877" s="3" t="s">
        <v>2671</v>
      </c>
      <c r="B877" s="3">
        <v>69</v>
      </c>
      <c r="C877" s="3" t="s">
        <v>35</v>
      </c>
      <c r="D877" s="3" t="s">
        <v>103</v>
      </c>
      <c r="E877" s="3" t="s">
        <v>54</v>
      </c>
      <c r="F877" s="4">
        <v>43606</v>
      </c>
      <c r="G877" s="3" t="s">
        <v>2672</v>
      </c>
      <c r="H877" s="3" t="s">
        <v>2673</v>
      </c>
      <c r="I877" s="3" t="s">
        <v>65</v>
      </c>
      <c r="J877" s="5">
        <v>47980.917174034999</v>
      </c>
      <c r="K877" s="3">
        <v>181</v>
      </c>
      <c r="L877" s="3" t="s">
        <v>22</v>
      </c>
      <c r="M877" s="4">
        <v>43634</v>
      </c>
      <c r="N877" s="3" t="s">
        <v>32</v>
      </c>
      <c r="O877" s="3" t="s">
        <v>33</v>
      </c>
      <c r="P877" s="3" t="str">
        <f>IF(Table1[[#This Row],[Billing Amount]]&lt;5000,"Low",IF(Table1[[#This Row],[Billing Amount]]&lt;=15000,"Medium","High"))</f>
        <v>High</v>
      </c>
      <c r="Q877" s="3" t="str">
        <f>IF(Table1[[#This Row],[Discharge Date]]="Yes","Discharged","Under Treatment")</f>
        <v>Under Treatment</v>
      </c>
      <c r="R877" s="3" t="str">
        <f>IF(Table1[[#This Row],[Test Results]]&gt;120,"High Risk","Normal")</f>
        <v>High Risk</v>
      </c>
      <c r="S877" s="3" t="str">
        <f>IF(Table1[[#This Row],[Age]]&lt;=18,"0-18",IF(Table1[[#This Row],[Age]]&lt;=35,"19-35",IF(Table1[[#This Row],[Age]]&lt;=50,"36-50",IF(Table1[[#This Row],[Age]]&lt;=65,"51-65","65+"))))</f>
        <v>65+</v>
      </c>
    </row>
    <row r="878" spans="1:19" x14ac:dyDescent="0.3">
      <c r="A878" s="3" t="s">
        <v>2674</v>
      </c>
      <c r="B878" s="3">
        <v>84</v>
      </c>
      <c r="C878" s="3" t="s">
        <v>16</v>
      </c>
      <c r="D878" s="3" t="s">
        <v>17</v>
      </c>
      <c r="E878" s="3" t="s">
        <v>54</v>
      </c>
      <c r="F878" s="4">
        <v>45094</v>
      </c>
      <c r="G878" s="3" t="s">
        <v>2675</v>
      </c>
      <c r="H878" s="3" t="s">
        <v>2676</v>
      </c>
      <c r="I878" s="3" t="s">
        <v>39</v>
      </c>
      <c r="J878" s="5">
        <v>7566.8593067618303</v>
      </c>
      <c r="K878" s="3">
        <v>435</v>
      </c>
      <c r="L878" s="3" t="s">
        <v>22</v>
      </c>
      <c r="M878" s="4">
        <v>45124</v>
      </c>
      <c r="N878" s="3" t="s">
        <v>52</v>
      </c>
      <c r="O878" s="3" t="s">
        <v>24</v>
      </c>
      <c r="P878" s="3" t="str">
        <f>IF(Table1[[#This Row],[Billing Amount]]&lt;5000,"Low",IF(Table1[[#This Row],[Billing Amount]]&lt;=15000,"Medium","High"))</f>
        <v>Medium</v>
      </c>
      <c r="Q878" s="3" t="str">
        <f>IF(Table1[[#This Row],[Discharge Date]]="Yes","Discharged","Under Treatment")</f>
        <v>Under Treatment</v>
      </c>
      <c r="R878" s="3" t="str">
        <f>IF(Table1[[#This Row],[Test Results]]&gt;120,"High Risk","Normal")</f>
        <v>High Risk</v>
      </c>
      <c r="S878" s="3" t="str">
        <f>IF(Table1[[#This Row],[Age]]&lt;=18,"0-18",IF(Table1[[#This Row],[Age]]&lt;=35,"19-35",IF(Table1[[#This Row],[Age]]&lt;=50,"36-50",IF(Table1[[#This Row],[Age]]&lt;=65,"51-65","65+"))))</f>
        <v>65+</v>
      </c>
    </row>
    <row r="879" spans="1:19" x14ac:dyDescent="0.3">
      <c r="A879" s="3" t="s">
        <v>2677</v>
      </c>
      <c r="B879" s="3">
        <v>79</v>
      </c>
      <c r="C879" s="3" t="s">
        <v>35</v>
      </c>
      <c r="D879" s="3" t="s">
        <v>59</v>
      </c>
      <c r="E879" s="3" t="s">
        <v>93</v>
      </c>
      <c r="F879" s="4">
        <v>44589</v>
      </c>
      <c r="G879" s="3" t="s">
        <v>2678</v>
      </c>
      <c r="H879" s="3" t="s">
        <v>2064</v>
      </c>
      <c r="I879" s="3" t="s">
        <v>30</v>
      </c>
      <c r="J879" s="5">
        <v>18609.8981700976</v>
      </c>
      <c r="K879" s="3">
        <v>127</v>
      </c>
      <c r="L879" s="3" t="s">
        <v>46</v>
      </c>
      <c r="M879" s="4">
        <v>44610</v>
      </c>
      <c r="N879" s="3" t="s">
        <v>79</v>
      </c>
      <c r="O879" s="3" t="s">
        <v>33</v>
      </c>
      <c r="P879" s="3" t="str">
        <f>IF(Table1[[#This Row],[Billing Amount]]&lt;5000,"Low",IF(Table1[[#This Row],[Billing Amount]]&lt;=15000,"Medium","High"))</f>
        <v>High</v>
      </c>
      <c r="Q879" s="3" t="str">
        <f>IF(Table1[[#This Row],[Discharge Date]]="Yes","Discharged","Under Treatment")</f>
        <v>Under Treatment</v>
      </c>
      <c r="R879" s="3" t="str">
        <f>IF(Table1[[#This Row],[Test Results]]&gt;120,"High Risk","Normal")</f>
        <v>High Risk</v>
      </c>
      <c r="S879" s="3" t="str">
        <f>IF(Table1[[#This Row],[Age]]&lt;=18,"0-18",IF(Table1[[#This Row],[Age]]&lt;=35,"19-35",IF(Table1[[#This Row],[Age]]&lt;=50,"36-50",IF(Table1[[#This Row],[Age]]&lt;=65,"51-65","65+"))))</f>
        <v>65+</v>
      </c>
    </row>
    <row r="880" spans="1:19" x14ac:dyDescent="0.3">
      <c r="A880" s="3" t="s">
        <v>2679</v>
      </c>
      <c r="B880" s="3">
        <v>22</v>
      </c>
      <c r="C880" s="3" t="s">
        <v>35</v>
      </c>
      <c r="D880" s="3" t="s">
        <v>103</v>
      </c>
      <c r="E880" s="3" t="s">
        <v>93</v>
      </c>
      <c r="F880" s="4">
        <v>44773</v>
      </c>
      <c r="G880" s="3" t="s">
        <v>2680</v>
      </c>
      <c r="H880" s="3" t="s">
        <v>2482</v>
      </c>
      <c r="I880" s="3" t="s">
        <v>57</v>
      </c>
      <c r="J880" s="5">
        <v>25233.892403363599</v>
      </c>
      <c r="K880" s="3">
        <v>194</v>
      </c>
      <c r="L880" s="3" t="s">
        <v>46</v>
      </c>
      <c r="M880" s="4">
        <v>44801</v>
      </c>
      <c r="N880" s="3" t="s">
        <v>79</v>
      </c>
      <c r="O880" s="3" t="s">
        <v>33</v>
      </c>
      <c r="P880" s="3" t="str">
        <f>IF(Table1[[#This Row],[Billing Amount]]&lt;5000,"Low",IF(Table1[[#This Row],[Billing Amount]]&lt;=15000,"Medium","High"))</f>
        <v>High</v>
      </c>
      <c r="Q880" s="3" t="str">
        <f>IF(Table1[[#This Row],[Discharge Date]]="Yes","Discharged","Under Treatment")</f>
        <v>Under Treatment</v>
      </c>
      <c r="R880" s="3" t="str">
        <f>IF(Table1[[#This Row],[Test Results]]&gt;120,"High Risk","Normal")</f>
        <v>High Risk</v>
      </c>
      <c r="S880" s="3" t="str">
        <f>IF(Table1[[#This Row],[Age]]&lt;=18,"0-18",IF(Table1[[#This Row],[Age]]&lt;=35,"19-35",IF(Table1[[#This Row],[Age]]&lt;=50,"36-50",IF(Table1[[#This Row],[Age]]&lt;=65,"51-65","65+"))))</f>
        <v>19-35</v>
      </c>
    </row>
    <row r="881" spans="1:19" x14ac:dyDescent="0.3">
      <c r="A881" s="3" t="s">
        <v>2681</v>
      </c>
      <c r="B881" s="3">
        <v>54</v>
      </c>
      <c r="C881" s="3" t="s">
        <v>16</v>
      </c>
      <c r="D881" s="3" t="s">
        <v>49</v>
      </c>
      <c r="E881" s="3" t="s">
        <v>18</v>
      </c>
      <c r="F881" s="4">
        <v>43803</v>
      </c>
      <c r="G881" s="3" t="s">
        <v>2682</v>
      </c>
      <c r="H881" s="3" t="s">
        <v>2683</v>
      </c>
      <c r="I881" s="3" t="s">
        <v>39</v>
      </c>
      <c r="J881" s="5">
        <v>24755.026431309201</v>
      </c>
      <c r="K881" s="3">
        <v>155</v>
      </c>
      <c r="L881" s="3" t="s">
        <v>31</v>
      </c>
      <c r="M881" s="4">
        <v>43829</v>
      </c>
      <c r="N881" s="3" t="s">
        <v>23</v>
      </c>
      <c r="O881" s="3" t="s">
        <v>33</v>
      </c>
      <c r="P881" s="3" t="str">
        <f>IF(Table1[[#This Row],[Billing Amount]]&lt;5000,"Low",IF(Table1[[#This Row],[Billing Amount]]&lt;=15000,"Medium","High"))</f>
        <v>High</v>
      </c>
      <c r="Q881" s="3" t="str">
        <f>IF(Table1[[#This Row],[Discharge Date]]="Yes","Discharged","Under Treatment")</f>
        <v>Under Treatment</v>
      </c>
      <c r="R881" s="3" t="str">
        <f>IF(Table1[[#This Row],[Test Results]]&gt;120,"High Risk","Normal")</f>
        <v>High Risk</v>
      </c>
      <c r="S881" s="3" t="str">
        <f>IF(Table1[[#This Row],[Age]]&lt;=18,"0-18",IF(Table1[[#This Row],[Age]]&lt;=35,"19-35",IF(Table1[[#This Row],[Age]]&lt;=50,"36-50",IF(Table1[[#This Row],[Age]]&lt;=65,"51-65","65+"))))</f>
        <v>51-65</v>
      </c>
    </row>
    <row r="882" spans="1:19" x14ac:dyDescent="0.3">
      <c r="A882" s="3" t="s">
        <v>2684</v>
      </c>
      <c r="B882" s="3">
        <v>27</v>
      </c>
      <c r="C882" s="3" t="s">
        <v>16</v>
      </c>
      <c r="D882" s="3" t="s">
        <v>36</v>
      </c>
      <c r="E882" s="3" t="s">
        <v>54</v>
      </c>
      <c r="F882" s="4">
        <v>45129</v>
      </c>
      <c r="G882" s="3" t="s">
        <v>2685</v>
      </c>
      <c r="H882" s="3" t="s">
        <v>2686</v>
      </c>
      <c r="I882" s="3" t="s">
        <v>30</v>
      </c>
      <c r="J882" s="5">
        <v>32806.4877356875</v>
      </c>
      <c r="K882" s="3">
        <v>195</v>
      </c>
      <c r="L882" s="3" t="s">
        <v>46</v>
      </c>
      <c r="M882" s="4">
        <v>45149</v>
      </c>
      <c r="N882" s="3" t="s">
        <v>23</v>
      </c>
      <c r="O882" s="3" t="s">
        <v>24</v>
      </c>
      <c r="P882" s="3" t="str">
        <f>IF(Table1[[#This Row],[Billing Amount]]&lt;5000,"Low",IF(Table1[[#This Row],[Billing Amount]]&lt;=15000,"Medium","High"))</f>
        <v>High</v>
      </c>
      <c r="Q882" s="3" t="str">
        <f>IF(Table1[[#This Row],[Discharge Date]]="Yes","Discharged","Under Treatment")</f>
        <v>Under Treatment</v>
      </c>
      <c r="R882" s="3" t="str">
        <f>IF(Table1[[#This Row],[Test Results]]&gt;120,"High Risk","Normal")</f>
        <v>High Risk</v>
      </c>
      <c r="S882" s="3" t="str">
        <f>IF(Table1[[#This Row],[Age]]&lt;=18,"0-18",IF(Table1[[#This Row],[Age]]&lt;=35,"19-35",IF(Table1[[#This Row],[Age]]&lt;=50,"36-50",IF(Table1[[#This Row],[Age]]&lt;=65,"51-65","65+"))))</f>
        <v>19-35</v>
      </c>
    </row>
    <row r="883" spans="1:19" x14ac:dyDescent="0.3">
      <c r="A883" s="3" t="s">
        <v>2687</v>
      </c>
      <c r="B883" s="3">
        <v>55</v>
      </c>
      <c r="C883" s="3" t="s">
        <v>35</v>
      </c>
      <c r="D883" s="3" t="s">
        <v>103</v>
      </c>
      <c r="E883" s="3" t="s">
        <v>93</v>
      </c>
      <c r="F883" s="4">
        <v>44535</v>
      </c>
      <c r="G883" s="3" t="s">
        <v>2688</v>
      </c>
      <c r="H883" s="3" t="s">
        <v>2689</v>
      </c>
      <c r="I883" s="3" t="s">
        <v>57</v>
      </c>
      <c r="J883" s="5">
        <v>50378.3005621669</v>
      </c>
      <c r="K883" s="3">
        <v>155</v>
      </c>
      <c r="L883" s="3" t="s">
        <v>31</v>
      </c>
      <c r="M883" s="4">
        <v>44541</v>
      </c>
      <c r="N883" s="3" t="s">
        <v>32</v>
      </c>
      <c r="O883" s="3" t="s">
        <v>24</v>
      </c>
      <c r="P883" s="3" t="str">
        <f>IF(Table1[[#This Row],[Billing Amount]]&lt;5000,"Low",IF(Table1[[#This Row],[Billing Amount]]&lt;=15000,"Medium","High"))</f>
        <v>High</v>
      </c>
      <c r="Q883" s="3" t="str">
        <f>IF(Table1[[#This Row],[Discharge Date]]="Yes","Discharged","Under Treatment")</f>
        <v>Under Treatment</v>
      </c>
      <c r="R883" s="3" t="str">
        <f>IF(Table1[[#This Row],[Test Results]]&gt;120,"High Risk","Normal")</f>
        <v>High Risk</v>
      </c>
      <c r="S883" s="3" t="str">
        <f>IF(Table1[[#This Row],[Age]]&lt;=18,"0-18",IF(Table1[[#This Row],[Age]]&lt;=35,"19-35",IF(Table1[[#This Row],[Age]]&lt;=50,"36-50",IF(Table1[[#This Row],[Age]]&lt;=65,"51-65","65+"))))</f>
        <v>51-65</v>
      </c>
    </row>
    <row r="884" spans="1:19" x14ac:dyDescent="0.3">
      <c r="A884" s="3" t="s">
        <v>2690</v>
      </c>
      <c r="B884" s="3">
        <v>40</v>
      </c>
      <c r="C884" s="3" t="s">
        <v>35</v>
      </c>
      <c r="D884" s="3" t="s">
        <v>26</v>
      </c>
      <c r="E884" s="3" t="s">
        <v>76</v>
      </c>
      <c r="F884" s="4">
        <v>44533</v>
      </c>
      <c r="G884" s="3" t="s">
        <v>2691</v>
      </c>
      <c r="H884" s="3" t="s">
        <v>2692</v>
      </c>
      <c r="I884" s="3" t="s">
        <v>39</v>
      </c>
      <c r="J884" s="5">
        <v>14273.011155137299</v>
      </c>
      <c r="K884" s="3">
        <v>212</v>
      </c>
      <c r="L884" s="3" t="s">
        <v>22</v>
      </c>
      <c r="M884" s="4">
        <v>44544</v>
      </c>
      <c r="N884" s="3" t="s">
        <v>79</v>
      </c>
      <c r="O884" s="3" t="s">
        <v>33</v>
      </c>
      <c r="P884" s="3" t="str">
        <f>IF(Table1[[#This Row],[Billing Amount]]&lt;5000,"Low",IF(Table1[[#This Row],[Billing Amount]]&lt;=15000,"Medium","High"))</f>
        <v>Medium</v>
      </c>
      <c r="Q884" s="3" t="str">
        <f>IF(Table1[[#This Row],[Discharge Date]]="Yes","Discharged","Under Treatment")</f>
        <v>Under Treatment</v>
      </c>
      <c r="R884" s="3" t="str">
        <f>IF(Table1[[#This Row],[Test Results]]&gt;120,"High Risk","Normal")</f>
        <v>High Risk</v>
      </c>
      <c r="S884" s="3" t="str">
        <f>IF(Table1[[#This Row],[Age]]&lt;=18,"0-18",IF(Table1[[#This Row],[Age]]&lt;=35,"19-35",IF(Table1[[#This Row],[Age]]&lt;=50,"36-50",IF(Table1[[#This Row],[Age]]&lt;=65,"51-65","65+"))))</f>
        <v>36-50</v>
      </c>
    </row>
    <row r="885" spans="1:19" x14ac:dyDescent="0.3">
      <c r="A885" s="3" t="s">
        <v>2693</v>
      </c>
      <c r="B885" s="3">
        <v>81</v>
      </c>
      <c r="C885" s="3" t="s">
        <v>16</v>
      </c>
      <c r="D885" s="3" t="s">
        <v>122</v>
      </c>
      <c r="E885" s="3" t="s">
        <v>76</v>
      </c>
      <c r="F885" s="4">
        <v>45137</v>
      </c>
      <c r="G885" s="3" t="s">
        <v>2694</v>
      </c>
      <c r="H885" s="3" t="s">
        <v>2695</v>
      </c>
      <c r="I885" s="3" t="s">
        <v>65</v>
      </c>
      <c r="J885" s="5">
        <v>48799.385334340201</v>
      </c>
      <c r="K885" s="3">
        <v>102</v>
      </c>
      <c r="L885" s="3" t="s">
        <v>31</v>
      </c>
      <c r="M885" s="4">
        <v>45149</v>
      </c>
      <c r="N885" s="3" t="s">
        <v>23</v>
      </c>
      <c r="O885" s="3" t="s">
        <v>33</v>
      </c>
      <c r="P885" s="3" t="str">
        <f>IF(Table1[[#This Row],[Billing Amount]]&lt;5000,"Low",IF(Table1[[#This Row],[Billing Amount]]&lt;=15000,"Medium","High"))</f>
        <v>High</v>
      </c>
      <c r="Q885" s="3" t="str">
        <f>IF(Table1[[#This Row],[Discharge Date]]="Yes","Discharged","Under Treatment")</f>
        <v>Under Treatment</v>
      </c>
      <c r="R885" s="3" t="str">
        <f>IF(Table1[[#This Row],[Test Results]]&gt;120,"High Risk","Normal")</f>
        <v>High Risk</v>
      </c>
      <c r="S885" s="3" t="str">
        <f>IF(Table1[[#This Row],[Age]]&lt;=18,"0-18",IF(Table1[[#This Row],[Age]]&lt;=35,"19-35",IF(Table1[[#This Row],[Age]]&lt;=50,"36-50",IF(Table1[[#This Row],[Age]]&lt;=65,"51-65","65+"))))</f>
        <v>65+</v>
      </c>
    </row>
    <row r="886" spans="1:19" x14ac:dyDescent="0.3">
      <c r="A886" s="3" t="s">
        <v>2696</v>
      </c>
      <c r="B886" s="3">
        <v>60</v>
      </c>
      <c r="C886" s="3" t="s">
        <v>16</v>
      </c>
      <c r="D886" s="3" t="s">
        <v>122</v>
      </c>
      <c r="E886" s="3" t="s">
        <v>93</v>
      </c>
      <c r="F886" s="4">
        <v>44252</v>
      </c>
      <c r="G886" s="3" t="s">
        <v>2697</v>
      </c>
      <c r="H886" s="3" t="s">
        <v>1968</v>
      </c>
      <c r="I886" s="3" t="s">
        <v>30</v>
      </c>
      <c r="J886" s="5">
        <v>4224.2184499433997</v>
      </c>
      <c r="K886" s="3">
        <v>353</v>
      </c>
      <c r="L886" s="3" t="s">
        <v>22</v>
      </c>
      <c r="M886" s="4">
        <v>44270</v>
      </c>
      <c r="N886" s="3" t="s">
        <v>23</v>
      </c>
      <c r="O886" s="3" t="s">
        <v>24</v>
      </c>
      <c r="P886" s="3" t="str">
        <f>IF(Table1[[#This Row],[Billing Amount]]&lt;5000,"Low",IF(Table1[[#This Row],[Billing Amount]]&lt;=15000,"Medium","High"))</f>
        <v>Low</v>
      </c>
      <c r="Q886" s="3" t="str">
        <f>IF(Table1[[#This Row],[Discharge Date]]="Yes","Discharged","Under Treatment")</f>
        <v>Under Treatment</v>
      </c>
      <c r="R886" s="3" t="str">
        <f>IF(Table1[[#This Row],[Test Results]]&gt;120,"High Risk","Normal")</f>
        <v>High Risk</v>
      </c>
      <c r="S886" s="3" t="str">
        <f>IF(Table1[[#This Row],[Age]]&lt;=18,"0-18",IF(Table1[[#This Row],[Age]]&lt;=35,"19-35",IF(Table1[[#This Row],[Age]]&lt;=50,"36-50",IF(Table1[[#This Row],[Age]]&lt;=65,"51-65","65+"))))</f>
        <v>51-65</v>
      </c>
    </row>
    <row r="887" spans="1:19" x14ac:dyDescent="0.3">
      <c r="A887" s="3" t="s">
        <v>2698</v>
      </c>
      <c r="B887" s="3">
        <v>60</v>
      </c>
      <c r="C887" s="3" t="s">
        <v>16</v>
      </c>
      <c r="D887" s="3" t="s">
        <v>26</v>
      </c>
      <c r="E887" s="3" t="s">
        <v>43</v>
      </c>
      <c r="F887" s="4">
        <v>44947</v>
      </c>
      <c r="G887" s="3" t="s">
        <v>2699</v>
      </c>
      <c r="H887" s="3" t="s">
        <v>2700</v>
      </c>
      <c r="I887" s="3" t="s">
        <v>39</v>
      </c>
      <c r="J887" s="5">
        <v>7613.4509395390396</v>
      </c>
      <c r="K887" s="3">
        <v>448</v>
      </c>
      <c r="L887" s="3" t="s">
        <v>22</v>
      </c>
      <c r="M887" s="4">
        <v>44964</v>
      </c>
      <c r="N887" s="3" t="s">
        <v>52</v>
      </c>
      <c r="O887" s="3" t="s">
        <v>24</v>
      </c>
      <c r="P887" s="3" t="str">
        <f>IF(Table1[[#This Row],[Billing Amount]]&lt;5000,"Low",IF(Table1[[#This Row],[Billing Amount]]&lt;=15000,"Medium","High"))</f>
        <v>Medium</v>
      </c>
      <c r="Q887" s="3" t="str">
        <f>IF(Table1[[#This Row],[Discharge Date]]="Yes","Discharged","Under Treatment")</f>
        <v>Under Treatment</v>
      </c>
      <c r="R887" s="3" t="str">
        <f>IF(Table1[[#This Row],[Test Results]]&gt;120,"High Risk","Normal")</f>
        <v>High Risk</v>
      </c>
      <c r="S887" s="3" t="str">
        <f>IF(Table1[[#This Row],[Age]]&lt;=18,"0-18",IF(Table1[[#This Row],[Age]]&lt;=35,"19-35",IF(Table1[[#This Row],[Age]]&lt;=50,"36-50",IF(Table1[[#This Row],[Age]]&lt;=65,"51-65","65+"))))</f>
        <v>51-65</v>
      </c>
    </row>
    <row r="888" spans="1:19" x14ac:dyDescent="0.3">
      <c r="A888" s="3" t="s">
        <v>2701</v>
      </c>
      <c r="B888" s="3">
        <v>38</v>
      </c>
      <c r="C888" s="3" t="s">
        <v>16</v>
      </c>
      <c r="D888" s="3" t="s">
        <v>103</v>
      </c>
      <c r="E888" s="3" t="s">
        <v>43</v>
      </c>
      <c r="F888" s="4">
        <v>43919</v>
      </c>
      <c r="G888" s="3" t="s">
        <v>2702</v>
      </c>
      <c r="H888" s="3" t="s">
        <v>2703</v>
      </c>
      <c r="I888" s="3" t="s">
        <v>39</v>
      </c>
      <c r="J888" s="5">
        <v>15415.388076327001</v>
      </c>
      <c r="K888" s="3">
        <v>153</v>
      </c>
      <c r="L888" s="3" t="s">
        <v>31</v>
      </c>
      <c r="M888" s="4">
        <v>43940</v>
      </c>
      <c r="N888" s="3" t="s">
        <v>40</v>
      </c>
      <c r="O888" s="3" t="s">
        <v>47</v>
      </c>
      <c r="P888" s="3" t="str">
        <f>IF(Table1[[#This Row],[Billing Amount]]&lt;5000,"Low",IF(Table1[[#This Row],[Billing Amount]]&lt;=15000,"Medium","High"))</f>
        <v>High</v>
      </c>
      <c r="Q888" s="3" t="str">
        <f>IF(Table1[[#This Row],[Discharge Date]]="Yes","Discharged","Under Treatment")</f>
        <v>Under Treatment</v>
      </c>
      <c r="R888" s="3" t="str">
        <f>IF(Table1[[#This Row],[Test Results]]&gt;120,"High Risk","Normal")</f>
        <v>High Risk</v>
      </c>
      <c r="S888" s="3" t="str">
        <f>IF(Table1[[#This Row],[Age]]&lt;=18,"0-18",IF(Table1[[#This Row],[Age]]&lt;=35,"19-35",IF(Table1[[#This Row],[Age]]&lt;=50,"36-50",IF(Table1[[#This Row],[Age]]&lt;=65,"51-65","65+"))))</f>
        <v>36-50</v>
      </c>
    </row>
    <row r="889" spans="1:19" x14ac:dyDescent="0.3">
      <c r="A889" s="3" t="s">
        <v>2704</v>
      </c>
      <c r="B889" s="3">
        <v>18</v>
      </c>
      <c r="C889" s="3" t="s">
        <v>35</v>
      </c>
      <c r="D889" s="3" t="s">
        <v>59</v>
      </c>
      <c r="E889" s="3" t="s">
        <v>93</v>
      </c>
      <c r="F889" s="4">
        <v>43605</v>
      </c>
      <c r="G889" s="3" t="s">
        <v>2705</v>
      </c>
      <c r="H889" s="3" t="s">
        <v>2706</v>
      </c>
      <c r="I889" s="3" t="s">
        <v>65</v>
      </c>
      <c r="J889" s="5">
        <v>37941.378251979098</v>
      </c>
      <c r="K889" s="3">
        <v>145</v>
      </c>
      <c r="L889" s="3" t="s">
        <v>22</v>
      </c>
      <c r="M889" s="4">
        <v>43631</v>
      </c>
      <c r="N889" s="3" t="s">
        <v>40</v>
      </c>
      <c r="O889" s="3" t="s">
        <v>47</v>
      </c>
      <c r="P889" s="3" t="str">
        <f>IF(Table1[[#This Row],[Billing Amount]]&lt;5000,"Low",IF(Table1[[#This Row],[Billing Amount]]&lt;=15000,"Medium","High"))</f>
        <v>High</v>
      </c>
      <c r="Q889" s="3" t="str">
        <f>IF(Table1[[#This Row],[Discharge Date]]="Yes","Discharged","Under Treatment")</f>
        <v>Under Treatment</v>
      </c>
      <c r="R889" s="3" t="str">
        <f>IF(Table1[[#This Row],[Test Results]]&gt;120,"High Risk","Normal")</f>
        <v>High Risk</v>
      </c>
      <c r="S889" s="3" t="str">
        <f>IF(Table1[[#This Row],[Age]]&lt;=18,"0-18",IF(Table1[[#This Row],[Age]]&lt;=35,"19-35",IF(Table1[[#This Row],[Age]]&lt;=50,"36-50",IF(Table1[[#This Row],[Age]]&lt;=65,"51-65","65+"))))</f>
        <v>0-18</v>
      </c>
    </row>
    <row r="890" spans="1:19" x14ac:dyDescent="0.3">
      <c r="A890" s="3" t="s">
        <v>2707</v>
      </c>
      <c r="B890" s="3">
        <v>76</v>
      </c>
      <c r="C890" s="3" t="s">
        <v>16</v>
      </c>
      <c r="D890" s="3" t="s">
        <v>103</v>
      </c>
      <c r="E890" s="3" t="s">
        <v>93</v>
      </c>
      <c r="F890" s="4">
        <v>43968</v>
      </c>
      <c r="G890" s="3" t="s">
        <v>2708</v>
      </c>
      <c r="H890" s="3" t="s">
        <v>2709</v>
      </c>
      <c r="I890" s="3" t="s">
        <v>39</v>
      </c>
      <c r="J890" s="5">
        <v>14572.199836457299</v>
      </c>
      <c r="K890" s="3">
        <v>134</v>
      </c>
      <c r="L890" s="3" t="s">
        <v>31</v>
      </c>
      <c r="M890" s="4">
        <v>43974</v>
      </c>
      <c r="N890" s="3" t="s">
        <v>52</v>
      </c>
      <c r="O890" s="3" t="s">
        <v>24</v>
      </c>
      <c r="P890" s="3" t="str">
        <f>IF(Table1[[#This Row],[Billing Amount]]&lt;5000,"Low",IF(Table1[[#This Row],[Billing Amount]]&lt;=15000,"Medium","High"))</f>
        <v>Medium</v>
      </c>
      <c r="Q890" s="3" t="str">
        <f>IF(Table1[[#This Row],[Discharge Date]]="Yes","Discharged","Under Treatment")</f>
        <v>Under Treatment</v>
      </c>
      <c r="R890" s="3" t="str">
        <f>IF(Table1[[#This Row],[Test Results]]&gt;120,"High Risk","Normal")</f>
        <v>High Risk</v>
      </c>
      <c r="S890" s="3" t="str">
        <f>IF(Table1[[#This Row],[Age]]&lt;=18,"0-18",IF(Table1[[#This Row],[Age]]&lt;=35,"19-35",IF(Table1[[#This Row],[Age]]&lt;=50,"36-50",IF(Table1[[#This Row],[Age]]&lt;=65,"51-65","65+"))))</f>
        <v>65+</v>
      </c>
    </row>
    <row r="891" spans="1:19" x14ac:dyDescent="0.3">
      <c r="A891" s="3" t="s">
        <v>2710</v>
      </c>
      <c r="B891" s="3">
        <v>84</v>
      </c>
      <c r="C891" s="3" t="s">
        <v>35</v>
      </c>
      <c r="D891" s="3" t="s">
        <v>17</v>
      </c>
      <c r="E891" s="3" t="s">
        <v>43</v>
      </c>
      <c r="F891" s="4">
        <v>43750</v>
      </c>
      <c r="G891" s="3" t="s">
        <v>2711</v>
      </c>
      <c r="H891" s="3" t="s">
        <v>2712</v>
      </c>
      <c r="I891" s="3" t="s">
        <v>21</v>
      </c>
      <c r="J891" s="5">
        <v>37571.375700582299</v>
      </c>
      <c r="K891" s="3">
        <v>275</v>
      </c>
      <c r="L891" s="3" t="s">
        <v>22</v>
      </c>
      <c r="M891" s="4">
        <v>43769</v>
      </c>
      <c r="N891" s="3" t="s">
        <v>52</v>
      </c>
      <c r="O891" s="3" t="s">
        <v>24</v>
      </c>
      <c r="P891" s="3" t="str">
        <f>IF(Table1[[#This Row],[Billing Amount]]&lt;5000,"Low",IF(Table1[[#This Row],[Billing Amount]]&lt;=15000,"Medium","High"))</f>
        <v>High</v>
      </c>
      <c r="Q891" s="3" t="str">
        <f>IF(Table1[[#This Row],[Discharge Date]]="Yes","Discharged","Under Treatment")</f>
        <v>Under Treatment</v>
      </c>
      <c r="R891" s="3" t="str">
        <f>IF(Table1[[#This Row],[Test Results]]&gt;120,"High Risk","Normal")</f>
        <v>High Risk</v>
      </c>
      <c r="S891" s="3" t="str">
        <f>IF(Table1[[#This Row],[Age]]&lt;=18,"0-18",IF(Table1[[#This Row],[Age]]&lt;=35,"19-35",IF(Table1[[#This Row],[Age]]&lt;=50,"36-50",IF(Table1[[#This Row],[Age]]&lt;=65,"51-65","65+"))))</f>
        <v>65+</v>
      </c>
    </row>
    <row r="892" spans="1:19" x14ac:dyDescent="0.3">
      <c r="A892" s="3" t="s">
        <v>2713</v>
      </c>
      <c r="B892" s="3">
        <v>62</v>
      </c>
      <c r="C892" s="3" t="s">
        <v>16</v>
      </c>
      <c r="D892" s="3" t="s">
        <v>26</v>
      </c>
      <c r="E892" s="3" t="s">
        <v>27</v>
      </c>
      <c r="F892" s="4">
        <v>44631</v>
      </c>
      <c r="G892" s="3" t="s">
        <v>2714</v>
      </c>
      <c r="H892" s="3" t="s">
        <v>2715</v>
      </c>
      <c r="I892" s="3" t="s">
        <v>21</v>
      </c>
      <c r="J892" s="5">
        <v>17370.825947033201</v>
      </c>
      <c r="K892" s="3">
        <v>281</v>
      </c>
      <c r="L892" s="3" t="s">
        <v>22</v>
      </c>
      <c r="M892" s="4">
        <v>44648</v>
      </c>
      <c r="N892" s="3" t="s">
        <v>52</v>
      </c>
      <c r="O892" s="3" t="s">
        <v>24</v>
      </c>
      <c r="P892" s="3" t="str">
        <f>IF(Table1[[#This Row],[Billing Amount]]&lt;5000,"Low",IF(Table1[[#This Row],[Billing Amount]]&lt;=15000,"Medium","High"))</f>
        <v>High</v>
      </c>
      <c r="Q892" s="3" t="str">
        <f>IF(Table1[[#This Row],[Discharge Date]]="Yes","Discharged","Under Treatment")</f>
        <v>Under Treatment</v>
      </c>
      <c r="R892" s="3" t="str">
        <f>IF(Table1[[#This Row],[Test Results]]&gt;120,"High Risk","Normal")</f>
        <v>High Risk</v>
      </c>
      <c r="S892" s="3" t="str">
        <f>IF(Table1[[#This Row],[Age]]&lt;=18,"0-18",IF(Table1[[#This Row],[Age]]&lt;=35,"19-35",IF(Table1[[#This Row],[Age]]&lt;=50,"36-50",IF(Table1[[#This Row],[Age]]&lt;=65,"51-65","65+"))))</f>
        <v>51-65</v>
      </c>
    </row>
    <row r="893" spans="1:19" x14ac:dyDescent="0.3">
      <c r="A893" s="3" t="s">
        <v>2716</v>
      </c>
      <c r="B893" s="3">
        <v>38</v>
      </c>
      <c r="C893" s="3" t="s">
        <v>16</v>
      </c>
      <c r="D893" s="3" t="s">
        <v>59</v>
      </c>
      <c r="E893" s="3" t="s">
        <v>27</v>
      </c>
      <c r="F893" s="4">
        <v>44503</v>
      </c>
      <c r="G893" s="3" t="s">
        <v>2717</v>
      </c>
      <c r="H893" s="3" t="s">
        <v>2718</v>
      </c>
      <c r="I893" s="3" t="s">
        <v>65</v>
      </c>
      <c r="J893" s="5">
        <v>35489.458603760402</v>
      </c>
      <c r="K893" s="3">
        <v>353</v>
      </c>
      <c r="L893" s="3" t="s">
        <v>46</v>
      </c>
      <c r="M893" s="4">
        <v>44533</v>
      </c>
      <c r="N893" s="3" t="s">
        <v>52</v>
      </c>
      <c r="O893" s="3" t="s">
        <v>24</v>
      </c>
      <c r="P893" s="3" t="str">
        <f>IF(Table1[[#This Row],[Billing Amount]]&lt;5000,"Low",IF(Table1[[#This Row],[Billing Amount]]&lt;=15000,"Medium","High"))</f>
        <v>High</v>
      </c>
      <c r="Q893" s="3" t="str">
        <f>IF(Table1[[#This Row],[Discharge Date]]="Yes","Discharged","Under Treatment")</f>
        <v>Under Treatment</v>
      </c>
      <c r="R893" s="3" t="str">
        <f>IF(Table1[[#This Row],[Test Results]]&gt;120,"High Risk","Normal")</f>
        <v>High Risk</v>
      </c>
      <c r="S893" s="3" t="str">
        <f>IF(Table1[[#This Row],[Age]]&lt;=18,"0-18",IF(Table1[[#This Row],[Age]]&lt;=35,"19-35",IF(Table1[[#This Row],[Age]]&lt;=50,"36-50",IF(Table1[[#This Row],[Age]]&lt;=65,"51-65","65+"))))</f>
        <v>36-50</v>
      </c>
    </row>
    <row r="894" spans="1:19" x14ac:dyDescent="0.3">
      <c r="A894" s="3" t="s">
        <v>2719</v>
      </c>
      <c r="B894" s="3">
        <v>29</v>
      </c>
      <c r="C894" s="3" t="s">
        <v>35</v>
      </c>
      <c r="D894" s="3" t="s">
        <v>42</v>
      </c>
      <c r="E894" s="3" t="s">
        <v>76</v>
      </c>
      <c r="F894" s="4">
        <v>44073</v>
      </c>
      <c r="G894" s="3" t="s">
        <v>2720</v>
      </c>
      <c r="H894" s="3" t="s">
        <v>2721</v>
      </c>
      <c r="I894" s="3" t="s">
        <v>30</v>
      </c>
      <c r="J894" s="5">
        <v>20455.458288578098</v>
      </c>
      <c r="K894" s="3">
        <v>283</v>
      </c>
      <c r="L894" s="3" t="s">
        <v>46</v>
      </c>
      <c r="M894" s="4">
        <v>44075</v>
      </c>
      <c r="N894" s="3" t="s">
        <v>79</v>
      </c>
      <c r="O894" s="3" t="s">
        <v>47</v>
      </c>
      <c r="P894" s="3" t="str">
        <f>IF(Table1[[#This Row],[Billing Amount]]&lt;5000,"Low",IF(Table1[[#This Row],[Billing Amount]]&lt;=15000,"Medium","High"))</f>
        <v>High</v>
      </c>
      <c r="Q894" s="3" t="str">
        <f>IF(Table1[[#This Row],[Discharge Date]]="Yes","Discharged","Under Treatment")</f>
        <v>Under Treatment</v>
      </c>
      <c r="R894" s="3" t="str">
        <f>IF(Table1[[#This Row],[Test Results]]&gt;120,"High Risk","Normal")</f>
        <v>High Risk</v>
      </c>
      <c r="S894" s="3" t="str">
        <f>IF(Table1[[#This Row],[Age]]&lt;=18,"0-18",IF(Table1[[#This Row],[Age]]&lt;=35,"19-35",IF(Table1[[#This Row],[Age]]&lt;=50,"36-50",IF(Table1[[#This Row],[Age]]&lt;=65,"51-65","65+"))))</f>
        <v>19-35</v>
      </c>
    </row>
    <row r="895" spans="1:19" x14ac:dyDescent="0.3">
      <c r="A895" s="3" t="s">
        <v>2722</v>
      </c>
      <c r="B895" s="3">
        <v>65</v>
      </c>
      <c r="C895" s="3" t="s">
        <v>35</v>
      </c>
      <c r="D895" s="3" t="s">
        <v>26</v>
      </c>
      <c r="E895" s="3" t="s">
        <v>27</v>
      </c>
      <c r="F895" s="4">
        <v>43957</v>
      </c>
      <c r="G895" s="3" t="s">
        <v>2723</v>
      </c>
      <c r="H895" s="3" t="s">
        <v>2724</v>
      </c>
      <c r="I895" s="3" t="s">
        <v>39</v>
      </c>
      <c r="J895" s="5">
        <v>11492.788392210399</v>
      </c>
      <c r="K895" s="3">
        <v>116</v>
      </c>
      <c r="L895" s="3" t="s">
        <v>31</v>
      </c>
      <c r="M895" s="4">
        <v>43966</v>
      </c>
      <c r="N895" s="3" t="s">
        <v>79</v>
      </c>
      <c r="O895" s="3" t="s">
        <v>33</v>
      </c>
      <c r="P895" s="3" t="str">
        <f>IF(Table1[[#This Row],[Billing Amount]]&lt;5000,"Low",IF(Table1[[#This Row],[Billing Amount]]&lt;=15000,"Medium","High"))</f>
        <v>Medium</v>
      </c>
      <c r="Q895" s="3" t="str">
        <f>IF(Table1[[#This Row],[Discharge Date]]="Yes","Discharged","Under Treatment")</f>
        <v>Under Treatment</v>
      </c>
      <c r="R895" s="3" t="str">
        <f>IF(Table1[[#This Row],[Test Results]]&gt;120,"High Risk","Normal")</f>
        <v>High Risk</v>
      </c>
      <c r="S895" s="3" t="str">
        <f>IF(Table1[[#This Row],[Age]]&lt;=18,"0-18",IF(Table1[[#This Row],[Age]]&lt;=35,"19-35",IF(Table1[[#This Row],[Age]]&lt;=50,"36-50",IF(Table1[[#This Row],[Age]]&lt;=65,"51-65","65+"))))</f>
        <v>51-65</v>
      </c>
    </row>
    <row r="896" spans="1:19" x14ac:dyDescent="0.3">
      <c r="A896" s="3" t="s">
        <v>2725</v>
      </c>
      <c r="B896" s="3">
        <v>53</v>
      </c>
      <c r="C896" s="3" t="s">
        <v>16</v>
      </c>
      <c r="D896" s="3" t="s">
        <v>17</v>
      </c>
      <c r="E896" s="3" t="s">
        <v>18</v>
      </c>
      <c r="F896" s="4">
        <v>44143</v>
      </c>
      <c r="G896" s="3" t="s">
        <v>2726</v>
      </c>
      <c r="H896" s="3" t="s">
        <v>2727</v>
      </c>
      <c r="I896" s="3" t="s">
        <v>21</v>
      </c>
      <c r="J896" s="5">
        <v>17616.100835637801</v>
      </c>
      <c r="K896" s="3">
        <v>219</v>
      </c>
      <c r="L896" s="3" t="s">
        <v>46</v>
      </c>
      <c r="M896" s="4">
        <v>44151</v>
      </c>
      <c r="N896" s="3" t="s">
        <v>23</v>
      </c>
      <c r="O896" s="3" t="s">
        <v>24</v>
      </c>
      <c r="P896" s="3" t="str">
        <f>IF(Table1[[#This Row],[Billing Amount]]&lt;5000,"Low",IF(Table1[[#This Row],[Billing Amount]]&lt;=15000,"Medium","High"))</f>
        <v>High</v>
      </c>
      <c r="Q896" s="3" t="str">
        <f>IF(Table1[[#This Row],[Discharge Date]]="Yes","Discharged","Under Treatment")</f>
        <v>Under Treatment</v>
      </c>
      <c r="R896" s="3" t="str">
        <f>IF(Table1[[#This Row],[Test Results]]&gt;120,"High Risk","Normal")</f>
        <v>High Risk</v>
      </c>
      <c r="S896" s="3" t="str">
        <f>IF(Table1[[#This Row],[Age]]&lt;=18,"0-18",IF(Table1[[#This Row],[Age]]&lt;=35,"19-35",IF(Table1[[#This Row],[Age]]&lt;=50,"36-50",IF(Table1[[#This Row],[Age]]&lt;=65,"51-65","65+"))))</f>
        <v>51-65</v>
      </c>
    </row>
    <row r="897" spans="1:19" x14ac:dyDescent="0.3">
      <c r="A897" s="3" t="s">
        <v>2728</v>
      </c>
      <c r="B897" s="3">
        <v>46</v>
      </c>
      <c r="C897" s="3" t="s">
        <v>35</v>
      </c>
      <c r="D897" s="3" t="s">
        <v>36</v>
      </c>
      <c r="E897" s="3" t="s">
        <v>18</v>
      </c>
      <c r="F897" s="4">
        <v>43717</v>
      </c>
      <c r="G897" s="3" t="s">
        <v>2729</v>
      </c>
      <c r="H897" s="3" t="s">
        <v>2730</v>
      </c>
      <c r="I897" s="3" t="s">
        <v>30</v>
      </c>
      <c r="J897" s="5">
        <v>46961.575439563901</v>
      </c>
      <c r="K897" s="3">
        <v>185</v>
      </c>
      <c r="L897" s="3" t="s">
        <v>22</v>
      </c>
      <c r="M897" s="4">
        <v>43731</v>
      </c>
      <c r="N897" s="3" t="s">
        <v>23</v>
      </c>
      <c r="O897" s="3" t="s">
        <v>24</v>
      </c>
      <c r="P897" s="3" t="str">
        <f>IF(Table1[[#This Row],[Billing Amount]]&lt;5000,"Low",IF(Table1[[#This Row],[Billing Amount]]&lt;=15000,"Medium","High"))</f>
        <v>High</v>
      </c>
      <c r="Q897" s="3" t="str">
        <f>IF(Table1[[#This Row],[Discharge Date]]="Yes","Discharged","Under Treatment")</f>
        <v>Under Treatment</v>
      </c>
      <c r="R897" s="3" t="str">
        <f>IF(Table1[[#This Row],[Test Results]]&gt;120,"High Risk","Normal")</f>
        <v>High Risk</v>
      </c>
      <c r="S897" s="3" t="str">
        <f>IF(Table1[[#This Row],[Age]]&lt;=18,"0-18",IF(Table1[[#This Row],[Age]]&lt;=35,"19-35",IF(Table1[[#This Row],[Age]]&lt;=50,"36-50",IF(Table1[[#This Row],[Age]]&lt;=65,"51-65","65+"))))</f>
        <v>36-50</v>
      </c>
    </row>
    <row r="898" spans="1:19" x14ac:dyDescent="0.3">
      <c r="A898" s="3" t="s">
        <v>2731</v>
      </c>
      <c r="B898" s="3">
        <v>67</v>
      </c>
      <c r="C898" s="3" t="s">
        <v>35</v>
      </c>
      <c r="D898" s="3" t="s">
        <v>17</v>
      </c>
      <c r="E898" s="3" t="s">
        <v>27</v>
      </c>
      <c r="F898" s="4">
        <v>44317</v>
      </c>
      <c r="G898" s="3" t="s">
        <v>2732</v>
      </c>
      <c r="H898" s="3" t="s">
        <v>2733</v>
      </c>
      <c r="I898" s="3" t="s">
        <v>57</v>
      </c>
      <c r="J898" s="5">
        <v>18561.270578109601</v>
      </c>
      <c r="K898" s="3">
        <v>411</v>
      </c>
      <c r="L898" s="3" t="s">
        <v>31</v>
      </c>
      <c r="M898" s="4">
        <v>44342</v>
      </c>
      <c r="N898" s="3" t="s">
        <v>32</v>
      </c>
      <c r="O898" s="3" t="s">
        <v>33</v>
      </c>
      <c r="P898" s="3" t="str">
        <f>IF(Table1[[#This Row],[Billing Amount]]&lt;5000,"Low",IF(Table1[[#This Row],[Billing Amount]]&lt;=15000,"Medium","High"))</f>
        <v>High</v>
      </c>
      <c r="Q898" s="3" t="str">
        <f>IF(Table1[[#This Row],[Discharge Date]]="Yes","Discharged","Under Treatment")</f>
        <v>Under Treatment</v>
      </c>
      <c r="R898" s="3" t="str">
        <f>IF(Table1[[#This Row],[Test Results]]&gt;120,"High Risk","Normal")</f>
        <v>High Risk</v>
      </c>
      <c r="S898" s="3" t="str">
        <f>IF(Table1[[#This Row],[Age]]&lt;=18,"0-18",IF(Table1[[#This Row],[Age]]&lt;=35,"19-35",IF(Table1[[#This Row],[Age]]&lt;=50,"36-50",IF(Table1[[#This Row],[Age]]&lt;=65,"51-65","65+"))))</f>
        <v>65+</v>
      </c>
    </row>
    <row r="899" spans="1:19" x14ac:dyDescent="0.3">
      <c r="A899" s="3" t="s">
        <v>2734</v>
      </c>
      <c r="B899" s="3">
        <v>24</v>
      </c>
      <c r="C899" s="3" t="s">
        <v>16</v>
      </c>
      <c r="D899" s="3" t="s">
        <v>49</v>
      </c>
      <c r="E899" s="3" t="s">
        <v>27</v>
      </c>
      <c r="F899" s="4">
        <v>45104</v>
      </c>
      <c r="G899" s="3" t="s">
        <v>2735</v>
      </c>
      <c r="H899" s="3" t="s">
        <v>2736</v>
      </c>
      <c r="I899" s="3" t="s">
        <v>65</v>
      </c>
      <c r="J899" s="5">
        <v>39018.767473342799</v>
      </c>
      <c r="K899" s="3">
        <v>176</v>
      </c>
      <c r="L899" s="3" t="s">
        <v>31</v>
      </c>
      <c r="M899" s="4">
        <v>45116</v>
      </c>
      <c r="N899" s="3" t="s">
        <v>32</v>
      </c>
      <c r="O899" s="3" t="s">
        <v>47</v>
      </c>
      <c r="P899" s="3" t="str">
        <f>IF(Table1[[#This Row],[Billing Amount]]&lt;5000,"Low",IF(Table1[[#This Row],[Billing Amount]]&lt;=15000,"Medium","High"))</f>
        <v>High</v>
      </c>
      <c r="Q899" s="3" t="str">
        <f>IF(Table1[[#This Row],[Discharge Date]]="Yes","Discharged","Under Treatment")</f>
        <v>Under Treatment</v>
      </c>
      <c r="R899" s="3" t="str">
        <f>IF(Table1[[#This Row],[Test Results]]&gt;120,"High Risk","Normal")</f>
        <v>High Risk</v>
      </c>
      <c r="S899" s="3" t="str">
        <f>IF(Table1[[#This Row],[Age]]&lt;=18,"0-18",IF(Table1[[#This Row],[Age]]&lt;=35,"19-35",IF(Table1[[#This Row],[Age]]&lt;=50,"36-50",IF(Table1[[#This Row],[Age]]&lt;=65,"51-65","65+"))))</f>
        <v>19-35</v>
      </c>
    </row>
    <row r="900" spans="1:19" x14ac:dyDescent="0.3">
      <c r="A900" s="3" t="s">
        <v>2738</v>
      </c>
      <c r="B900" s="3">
        <v>18</v>
      </c>
      <c r="C900" s="3" t="s">
        <v>35</v>
      </c>
      <c r="D900" s="3" t="s">
        <v>17</v>
      </c>
      <c r="E900" s="3" t="s">
        <v>18</v>
      </c>
      <c r="F900" s="4">
        <v>45221</v>
      </c>
      <c r="G900" s="3" t="s">
        <v>2739</v>
      </c>
      <c r="H900" s="3" t="s">
        <v>2740</v>
      </c>
      <c r="I900" s="3" t="s">
        <v>65</v>
      </c>
      <c r="J900" s="5">
        <v>47337.955348384399</v>
      </c>
      <c r="K900" s="3">
        <v>252</v>
      </c>
      <c r="L900" s="3" t="s">
        <v>46</v>
      </c>
      <c r="M900" s="4">
        <v>45246</v>
      </c>
      <c r="N900" s="3" t="s">
        <v>23</v>
      </c>
      <c r="O900" s="3" t="s">
        <v>47</v>
      </c>
      <c r="P900" s="3" t="str">
        <f>IF(Table1[[#This Row],[Billing Amount]]&lt;5000,"Low",IF(Table1[[#This Row],[Billing Amount]]&lt;=15000,"Medium","High"))</f>
        <v>High</v>
      </c>
      <c r="Q900" s="3" t="str">
        <f>IF(Table1[[#This Row],[Discharge Date]]="Yes","Discharged","Under Treatment")</f>
        <v>Under Treatment</v>
      </c>
      <c r="R900" s="3" t="str">
        <f>IF(Table1[[#This Row],[Test Results]]&gt;120,"High Risk","Normal")</f>
        <v>High Risk</v>
      </c>
      <c r="S900" s="3" t="str">
        <f>IF(Table1[[#This Row],[Age]]&lt;=18,"0-18",IF(Table1[[#This Row],[Age]]&lt;=35,"19-35",IF(Table1[[#This Row],[Age]]&lt;=50,"36-50",IF(Table1[[#This Row],[Age]]&lt;=65,"51-65","65+"))))</f>
        <v>0-18</v>
      </c>
    </row>
    <row r="901" spans="1:19" x14ac:dyDescent="0.3">
      <c r="A901" s="3" t="s">
        <v>2741</v>
      </c>
      <c r="B901" s="3">
        <v>51</v>
      </c>
      <c r="C901" s="3" t="s">
        <v>35</v>
      </c>
      <c r="D901" s="3" t="s">
        <v>49</v>
      </c>
      <c r="E901" s="3" t="s">
        <v>43</v>
      </c>
      <c r="F901" s="4">
        <v>44700</v>
      </c>
      <c r="G901" s="3" t="s">
        <v>2742</v>
      </c>
      <c r="H901" s="3" t="s">
        <v>2743</v>
      </c>
      <c r="I901" s="3" t="s">
        <v>30</v>
      </c>
      <c r="J901" s="5">
        <v>43474.518770914699</v>
      </c>
      <c r="K901" s="3">
        <v>262</v>
      </c>
      <c r="L901" s="3" t="s">
        <v>22</v>
      </c>
      <c r="M901" s="4">
        <v>44709</v>
      </c>
      <c r="N901" s="3" t="s">
        <v>79</v>
      </c>
      <c r="O901" s="3" t="s">
        <v>24</v>
      </c>
      <c r="P901" s="3" t="str">
        <f>IF(Table1[[#This Row],[Billing Amount]]&lt;5000,"Low",IF(Table1[[#This Row],[Billing Amount]]&lt;=15000,"Medium","High"))</f>
        <v>High</v>
      </c>
      <c r="Q901" s="3" t="str">
        <f>IF(Table1[[#This Row],[Discharge Date]]="Yes","Discharged","Under Treatment")</f>
        <v>Under Treatment</v>
      </c>
      <c r="R901" s="3" t="str">
        <f>IF(Table1[[#This Row],[Test Results]]&gt;120,"High Risk","Normal")</f>
        <v>High Risk</v>
      </c>
      <c r="S901" s="3" t="str">
        <f>IF(Table1[[#This Row],[Age]]&lt;=18,"0-18",IF(Table1[[#This Row],[Age]]&lt;=35,"19-35",IF(Table1[[#This Row],[Age]]&lt;=50,"36-50",IF(Table1[[#This Row],[Age]]&lt;=65,"51-65","65+"))))</f>
        <v>51-65</v>
      </c>
    </row>
    <row r="902" spans="1:19" x14ac:dyDescent="0.3">
      <c r="A902" s="3" t="s">
        <v>2744</v>
      </c>
      <c r="B902" s="3">
        <v>49</v>
      </c>
      <c r="C902" s="3" t="s">
        <v>16</v>
      </c>
      <c r="D902" s="3" t="s">
        <v>59</v>
      </c>
      <c r="E902" s="3" t="s">
        <v>43</v>
      </c>
      <c r="F902" s="4">
        <v>44864</v>
      </c>
      <c r="G902" s="3" t="s">
        <v>2745</v>
      </c>
      <c r="H902" s="3" t="s">
        <v>2746</v>
      </c>
      <c r="I902" s="3" t="s">
        <v>30</v>
      </c>
      <c r="J902" s="5">
        <v>32574.837230159701</v>
      </c>
      <c r="K902" s="3">
        <v>441</v>
      </c>
      <c r="L902" s="3" t="s">
        <v>31</v>
      </c>
      <c r="M902" s="4">
        <v>44880</v>
      </c>
      <c r="N902" s="3" t="s">
        <v>52</v>
      </c>
      <c r="O902" s="3" t="s">
        <v>24</v>
      </c>
      <c r="P902" s="3" t="str">
        <f>IF(Table1[[#This Row],[Billing Amount]]&lt;5000,"Low",IF(Table1[[#This Row],[Billing Amount]]&lt;=15000,"Medium","High"))</f>
        <v>High</v>
      </c>
      <c r="Q902" s="3" t="str">
        <f>IF(Table1[[#This Row],[Discharge Date]]="Yes","Discharged","Under Treatment")</f>
        <v>Under Treatment</v>
      </c>
      <c r="R902" s="3" t="str">
        <f>IF(Table1[[#This Row],[Test Results]]&gt;120,"High Risk","Normal")</f>
        <v>High Risk</v>
      </c>
      <c r="S902" s="3" t="str">
        <f>IF(Table1[[#This Row],[Age]]&lt;=18,"0-18",IF(Table1[[#This Row],[Age]]&lt;=35,"19-35",IF(Table1[[#This Row],[Age]]&lt;=50,"36-50",IF(Table1[[#This Row],[Age]]&lt;=65,"51-65","65+"))))</f>
        <v>36-50</v>
      </c>
    </row>
    <row r="903" spans="1:19" x14ac:dyDescent="0.3">
      <c r="A903" s="3" t="s">
        <v>2747</v>
      </c>
      <c r="B903" s="3">
        <v>46</v>
      </c>
      <c r="C903" s="3" t="s">
        <v>16</v>
      </c>
      <c r="D903" s="3" t="s">
        <v>103</v>
      </c>
      <c r="E903" s="3" t="s">
        <v>76</v>
      </c>
      <c r="F903" s="4">
        <v>43781</v>
      </c>
      <c r="G903" s="3" t="s">
        <v>2748</v>
      </c>
      <c r="H903" s="3" t="s">
        <v>2749</v>
      </c>
      <c r="I903" s="3" t="s">
        <v>65</v>
      </c>
      <c r="J903" s="5">
        <v>19479.447014730398</v>
      </c>
      <c r="K903" s="3">
        <v>280</v>
      </c>
      <c r="L903" s="3" t="s">
        <v>22</v>
      </c>
      <c r="M903" s="4">
        <v>43804</v>
      </c>
      <c r="N903" s="3" t="s">
        <v>23</v>
      </c>
      <c r="O903" s="3" t="s">
        <v>47</v>
      </c>
      <c r="P903" s="3" t="str">
        <f>IF(Table1[[#This Row],[Billing Amount]]&lt;5000,"Low",IF(Table1[[#This Row],[Billing Amount]]&lt;=15000,"Medium","High"))</f>
        <v>High</v>
      </c>
      <c r="Q903" s="3" t="str">
        <f>IF(Table1[[#This Row],[Discharge Date]]="Yes","Discharged","Under Treatment")</f>
        <v>Under Treatment</v>
      </c>
      <c r="R903" s="3" t="str">
        <f>IF(Table1[[#This Row],[Test Results]]&gt;120,"High Risk","Normal")</f>
        <v>High Risk</v>
      </c>
      <c r="S903" s="3" t="str">
        <f>IF(Table1[[#This Row],[Age]]&lt;=18,"0-18",IF(Table1[[#This Row],[Age]]&lt;=35,"19-35",IF(Table1[[#This Row],[Age]]&lt;=50,"36-50",IF(Table1[[#This Row],[Age]]&lt;=65,"51-65","65+"))))</f>
        <v>36-50</v>
      </c>
    </row>
    <row r="904" spans="1:19" x14ac:dyDescent="0.3">
      <c r="A904" s="3" t="s">
        <v>2750</v>
      </c>
      <c r="B904" s="3">
        <v>59</v>
      </c>
      <c r="C904" s="3" t="s">
        <v>35</v>
      </c>
      <c r="D904" s="3" t="s">
        <v>36</v>
      </c>
      <c r="E904" s="3" t="s">
        <v>18</v>
      </c>
      <c r="F904" s="4">
        <v>43755</v>
      </c>
      <c r="G904" s="3" t="s">
        <v>2751</v>
      </c>
      <c r="H904" s="3" t="s">
        <v>2752</v>
      </c>
      <c r="I904" s="3" t="s">
        <v>65</v>
      </c>
      <c r="J904" s="5">
        <v>40055.594153053004</v>
      </c>
      <c r="K904" s="3">
        <v>465</v>
      </c>
      <c r="L904" s="3" t="s">
        <v>22</v>
      </c>
      <c r="M904" s="4">
        <v>43777</v>
      </c>
      <c r="N904" s="3" t="s">
        <v>79</v>
      </c>
      <c r="O904" s="3" t="s">
        <v>47</v>
      </c>
      <c r="P904" s="3" t="str">
        <f>IF(Table1[[#This Row],[Billing Amount]]&lt;5000,"Low",IF(Table1[[#This Row],[Billing Amount]]&lt;=15000,"Medium","High"))</f>
        <v>High</v>
      </c>
      <c r="Q904" s="3" t="str">
        <f>IF(Table1[[#This Row],[Discharge Date]]="Yes","Discharged","Under Treatment")</f>
        <v>Under Treatment</v>
      </c>
      <c r="R904" s="3" t="str">
        <f>IF(Table1[[#This Row],[Test Results]]&gt;120,"High Risk","Normal")</f>
        <v>High Risk</v>
      </c>
      <c r="S904" s="3" t="str">
        <f>IF(Table1[[#This Row],[Age]]&lt;=18,"0-18",IF(Table1[[#This Row],[Age]]&lt;=35,"19-35",IF(Table1[[#This Row],[Age]]&lt;=50,"36-50",IF(Table1[[#This Row],[Age]]&lt;=65,"51-65","65+"))))</f>
        <v>51-65</v>
      </c>
    </row>
    <row r="905" spans="1:19" x14ac:dyDescent="0.3">
      <c r="A905" s="3" t="s">
        <v>2753</v>
      </c>
      <c r="B905" s="3">
        <v>18</v>
      </c>
      <c r="C905" s="3" t="s">
        <v>16</v>
      </c>
      <c r="D905" s="3" t="s">
        <v>36</v>
      </c>
      <c r="E905" s="3" t="s">
        <v>27</v>
      </c>
      <c r="F905" s="4">
        <v>43594</v>
      </c>
      <c r="G905" s="3" t="s">
        <v>2754</v>
      </c>
      <c r="H905" s="3" t="s">
        <v>2755</v>
      </c>
      <c r="I905" s="3" t="s">
        <v>65</v>
      </c>
      <c r="J905" s="5">
        <v>8906.6696794003801</v>
      </c>
      <c r="K905" s="3">
        <v>471</v>
      </c>
      <c r="L905" s="3" t="s">
        <v>22</v>
      </c>
      <c r="M905" s="4">
        <v>43618</v>
      </c>
      <c r="N905" s="3" t="s">
        <v>32</v>
      </c>
      <c r="O905" s="3" t="s">
        <v>24</v>
      </c>
      <c r="P905" s="3" t="str">
        <f>IF(Table1[[#This Row],[Billing Amount]]&lt;5000,"Low",IF(Table1[[#This Row],[Billing Amount]]&lt;=15000,"Medium","High"))</f>
        <v>Medium</v>
      </c>
      <c r="Q905" s="3" t="str">
        <f>IF(Table1[[#This Row],[Discharge Date]]="Yes","Discharged","Under Treatment")</f>
        <v>Under Treatment</v>
      </c>
      <c r="R905" s="3" t="str">
        <f>IF(Table1[[#This Row],[Test Results]]&gt;120,"High Risk","Normal")</f>
        <v>High Risk</v>
      </c>
      <c r="S905" s="3" t="str">
        <f>IF(Table1[[#This Row],[Age]]&lt;=18,"0-18",IF(Table1[[#This Row],[Age]]&lt;=35,"19-35",IF(Table1[[#This Row],[Age]]&lt;=50,"36-50",IF(Table1[[#This Row],[Age]]&lt;=65,"51-65","65+"))))</f>
        <v>0-18</v>
      </c>
    </row>
    <row r="906" spans="1:19" x14ac:dyDescent="0.3">
      <c r="A906" s="3" t="s">
        <v>2756</v>
      </c>
      <c r="B906" s="3">
        <v>79</v>
      </c>
      <c r="C906" s="3" t="s">
        <v>35</v>
      </c>
      <c r="D906" s="3" t="s">
        <v>59</v>
      </c>
      <c r="E906" s="3" t="s">
        <v>54</v>
      </c>
      <c r="F906" s="4">
        <v>43607</v>
      </c>
      <c r="G906" s="3" t="s">
        <v>2757</v>
      </c>
      <c r="H906" s="3" t="s">
        <v>2758</v>
      </c>
      <c r="I906" s="3" t="s">
        <v>65</v>
      </c>
      <c r="J906" s="5">
        <v>41102.280232253397</v>
      </c>
      <c r="K906" s="3">
        <v>105</v>
      </c>
      <c r="L906" s="3" t="s">
        <v>31</v>
      </c>
      <c r="M906" s="4">
        <v>43623</v>
      </c>
      <c r="N906" s="3" t="s">
        <v>52</v>
      </c>
      <c r="O906" s="3" t="s">
        <v>24</v>
      </c>
      <c r="P906" s="3" t="str">
        <f>IF(Table1[[#This Row],[Billing Amount]]&lt;5000,"Low",IF(Table1[[#This Row],[Billing Amount]]&lt;=15000,"Medium","High"))</f>
        <v>High</v>
      </c>
      <c r="Q906" s="3" t="str">
        <f>IF(Table1[[#This Row],[Discharge Date]]="Yes","Discharged","Under Treatment")</f>
        <v>Under Treatment</v>
      </c>
      <c r="R906" s="3" t="str">
        <f>IF(Table1[[#This Row],[Test Results]]&gt;120,"High Risk","Normal")</f>
        <v>High Risk</v>
      </c>
      <c r="S906" s="3" t="str">
        <f>IF(Table1[[#This Row],[Age]]&lt;=18,"0-18",IF(Table1[[#This Row],[Age]]&lt;=35,"19-35",IF(Table1[[#This Row],[Age]]&lt;=50,"36-50",IF(Table1[[#This Row],[Age]]&lt;=65,"51-65","65+"))))</f>
        <v>65+</v>
      </c>
    </row>
    <row r="907" spans="1:19" x14ac:dyDescent="0.3">
      <c r="A907" s="3" t="s">
        <v>2759</v>
      </c>
      <c r="B907" s="3">
        <v>74</v>
      </c>
      <c r="C907" s="3" t="s">
        <v>16</v>
      </c>
      <c r="D907" s="3" t="s">
        <v>103</v>
      </c>
      <c r="E907" s="3" t="s">
        <v>76</v>
      </c>
      <c r="F907" s="4">
        <v>43723</v>
      </c>
      <c r="G907" s="3" t="s">
        <v>2760</v>
      </c>
      <c r="H907" s="3" t="s">
        <v>2761</v>
      </c>
      <c r="I907" s="3" t="s">
        <v>65</v>
      </c>
      <c r="J907" s="5">
        <v>21513.5265843421</v>
      </c>
      <c r="K907" s="3">
        <v>438</v>
      </c>
      <c r="L907" s="3" t="s">
        <v>31</v>
      </c>
      <c r="M907" s="4">
        <v>43749</v>
      </c>
      <c r="N907" s="3" t="s">
        <v>79</v>
      </c>
      <c r="O907" s="3" t="s">
        <v>24</v>
      </c>
      <c r="P907" s="3" t="str">
        <f>IF(Table1[[#This Row],[Billing Amount]]&lt;5000,"Low",IF(Table1[[#This Row],[Billing Amount]]&lt;=15000,"Medium","High"))</f>
        <v>High</v>
      </c>
      <c r="Q907" s="3" t="str">
        <f>IF(Table1[[#This Row],[Discharge Date]]="Yes","Discharged","Under Treatment")</f>
        <v>Under Treatment</v>
      </c>
      <c r="R907" s="3" t="str">
        <f>IF(Table1[[#This Row],[Test Results]]&gt;120,"High Risk","Normal")</f>
        <v>High Risk</v>
      </c>
      <c r="S907" s="3" t="str">
        <f>IF(Table1[[#This Row],[Age]]&lt;=18,"0-18",IF(Table1[[#This Row],[Age]]&lt;=35,"19-35",IF(Table1[[#This Row],[Age]]&lt;=50,"36-50",IF(Table1[[#This Row],[Age]]&lt;=65,"51-65","65+"))))</f>
        <v>65+</v>
      </c>
    </row>
    <row r="908" spans="1:19" x14ac:dyDescent="0.3">
      <c r="A908" s="3" t="s">
        <v>2762</v>
      </c>
      <c r="B908" s="3">
        <v>63</v>
      </c>
      <c r="C908" s="3" t="s">
        <v>16</v>
      </c>
      <c r="D908" s="3" t="s">
        <v>26</v>
      </c>
      <c r="E908" s="3" t="s">
        <v>18</v>
      </c>
      <c r="F908" s="4">
        <v>44713</v>
      </c>
      <c r="G908" s="3" t="s">
        <v>2763</v>
      </c>
      <c r="H908" s="3" t="s">
        <v>2764</v>
      </c>
      <c r="I908" s="3" t="s">
        <v>30</v>
      </c>
      <c r="J908" s="5">
        <v>21380.1972288617</v>
      </c>
      <c r="K908" s="3">
        <v>406</v>
      </c>
      <c r="L908" s="3" t="s">
        <v>46</v>
      </c>
      <c r="M908" s="4">
        <v>44733</v>
      </c>
      <c r="N908" s="3" t="s">
        <v>79</v>
      </c>
      <c r="O908" s="3" t="s">
        <v>33</v>
      </c>
      <c r="P908" s="3" t="str">
        <f>IF(Table1[[#This Row],[Billing Amount]]&lt;5000,"Low",IF(Table1[[#This Row],[Billing Amount]]&lt;=15000,"Medium","High"))</f>
        <v>High</v>
      </c>
      <c r="Q908" s="3" t="str">
        <f>IF(Table1[[#This Row],[Discharge Date]]="Yes","Discharged","Under Treatment")</f>
        <v>Under Treatment</v>
      </c>
      <c r="R908" s="3" t="str">
        <f>IF(Table1[[#This Row],[Test Results]]&gt;120,"High Risk","Normal")</f>
        <v>High Risk</v>
      </c>
      <c r="S908" s="3" t="str">
        <f>IF(Table1[[#This Row],[Age]]&lt;=18,"0-18",IF(Table1[[#This Row],[Age]]&lt;=35,"19-35",IF(Table1[[#This Row],[Age]]&lt;=50,"36-50",IF(Table1[[#This Row],[Age]]&lt;=65,"51-65","65+"))))</f>
        <v>51-65</v>
      </c>
    </row>
    <row r="909" spans="1:19" x14ac:dyDescent="0.3">
      <c r="A909" s="3" t="s">
        <v>2765</v>
      </c>
      <c r="B909" s="3">
        <v>34</v>
      </c>
      <c r="C909" s="3" t="s">
        <v>16</v>
      </c>
      <c r="D909" s="3" t="s">
        <v>36</v>
      </c>
      <c r="E909" s="3" t="s">
        <v>18</v>
      </c>
      <c r="F909" s="4">
        <v>44988</v>
      </c>
      <c r="G909" s="3" t="s">
        <v>2766</v>
      </c>
      <c r="H909" s="3" t="s">
        <v>2767</v>
      </c>
      <c r="I909" s="3" t="s">
        <v>30</v>
      </c>
      <c r="J909" s="5">
        <v>11175.230874041201</v>
      </c>
      <c r="K909" s="3">
        <v>248</v>
      </c>
      <c r="L909" s="3" t="s">
        <v>22</v>
      </c>
      <c r="M909" s="4">
        <v>45007</v>
      </c>
      <c r="N909" s="3" t="s">
        <v>23</v>
      </c>
      <c r="O909" s="3" t="s">
        <v>24</v>
      </c>
      <c r="P909" s="3" t="str">
        <f>IF(Table1[[#This Row],[Billing Amount]]&lt;5000,"Low",IF(Table1[[#This Row],[Billing Amount]]&lt;=15000,"Medium","High"))</f>
        <v>Medium</v>
      </c>
      <c r="Q909" s="3" t="str">
        <f>IF(Table1[[#This Row],[Discharge Date]]="Yes","Discharged","Under Treatment")</f>
        <v>Under Treatment</v>
      </c>
      <c r="R909" s="3" t="str">
        <f>IF(Table1[[#This Row],[Test Results]]&gt;120,"High Risk","Normal")</f>
        <v>High Risk</v>
      </c>
      <c r="S909" s="3" t="str">
        <f>IF(Table1[[#This Row],[Age]]&lt;=18,"0-18",IF(Table1[[#This Row],[Age]]&lt;=35,"19-35",IF(Table1[[#This Row],[Age]]&lt;=50,"36-50",IF(Table1[[#This Row],[Age]]&lt;=65,"51-65","65+"))))</f>
        <v>19-35</v>
      </c>
    </row>
    <row r="910" spans="1:19" x14ac:dyDescent="0.3">
      <c r="A910" s="3" t="s">
        <v>2768</v>
      </c>
      <c r="B910" s="3">
        <v>83</v>
      </c>
      <c r="C910" s="3" t="s">
        <v>35</v>
      </c>
      <c r="D910" s="3" t="s">
        <v>36</v>
      </c>
      <c r="E910" s="3" t="s">
        <v>27</v>
      </c>
      <c r="F910" s="4">
        <v>43846</v>
      </c>
      <c r="G910" s="3" t="s">
        <v>2769</v>
      </c>
      <c r="H910" s="3" t="s">
        <v>2770</v>
      </c>
      <c r="I910" s="3" t="s">
        <v>30</v>
      </c>
      <c r="J910" s="5">
        <v>42510.687790141899</v>
      </c>
      <c r="K910" s="3">
        <v>286</v>
      </c>
      <c r="L910" s="3" t="s">
        <v>31</v>
      </c>
      <c r="M910" s="4">
        <v>43864</v>
      </c>
      <c r="N910" s="3" t="s">
        <v>40</v>
      </c>
      <c r="O910" s="3" t="s">
        <v>33</v>
      </c>
      <c r="P910" s="3" t="str">
        <f>IF(Table1[[#This Row],[Billing Amount]]&lt;5000,"Low",IF(Table1[[#This Row],[Billing Amount]]&lt;=15000,"Medium","High"))</f>
        <v>High</v>
      </c>
      <c r="Q910" s="3" t="str">
        <f>IF(Table1[[#This Row],[Discharge Date]]="Yes","Discharged","Under Treatment")</f>
        <v>Under Treatment</v>
      </c>
      <c r="R910" s="3" t="str">
        <f>IF(Table1[[#This Row],[Test Results]]&gt;120,"High Risk","Normal")</f>
        <v>High Risk</v>
      </c>
      <c r="S910" s="3" t="str">
        <f>IF(Table1[[#This Row],[Age]]&lt;=18,"0-18",IF(Table1[[#This Row],[Age]]&lt;=35,"19-35",IF(Table1[[#This Row],[Age]]&lt;=50,"36-50",IF(Table1[[#This Row],[Age]]&lt;=65,"51-65","65+"))))</f>
        <v>65+</v>
      </c>
    </row>
    <row r="911" spans="1:19" x14ac:dyDescent="0.3">
      <c r="A911" s="3" t="s">
        <v>2771</v>
      </c>
      <c r="B911" s="3">
        <v>33</v>
      </c>
      <c r="C911" s="3" t="s">
        <v>35</v>
      </c>
      <c r="D911" s="3" t="s">
        <v>17</v>
      </c>
      <c r="E911" s="3" t="s">
        <v>93</v>
      </c>
      <c r="F911" s="4">
        <v>45366</v>
      </c>
      <c r="G911" s="3" t="s">
        <v>2772</v>
      </c>
      <c r="H911" s="3" t="s">
        <v>2773</v>
      </c>
      <c r="I911" s="3" t="s">
        <v>57</v>
      </c>
      <c r="J911" s="5">
        <v>7475.7407329018597</v>
      </c>
      <c r="K911" s="3">
        <v>373</v>
      </c>
      <c r="L911" s="3" t="s">
        <v>46</v>
      </c>
      <c r="M911" s="4">
        <v>45371</v>
      </c>
      <c r="N911" s="3" t="s">
        <v>52</v>
      </c>
      <c r="O911" s="3" t="s">
        <v>47</v>
      </c>
      <c r="P911" s="3" t="str">
        <f>IF(Table1[[#This Row],[Billing Amount]]&lt;5000,"Low",IF(Table1[[#This Row],[Billing Amount]]&lt;=15000,"Medium","High"))</f>
        <v>Medium</v>
      </c>
      <c r="Q911" s="3" t="str">
        <f>IF(Table1[[#This Row],[Discharge Date]]="Yes","Discharged","Under Treatment")</f>
        <v>Under Treatment</v>
      </c>
      <c r="R911" s="3" t="str">
        <f>IF(Table1[[#This Row],[Test Results]]&gt;120,"High Risk","Normal")</f>
        <v>High Risk</v>
      </c>
      <c r="S911" s="3" t="str">
        <f>IF(Table1[[#This Row],[Age]]&lt;=18,"0-18",IF(Table1[[#This Row],[Age]]&lt;=35,"19-35",IF(Table1[[#This Row],[Age]]&lt;=50,"36-50",IF(Table1[[#This Row],[Age]]&lt;=65,"51-65","65+"))))</f>
        <v>19-35</v>
      </c>
    </row>
    <row r="912" spans="1:19" x14ac:dyDescent="0.3">
      <c r="A912" s="3" t="s">
        <v>2774</v>
      </c>
      <c r="B912" s="3">
        <v>31</v>
      </c>
      <c r="C912" s="3" t="s">
        <v>35</v>
      </c>
      <c r="D912" s="3" t="s">
        <v>103</v>
      </c>
      <c r="E912" s="3" t="s">
        <v>76</v>
      </c>
      <c r="F912" s="4">
        <v>43891</v>
      </c>
      <c r="G912" s="3" t="s">
        <v>2775</v>
      </c>
      <c r="H912" s="3" t="s">
        <v>2776</v>
      </c>
      <c r="I912" s="3" t="s">
        <v>65</v>
      </c>
      <c r="J912" s="5">
        <v>15092.075102151501</v>
      </c>
      <c r="K912" s="3">
        <v>360</v>
      </c>
      <c r="L912" s="3" t="s">
        <v>46</v>
      </c>
      <c r="M912" s="4">
        <v>43896</v>
      </c>
      <c r="N912" s="3" t="s">
        <v>79</v>
      </c>
      <c r="O912" s="3" t="s">
        <v>47</v>
      </c>
      <c r="P912" s="3" t="str">
        <f>IF(Table1[[#This Row],[Billing Amount]]&lt;5000,"Low",IF(Table1[[#This Row],[Billing Amount]]&lt;=15000,"Medium","High"))</f>
        <v>High</v>
      </c>
      <c r="Q912" s="3" t="str">
        <f>IF(Table1[[#This Row],[Discharge Date]]="Yes","Discharged","Under Treatment")</f>
        <v>Under Treatment</v>
      </c>
      <c r="R912" s="3" t="str">
        <f>IF(Table1[[#This Row],[Test Results]]&gt;120,"High Risk","Normal")</f>
        <v>High Risk</v>
      </c>
      <c r="S912" s="3" t="str">
        <f>IF(Table1[[#This Row],[Age]]&lt;=18,"0-18",IF(Table1[[#This Row],[Age]]&lt;=35,"19-35",IF(Table1[[#This Row],[Age]]&lt;=50,"36-50",IF(Table1[[#This Row],[Age]]&lt;=65,"51-65","65+"))))</f>
        <v>19-35</v>
      </c>
    </row>
    <row r="913" spans="1:19" x14ac:dyDescent="0.3">
      <c r="A913" s="3" t="s">
        <v>2777</v>
      </c>
      <c r="B913" s="3">
        <v>43</v>
      </c>
      <c r="C913" s="3" t="s">
        <v>35</v>
      </c>
      <c r="D913" s="3" t="s">
        <v>42</v>
      </c>
      <c r="E913" s="3" t="s">
        <v>76</v>
      </c>
      <c r="F913" s="4">
        <v>45097</v>
      </c>
      <c r="G913" s="3" t="s">
        <v>2778</v>
      </c>
      <c r="H913" s="3" t="s">
        <v>2779</v>
      </c>
      <c r="I913" s="3" t="s">
        <v>21</v>
      </c>
      <c r="J913" s="5">
        <v>37095.593175701099</v>
      </c>
      <c r="K913" s="3">
        <v>473</v>
      </c>
      <c r="L913" s="3" t="s">
        <v>22</v>
      </c>
      <c r="M913" s="4">
        <v>45101</v>
      </c>
      <c r="N913" s="3" t="s">
        <v>52</v>
      </c>
      <c r="O913" s="3" t="s">
        <v>24</v>
      </c>
      <c r="P913" s="3" t="str">
        <f>IF(Table1[[#This Row],[Billing Amount]]&lt;5000,"Low",IF(Table1[[#This Row],[Billing Amount]]&lt;=15000,"Medium","High"))</f>
        <v>High</v>
      </c>
      <c r="Q913" s="3" t="str">
        <f>IF(Table1[[#This Row],[Discharge Date]]="Yes","Discharged","Under Treatment")</f>
        <v>Under Treatment</v>
      </c>
      <c r="R913" s="3" t="str">
        <f>IF(Table1[[#This Row],[Test Results]]&gt;120,"High Risk","Normal")</f>
        <v>High Risk</v>
      </c>
      <c r="S913" s="3" t="str">
        <f>IF(Table1[[#This Row],[Age]]&lt;=18,"0-18",IF(Table1[[#This Row],[Age]]&lt;=35,"19-35",IF(Table1[[#This Row],[Age]]&lt;=50,"36-50",IF(Table1[[#This Row],[Age]]&lt;=65,"51-65","65+"))))</f>
        <v>36-50</v>
      </c>
    </row>
    <row r="914" spans="1:19" x14ac:dyDescent="0.3">
      <c r="A914" s="3" t="s">
        <v>2780</v>
      </c>
      <c r="B914" s="3">
        <v>84</v>
      </c>
      <c r="C914" s="3" t="s">
        <v>35</v>
      </c>
      <c r="D914" s="3" t="s">
        <v>103</v>
      </c>
      <c r="E914" s="3" t="s">
        <v>27</v>
      </c>
      <c r="F914" s="4">
        <v>43839</v>
      </c>
      <c r="G914" s="3" t="s">
        <v>2781</v>
      </c>
      <c r="H914" s="3" t="s">
        <v>2782</v>
      </c>
      <c r="I914" s="3" t="s">
        <v>57</v>
      </c>
      <c r="J914" s="5">
        <v>20737.636299710099</v>
      </c>
      <c r="K914" s="3">
        <v>217</v>
      </c>
      <c r="L914" s="3" t="s">
        <v>31</v>
      </c>
      <c r="M914" s="4">
        <v>43867</v>
      </c>
      <c r="N914" s="3" t="s">
        <v>23</v>
      </c>
      <c r="O914" s="3" t="s">
        <v>33</v>
      </c>
      <c r="P914" s="3" t="str">
        <f>IF(Table1[[#This Row],[Billing Amount]]&lt;5000,"Low",IF(Table1[[#This Row],[Billing Amount]]&lt;=15000,"Medium","High"))</f>
        <v>High</v>
      </c>
      <c r="Q914" s="3" t="str">
        <f>IF(Table1[[#This Row],[Discharge Date]]="Yes","Discharged","Under Treatment")</f>
        <v>Under Treatment</v>
      </c>
      <c r="R914" s="3" t="str">
        <f>IF(Table1[[#This Row],[Test Results]]&gt;120,"High Risk","Normal")</f>
        <v>High Risk</v>
      </c>
      <c r="S914" s="3" t="str">
        <f>IF(Table1[[#This Row],[Age]]&lt;=18,"0-18",IF(Table1[[#This Row],[Age]]&lt;=35,"19-35",IF(Table1[[#This Row],[Age]]&lt;=50,"36-50",IF(Table1[[#This Row],[Age]]&lt;=65,"51-65","65+"))))</f>
        <v>65+</v>
      </c>
    </row>
    <row r="915" spans="1:19" x14ac:dyDescent="0.3">
      <c r="A915" s="3" t="s">
        <v>2783</v>
      </c>
      <c r="B915" s="3">
        <v>21</v>
      </c>
      <c r="C915" s="3" t="s">
        <v>35</v>
      </c>
      <c r="D915" s="3" t="s">
        <v>59</v>
      </c>
      <c r="E915" s="3" t="s">
        <v>93</v>
      </c>
      <c r="F915" s="4">
        <v>45320</v>
      </c>
      <c r="G915" s="3" t="s">
        <v>2784</v>
      </c>
      <c r="H915" s="3" t="s">
        <v>2785</v>
      </c>
      <c r="I915" s="3" t="s">
        <v>57</v>
      </c>
      <c r="J915" s="5">
        <v>24809.717443047299</v>
      </c>
      <c r="K915" s="3">
        <v>379</v>
      </c>
      <c r="L915" s="3" t="s">
        <v>46</v>
      </c>
      <c r="M915" s="4">
        <v>45342</v>
      </c>
      <c r="N915" s="3" t="s">
        <v>52</v>
      </c>
      <c r="O915" s="3" t="s">
        <v>47</v>
      </c>
      <c r="P915" s="3" t="str">
        <f>IF(Table1[[#This Row],[Billing Amount]]&lt;5000,"Low",IF(Table1[[#This Row],[Billing Amount]]&lt;=15000,"Medium","High"))</f>
        <v>High</v>
      </c>
      <c r="Q915" s="3" t="str">
        <f>IF(Table1[[#This Row],[Discharge Date]]="Yes","Discharged","Under Treatment")</f>
        <v>Under Treatment</v>
      </c>
      <c r="R915" s="3" t="str">
        <f>IF(Table1[[#This Row],[Test Results]]&gt;120,"High Risk","Normal")</f>
        <v>High Risk</v>
      </c>
      <c r="S915" s="3" t="str">
        <f>IF(Table1[[#This Row],[Age]]&lt;=18,"0-18",IF(Table1[[#This Row],[Age]]&lt;=35,"19-35",IF(Table1[[#This Row],[Age]]&lt;=50,"36-50",IF(Table1[[#This Row],[Age]]&lt;=65,"51-65","65+"))))</f>
        <v>19-35</v>
      </c>
    </row>
    <row r="916" spans="1:19" x14ac:dyDescent="0.3">
      <c r="A916" s="3" t="s">
        <v>2786</v>
      </c>
      <c r="B916" s="3">
        <v>49</v>
      </c>
      <c r="C916" s="3" t="s">
        <v>16</v>
      </c>
      <c r="D916" s="3" t="s">
        <v>26</v>
      </c>
      <c r="E916" s="3" t="s">
        <v>18</v>
      </c>
      <c r="F916" s="4">
        <v>44483</v>
      </c>
      <c r="G916" s="3" t="s">
        <v>2787</v>
      </c>
      <c r="H916" s="3" t="s">
        <v>2788</v>
      </c>
      <c r="I916" s="3" t="s">
        <v>65</v>
      </c>
      <c r="J916" s="5">
        <v>31511.119645728799</v>
      </c>
      <c r="K916" s="3">
        <v>229</v>
      </c>
      <c r="L916" s="3" t="s">
        <v>46</v>
      </c>
      <c r="M916" s="4">
        <v>44501</v>
      </c>
      <c r="N916" s="3" t="s">
        <v>32</v>
      </c>
      <c r="O916" s="3" t="s">
        <v>33</v>
      </c>
      <c r="P916" s="3" t="str">
        <f>IF(Table1[[#This Row],[Billing Amount]]&lt;5000,"Low",IF(Table1[[#This Row],[Billing Amount]]&lt;=15000,"Medium","High"))</f>
        <v>High</v>
      </c>
      <c r="Q916" s="3" t="str">
        <f>IF(Table1[[#This Row],[Discharge Date]]="Yes","Discharged","Under Treatment")</f>
        <v>Under Treatment</v>
      </c>
      <c r="R916" s="3" t="str">
        <f>IF(Table1[[#This Row],[Test Results]]&gt;120,"High Risk","Normal")</f>
        <v>High Risk</v>
      </c>
      <c r="S916" s="3" t="str">
        <f>IF(Table1[[#This Row],[Age]]&lt;=18,"0-18",IF(Table1[[#This Row],[Age]]&lt;=35,"19-35",IF(Table1[[#This Row],[Age]]&lt;=50,"36-50",IF(Table1[[#This Row],[Age]]&lt;=65,"51-65","65+"))))</f>
        <v>36-50</v>
      </c>
    </row>
    <row r="917" spans="1:19" x14ac:dyDescent="0.3">
      <c r="A917" s="3" t="s">
        <v>2789</v>
      </c>
      <c r="B917" s="3">
        <v>31</v>
      </c>
      <c r="C917" s="3" t="s">
        <v>16</v>
      </c>
      <c r="D917" s="3" t="s">
        <v>103</v>
      </c>
      <c r="E917" s="3" t="s">
        <v>43</v>
      </c>
      <c r="F917" s="4">
        <v>44432</v>
      </c>
      <c r="G917" s="3" t="s">
        <v>2790</v>
      </c>
      <c r="H917" s="3" t="s">
        <v>2791</v>
      </c>
      <c r="I917" s="3" t="s">
        <v>57</v>
      </c>
      <c r="J917" s="5">
        <v>21915.778776238101</v>
      </c>
      <c r="K917" s="3">
        <v>234</v>
      </c>
      <c r="L917" s="3" t="s">
        <v>22</v>
      </c>
      <c r="M917" s="4">
        <v>44433</v>
      </c>
      <c r="N917" s="3" t="s">
        <v>40</v>
      </c>
      <c r="O917" s="3" t="s">
        <v>47</v>
      </c>
      <c r="P917" s="3" t="str">
        <f>IF(Table1[[#This Row],[Billing Amount]]&lt;5000,"Low",IF(Table1[[#This Row],[Billing Amount]]&lt;=15000,"Medium","High"))</f>
        <v>High</v>
      </c>
      <c r="Q917" s="3" t="str">
        <f>IF(Table1[[#This Row],[Discharge Date]]="Yes","Discharged","Under Treatment")</f>
        <v>Under Treatment</v>
      </c>
      <c r="R917" s="3" t="str">
        <f>IF(Table1[[#This Row],[Test Results]]&gt;120,"High Risk","Normal")</f>
        <v>High Risk</v>
      </c>
      <c r="S917" s="3" t="str">
        <f>IF(Table1[[#This Row],[Age]]&lt;=18,"0-18",IF(Table1[[#This Row],[Age]]&lt;=35,"19-35",IF(Table1[[#This Row],[Age]]&lt;=50,"36-50",IF(Table1[[#This Row],[Age]]&lt;=65,"51-65","65+"))))</f>
        <v>19-35</v>
      </c>
    </row>
    <row r="918" spans="1:19" x14ac:dyDescent="0.3">
      <c r="A918" s="3" t="s">
        <v>2792</v>
      </c>
      <c r="B918" s="3">
        <v>55</v>
      </c>
      <c r="C918" s="3" t="s">
        <v>16</v>
      </c>
      <c r="D918" s="3" t="s">
        <v>26</v>
      </c>
      <c r="E918" s="3" t="s">
        <v>76</v>
      </c>
      <c r="F918" s="4">
        <v>44838</v>
      </c>
      <c r="G918" s="3" t="s">
        <v>2793</v>
      </c>
      <c r="H918" s="3" t="s">
        <v>2794</v>
      </c>
      <c r="I918" s="3" t="s">
        <v>30</v>
      </c>
      <c r="J918" s="5">
        <v>31632.7389811291</v>
      </c>
      <c r="K918" s="3">
        <v>252</v>
      </c>
      <c r="L918" s="3" t="s">
        <v>22</v>
      </c>
      <c r="M918" s="4">
        <v>44845</v>
      </c>
      <c r="N918" s="3" t="s">
        <v>32</v>
      </c>
      <c r="O918" s="3" t="s">
        <v>24</v>
      </c>
      <c r="P918" s="3" t="str">
        <f>IF(Table1[[#This Row],[Billing Amount]]&lt;5000,"Low",IF(Table1[[#This Row],[Billing Amount]]&lt;=15000,"Medium","High"))</f>
        <v>High</v>
      </c>
      <c r="Q918" s="3" t="str">
        <f>IF(Table1[[#This Row],[Discharge Date]]="Yes","Discharged","Under Treatment")</f>
        <v>Under Treatment</v>
      </c>
      <c r="R918" s="3" t="str">
        <f>IF(Table1[[#This Row],[Test Results]]&gt;120,"High Risk","Normal")</f>
        <v>High Risk</v>
      </c>
      <c r="S918" s="3" t="str">
        <f>IF(Table1[[#This Row],[Age]]&lt;=18,"0-18",IF(Table1[[#This Row],[Age]]&lt;=35,"19-35",IF(Table1[[#This Row],[Age]]&lt;=50,"36-50",IF(Table1[[#This Row],[Age]]&lt;=65,"51-65","65+"))))</f>
        <v>51-65</v>
      </c>
    </row>
    <row r="919" spans="1:19" x14ac:dyDescent="0.3">
      <c r="A919" s="3" t="s">
        <v>2795</v>
      </c>
      <c r="B919" s="3">
        <v>30</v>
      </c>
      <c r="C919" s="3" t="s">
        <v>35</v>
      </c>
      <c r="D919" s="3" t="s">
        <v>26</v>
      </c>
      <c r="E919" s="3" t="s">
        <v>54</v>
      </c>
      <c r="F919" s="4">
        <v>43640</v>
      </c>
      <c r="G919" s="3" t="s">
        <v>2796</v>
      </c>
      <c r="H919" s="3" t="s">
        <v>2797</v>
      </c>
      <c r="I919" s="3" t="s">
        <v>39</v>
      </c>
      <c r="J919" s="5">
        <v>29806.7182206957</v>
      </c>
      <c r="K919" s="3">
        <v>224</v>
      </c>
      <c r="L919" s="3" t="s">
        <v>46</v>
      </c>
      <c r="M919" s="4">
        <v>43641</v>
      </c>
      <c r="N919" s="3" t="s">
        <v>23</v>
      </c>
      <c r="O919" s="3" t="s">
        <v>24</v>
      </c>
      <c r="P919" s="3" t="str">
        <f>IF(Table1[[#This Row],[Billing Amount]]&lt;5000,"Low",IF(Table1[[#This Row],[Billing Amount]]&lt;=15000,"Medium","High"))</f>
        <v>High</v>
      </c>
      <c r="Q919" s="3" t="str">
        <f>IF(Table1[[#This Row],[Discharge Date]]="Yes","Discharged","Under Treatment")</f>
        <v>Under Treatment</v>
      </c>
      <c r="R919" s="3" t="str">
        <f>IF(Table1[[#This Row],[Test Results]]&gt;120,"High Risk","Normal")</f>
        <v>High Risk</v>
      </c>
      <c r="S919" s="3" t="str">
        <f>IF(Table1[[#This Row],[Age]]&lt;=18,"0-18",IF(Table1[[#This Row],[Age]]&lt;=35,"19-35",IF(Table1[[#This Row],[Age]]&lt;=50,"36-50",IF(Table1[[#This Row],[Age]]&lt;=65,"51-65","65+"))))</f>
        <v>19-35</v>
      </c>
    </row>
    <row r="920" spans="1:19" x14ac:dyDescent="0.3">
      <c r="A920" s="3" t="s">
        <v>2798</v>
      </c>
      <c r="B920" s="3">
        <v>75</v>
      </c>
      <c r="C920" s="3" t="s">
        <v>35</v>
      </c>
      <c r="D920" s="3" t="s">
        <v>103</v>
      </c>
      <c r="E920" s="3" t="s">
        <v>18</v>
      </c>
      <c r="F920" s="4">
        <v>45046</v>
      </c>
      <c r="G920" s="3" t="s">
        <v>2799</v>
      </c>
      <c r="H920" s="3" t="s">
        <v>1680</v>
      </c>
      <c r="I920" s="3" t="s">
        <v>39</v>
      </c>
      <c r="J920" s="5">
        <v>1493.0776791333899</v>
      </c>
      <c r="K920" s="3">
        <v>319</v>
      </c>
      <c r="L920" s="3" t="s">
        <v>31</v>
      </c>
      <c r="M920" s="4">
        <v>45076</v>
      </c>
      <c r="N920" s="3" t="s">
        <v>32</v>
      </c>
      <c r="O920" s="3" t="s">
        <v>24</v>
      </c>
      <c r="P920" s="3" t="str">
        <f>IF(Table1[[#This Row],[Billing Amount]]&lt;5000,"Low",IF(Table1[[#This Row],[Billing Amount]]&lt;=15000,"Medium","High"))</f>
        <v>Low</v>
      </c>
      <c r="Q920" s="3" t="str">
        <f>IF(Table1[[#This Row],[Discharge Date]]="Yes","Discharged","Under Treatment")</f>
        <v>Under Treatment</v>
      </c>
      <c r="R920" s="3" t="str">
        <f>IF(Table1[[#This Row],[Test Results]]&gt;120,"High Risk","Normal")</f>
        <v>High Risk</v>
      </c>
      <c r="S920" s="3" t="str">
        <f>IF(Table1[[#This Row],[Age]]&lt;=18,"0-18",IF(Table1[[#This Row],[Age]]&lt;=35,"19-35",IF(Table1[[#This Row],[Age]]&lt;=50,"36-50",IF(Table1[[#This Row],[Age]]&lt;=65,"51-65","65+"))))</f>
        <v>65+</v>
      </c>
    </row>
    <row r="921" spans="1:19" x14ac:dyDescent="0.3">
      <c r="A921" s="3" t="s">
        <v>2800</v>
      </c>
      <c r="B921" s="3">
        <v>82</v>
      </c>
      <c r="C921" s="3" t="s">
        <v>16</v>
      </c>
      <c r="D921" s="3" t="s">
        <v>26</v>
      </c>
      <c r="E921" s="3" t="s">
        <v>93</v>
      </c>
      <c r="F921" s="4">
        <v>45391</v>
      </c>
      <c r="G921" s="3" t="s">
        <v>2801</v>
      </c>
      <c r="H921" s="3" t="s">
        <v>2802</v>
      </c>
      <c r="I921" s="3" t="s">
        <v>39</v>
      </c>
      <c r="J921" s="5">
        <v>32968.233193676402</v>
      </c>
      <c r="K921" s="3">
        <v>308</v>
      </c>
      <c r="L921" s="3" t="s">
        <v>31</v>
      </c>
      <c r="M921" s="4">
        <v>45413</v>
      </c>
      <c r="N921" s="3" t="s">
        <v>40</v>
      </c>
      <c r="O921" s="3" t="s">
        <v>24</v>
      </c>
      <c r="P921" s="3" t="str">
        <f>IF(Table1[[#This Row],[Billing Amount]]&lt;5000,"Low",IF(Table1[[#This Row],[Billing Amount]]&lt;=15000,"Medium","High"))</f>
        <v>High</v>
      </c>
      <c r="Q921" s="3" t="str">
        <f>IF(Table1[[#This Row],[Discharge Date]]="Yes","Discharged","Under Treatment")</f>
        <v>Under Treatment</v>
      </c>
      <c r="R921" s="3" t="str">
        <f>IF(Table1[[#This Row],[Test Results]]&gt;120,"High Risk","Normal")</f>
        <v>High Risk</v>
      </c>
      <c r="S921" s="3" t="str">
        <f>IF(Table1[[#This Row],[Age]]&lt;=18,"0-18",IF(Table1[[#This Row],[Age]]&lt;=35,"19-35",IF(Table1[[#This Row],[Age]]&lt;=50,"36-50",IF(Table1[[#This Row],[Age]]&lt;=65,"51-65","65+"))))</f>
        <v>65+</v>
      </c>
    </row>
    <row r="922" spans="1:19" x14ac:dyDescent="0.3">
      <c r="A922" s="3" t="s">
        <v>2803</v>
      </c>
      <c r="B922" s="3">
        <v>69</v>
      </c>
      <c r="C922" s="3" t="s">
        <v>35</v>
      </c>
      <c r="D922" s="3" t="s">
        <v>17</v>
      </c>
      <c r="E922" s="3" t="s">
        <v>54</v>
      </c>
      <c r="F922" s="4">
        <v>44932</v>
      </c>
      <c r="G922" s="3" t="s">
        <v>2804</v>
      </c>
      <c r="H922" s="3" t="s">
        <v>2805</v>
      </c>
      <c r="I922" s="3" t="s">
        <v>39</v>
      </c>
      <c r="J922" s="5">
        <v>14108.6623976064</v>
      </c>
      <c r="K922" s="3">
        <v>279</v>
      </c>
      <c r="L922" s="3" t="s">
        <v>46</v>
      </c>
      <c r="M922" s="4">
        <v>44933</v>
      </c>
      <c r="N922" s="3" t="s">
        <v>40</v>
      </c>
      <c r="O922" s="3" t="s">
        <v>33</v>
      </c>
      <c r="P922" s="3" t="str">
        <f>IF(Table1[[#This Row],[Billing Amount]]&lt;5000,"Low",IF(Table1[[#This Row],[Billing Amount]]&lt;=15000,"Medium","High"))</f>
        <v>Medium</v>
      </c>
      <c r="Q922" s="3" t="str">
        <f>IF(Table1[[#This Row],[Discharge Date]]="Yes","Discharged","Under Treatment")</f>
        <v>Under Treatment</v>
      </c>
      <c r="R922" s="3" t="str">
        <f>IF(Table1[[#This Row],[Test Results]]&gt;120,"High Risk","Normal")</f>
        <v>High Risk</v>
      </c>
      <c r="S922" s="3" t="str">
        <f>IF(Table1[[#This Row],[Age]]&lt;=18,"0-18",IF(Table1[[#This Row],[Age]]&lt;=35,"19-35",IF(Table1[[#This Row],[Age]]&lt;=50,"36-50",IF(Table1[[#This Row],[Age]]&lt;=65,"51-65","65+"))))</f>
        <v>65+</v>
      </c>
    </row>
    <row r="923" spans="1:19" x14ac:dyDescent="0.3">
      <c r="A923" s="3" t="s">
        <v>2806</v>
      </c>
      <c r="B923" s="3">
        <v>69</v>
      </c>
      <c r="C923" s="3" t="s">
        <v>35</v>
      </c>
      <c r="D923" s="3" t="s">
        <v>36</v>
      </c>
      <c r="E923" s="3" t="s">
        <v>93</v>
      </c>
      <c r="F923" s="4">
        <v>44617</v>
      </c>
      <c r="G923" s="3" t="s">
        <v>2807</v>
      </c>
      <c r="H923" s="3" t="s">
        <v>2808</v>
      </c>
      <c r="I923" s="3" t="s">
        <v>21</v>
      </c>
      <c r="J923" s="5">
        <v>44253.7198548823</v>
      </c>
      <c r="K923" s="3">
        <v>498</v>
      </c>
      <c r="L923" s="3" t="s">
        <v>22</v>
      </c>
      <c r="M923" s="4">
        <v>44618</v>
      </c>
      <c r="N923" s="3" t="s">
        <v>23</v>
      </c>
      <c r="O923" s="3" t="s">
        <v>24</v>
      </c>
      <c r="P923" s="3" t="str">
        <f>IF(Table1[[#This Row],[Billing Amount]]&lt;5000,"Low",IF(Table1[[#This Row],[Billing Amount]]&lt;=15000,"Medium","High"))</f>
        <v>High</v>
      </c>
      <c r="Q923" s="3" t="str">
        <f>IF(Table1[[#This Row],[Discharge Date]]="Yes","Discharged","Under Treatment")</f>
        <v>Under Treatment</v>
      </c>
      <c r="R923" s="3" t="str">
        <f>IF(Table1[[#This Row],[Test Results]]&gt;120,"High Risk","Normal")</f>
        <v>High Risk</v>
      </c>
      <c r="S923" s="3" t="str">
        <f>IF(Table1[[#This Row],[Age]]&lt;=18,"0-18",IF(Table1[[#This Row],[Age]]&lt;=35,"19-35",IF(Table1[[#This Row],[Age]]&lt;=50,"36-50",IF(Table1[[#This Row],[Age]]&lt;=65,"51-65","65+"))))</f>
        <v>65+</v>
      </c>
    </row>
    <row r="924" spans="1:19" x14ac:dyDescent="0.3">
      <c r="A924" s="3" t="s">
        <v>2809</v>
      </c>
      <c r="B924" s="3">
        <v>44</v>
      </c>
      <c r="C924" s="3" t="s">
        <v>16</v>
      </c>
      <c r="D924" s="3" t="s">
        <v>122</v>
      </c>
      <c r="E924" s="3" t="s">
        <v>76</v>
      </c>
      <c r="F924" s="4">
        <v>43630</v>
      </c>
      <c r="G924" s="3" t="s">
        <v>2810</v>
      </c>
      <c r="H924" s="3" t="s">
        <v>2811</v>
      </c>
      <c r="I924" s="3" t="s">
        <v>65</v>
      </c>
      <c r="J924" s="5">
        <v>24947.587937616499</v>
      </c>
      <c r="K924" s="3">
        <v>278</v>
      </c>
      <c r="L924" s="3" t="s">
        <v>46</v>
      </c>
      <c r="M924" s="4">
        <v>43653</v>
      </c>
      <c r="N924" s="3" t="s">
        <v>40</v>
      </c>
      <c r="O924" s="3" t="s">
        <v>47</v>
      </c>
      <c r="P924" s="3" t="str">
        <f>IF(Table1[[#This Row],[Billing Amount]]&lt;5000,"Low",IF(Table1[[#This Row],[Billing Amount]]&lt;=15000,"Medium","High"))</f>
        <v>High</v>
      </c>
      <c r="Q924" s="3" t="str">
        <f>IF(Table1[[#This Row],[Discharge Date]]="Yes","Discharged","Under Treatment")</f>
        <v>Under Treatment</v>
      </c>
      <c r="R924" s="3" t="str">
        <f>IF(Table1[[#This Row],[Test Results]]&gt;120,"High Risk","Normal")</f>
        <v>High Risk</v>
      </c>
      <c r="S924" s="3" t="str">
        <f>IF(Table1[[#This Row],[Age]]&lt;=18,"0-18",IF(Table1[[#This Row],[Age]]&lt;=35,"19-35",IF(Table1[[#This Row],[Age]]&lt;=50,"36-50",IF(Table1[[#This Row],[Age]]&lt;=65,"51-65","65+"))))</f>
        <v>36-50</v>
      </c>
    </row>
    <row r="925" spans="1:19" x14ac:dyDescent="0.3">
      <c r="A925" s="3" t="s">
        <v>2812</v>
      </c>
      <c r="B925" s="3">
        <v>23</v>
      </c>
      <c r="C925" s="3" t="s">
        <v>35</v>
      </c>
      <c r="D925" s="3" t="s">
        <v>42</v>
      </c>
      <c r="E925" s="3" t="s">
        <v>43</v>
      </c>
      <c r="F925" s="4">
        <v>45237</v>
      </c>
      <c r="G925" s="3" t="s">
        <v>2813</v>
      </c>
      <c r="H925" s="3" t="s">
        <v>2814</v>
      </c>
      <c r="I925" s="3" t="s">
        <v>30</v>
      </c>
      <c r="J925" s="5">
        <v>11209.4158534777</v>
      </c>
      <c r="K925" s="3">
        <v>452</v>
      </c>
      <c r="L925" s="3" t="s">
        <v>31</v>
      </c>
      <c r="M925" s="4">
        <v>45265</v>
      </c>
      <c r="N925" s="3" t="s">
        <v>79</v>
      </c>
      <c r="O925" s="3" t="s">
        <v>47</v>
      </c>
      <c r="P925" s="3" t="str">
        <f>IF(Table1[[#This Row],[Billing Amount]]&lt;5000,"Low",IF(Table1[[#This Row],[Billing Amount]]&lt;=15000,"Medium","High"))</f>
        <v>Medium</v>
      </c>
      <c r="Q925" s="3" t="str">
        <f>IF(Table1[[#This Row],[Discharge Date]]="Yes","Discharged","Under Treatment")</f>
        <v>Under Treatment</v>
      </c>
      <c r="R925" s="3" t="str">
        <f>IF(Table1[[#This Row],[Test Results]]&gt;120,"High Risk","Normal")</f>
        <v>High Risk</v>
      </c>
      <c r="S925" s="3" t="str">
        <f>IF(Table1[[#This Row],[Age]]&lt;=18,"0-18",IF(Table1[[#This Row],[Age]]&lt;=35,"19-35",IF(Table1[[#This Row],[Age]]&lt;=50,"36-50",IF(Table1[[#This Row],[Age]]&lt;=65,"51-65","65+"))))</f>
        <v>19-35</v>
      </c>
    </row>
    <row r="926" spans="1:19" x14ac:dyDescent="0.3">
      <c r="A926" s="3" t="s">
        <v>2815</v>
      </c>
      <c r="B926" s="3">
        <v>61</v>
      </c>
      <c r="C926" s="3" t="s">
        <v>35</v>
      </c>
      <c r="D926" s="3" t="s">
        <v>59</v>
      </c>
      <c r="E926" s="3" t="s">
        <v>27</v>
      </c>
      <c r="F926" s="4">
        <v>44127</v>
      </c>
      <c r="G926" s="3" t="s">
        <v>2816</v>
      </c>
      <c r="H926" s="3" t="s">
        <v>2817</v>
      </c>
      <c r="I926" s="3" t="s">
        <v>39</v>
      </c>
      <c r="J926" s="5">
        <v>16155.8801292314</v>
      </c>
      <c r="K926" s="3">
        <v>183</v>
      </c>
      <c r="L926" s="3" t="s">
        <v>31</v>
      </c>
      <c r="M926" s="4">
        <v>44150</v>
      </c>
      <c r="N926" s="3" t="s">
        <v>32</v>
      </c>
      <c r="O926" s="3" t="s">
        <v>33</v>
      </c>
      <c r="P926" s="3" t="str">
        <f>IF(Table1[[#This Row],[Billing Amount]]&lt;5000,"Low",IF(Table1[[#This Row],[Billing Amount]]&lt;=15000,"Medium","High"))</f>
        <v>High</v>
      </c>
      <c r="Q926" s="3" t="str">
        <f>IF(Table1[[#This Row],[Discharge Date]]="Yes","Discharged","Under Treatment")</f>
        <v>Under Treatment</v>
      </c>
      <c r="R926" s="3" t="str">
        <f>IF(Table1[[#This Row],[Test Results]]&gt;120,"High Risk","Normal")</f>
        <v>High Risk</v>
      </c>
      <c r="S926" s="3" t="str">
        <f>IF(Table1[[#This Row],[Age]]&lt;=18,"0-18",IF(Table1[[#This Row],[Age]]&lt;=35,"19-35",IF(Table1[[#This Row],[Age]]&lt;=50,"36-50",IF(Table1[[#This Row],[Age]]&lt;=65,"51-65","65+"))))</f>
        <v>51-65</v>
      </c>
    </row>
    <row r="927" spans="1:19" x14ac:dyDescent="0.3">
      <c r="A927" s="3" t="s">
        <v>2818</v>
      </c>
      <c r="B927" s="3">
        <v>40</v>
      </c>
      <c r="C927" s="3" t="s">
        <v>16</v>
      </c>
      <c r="D927" s="3" t="s">
        <v>59</v>
      </c>
      <c r="E927" s="3" t="s">
        <v>27</v>
      </c>
      <c r="F927" s="4">
        <v>43999</v>
      </c>
      <c r="G927" s="3" t="s">
        <v>2819</v>
      </c>
      <c r="H927" s="3" t="s">
        <v>2820</v>
      </c>
      <c r="I927" s="3" t="s">
        <v>39</v>
      </c>
      <c r="J927" s="5">
        <v>27009.2124092124</v>
      </c>
      <c r="K927" s="3">
        <v>287</v>
      </c>
      <c r="L927" s="3" t="s">
        <v>31</v>
      </c>
      <c r="M927" s="4">
        <v>44017</v>
      </c>
      <c r="N927" s="3" t="s">
        <v>23</v>
      </c>
      <c r="O927" s="3" t="s">
        <v>24</v>
      </c>
      <c r="P927" s="3" t="str">
        <f>IF(Table1[[#This Row],[Billing Amount]]&lt;5000,"Low",IF(Table1[[#This Row],[Billing Amount]]&lt;=15000,"Medium","High"))</f>
        <v>High</v>
      </c>
      <c r="Q927" s="3" t="str">
        <f>IF(Table1[[#This Row],[Discharge Date]]="Yes","Discharged","Under Treatment")</f>
        <v>Under Treatment</v>
      </c>
      <c r="R927" s="3" t="str">
        <f>IF(Table1[[#This Row],[Test Results]]&gt;120,"High Risk","Normal")</f>
        <v>High Risk</v>
      </c>
      <c r="S927" s="3" t="str">
        <f>IF(Table1[[#This Row],[Age]]&lt;=18,"0-18",IF(Table1[[#This Row],[Age]]&lt;=35,"19-35",IF(Table1[[#This Row],[Age]]&lt;=50,"36-50",IF(Table1[[#This Row],[Age]]&lt;=65,"51-65","65+"))))</f>
        <v>36-50</v>
      </c>
    </row>
    <row r="928" spans="1:19" x14ac:dyDescent="0.3">
      <c r="A928" s="3" t="s">
        <v>2821</v>
      </c>
      <c r="B928" s="3">
        <v>39</v>
      </c>
      <c r="C928" s="3" t="s">
        <v>35</v>
      </c>
      <c r="D928" s="3" t="s">
        <v>49</v>
      </c>
      <c r="E928" s="3" t="s">
        <v>43</v>
      </c>
      <c r="F928" s="4">
        <v>44983</v>
      </c>
      <c r="G928" s="3" t="s">
        <v>2822</v>
      </c>
      <c r="H928" s="3" t="s">
        <v>2823</v>
      </c>
      <c r="I928" s="3" t="s">
        <v>30</v>
      </c>
      <c r="J928" s="5">
        <v>24977.267277168801</v>
      </c>
      <c r="K928" s="3">
        <v>461</v>
      </c>
      <c r="L928" s="3" t="s">
        <v>22</v>
      </c>
      <c r="M928" s="4">
        <v>45013</v>
      </c>
      <c r="N928" s="3" t="s">
        <v>79</v>
      </c>
      <c r="O928" s="3" t="s">
        <v>33</v>
      </c>
      <c r="P928" s="3" t="str">
        <f>IF(Table1[[#This Row],[Billing Amount]]&lt;5000,"Low",IF(Table1[[#This Row],[Billing Amount]]&lt;=15000,"Medium","High"))</f>
        <v>High</v>
      </c>
      <c r="Q928" s="3" t="str">
        <f>IF(Table1[[#This Row],[Discharge Date]]="Yes","Discharged","Under Treatment")</f>
        <v>Under Treatment</v>
      </c>
      <c r="R928" s="3" t="str">
        <f>IF(Table1[[#This Row],[Test Results]]&gt;120,"High Risk","Normal")</f>
        <v>High Risk</v>
      </c>
      <c r="S928" s="3" t="str">
        <f>IF(Table1[[#This Row],[Age]]&lt;=18,"0-18",IF(Table1[[#This Row],[Age]]&lt;=35,"19-35",IF(Table1[[#This Row],[Age]]&lt;=50,"36-50",IF(Table1[[#This Row],[Age]]&lt;=65,"51-65","65+"))))</f>
        <v>36-50</v>
      </c>
    </row>
    <row r="929" spans="1:19" x14ac:dyDescent="0.3">
      <c r="A929" s="3" t="s">
        <v>2824</v>
      </c>
      <c r="B929" s="3">
        <v>76</v>
      </c>
      <c r="C929" s="3" t="s">
        <v>16</v>
      </c>
      <c r="D929" s="3" t="s">
        <v>26</v>
      </c>
      <c r="E929" s="3" t="s">
        <v>93</v>
      </c>
      <c r="F929" s="4">
        <v>44235</v>
      </c>
      <c r="G929" s="3" t="s">
        <v>2825</v>
      </c>
      <c r="H929" s="3" t="s">
        <v>2826</v>
      </c>
      <c r="I929" s="3" t="s">
        <v>65</v>
      </c>
      <c r="J929" s="5">
        <v>12282.2794578104</v>
      </c>
      <c r="K929" s="3">
        <v>215</v>
      </c>
      <c r="L929" s="3" t="s">
        <v>22</v>
      </c>
      <c r="M929" s="4">
        <v>44239</v>
      </c>
      <c r="N929" s="3" t="s">
        <v>40</v>
      </c>
      <c r="O929" s="3" t="s">
        <v>47</v>
      </c>
      <c r="P929" s="3" t="str">
        <f>IF(Table1[[#This Row],[Billing Amount]]&lt;5000,"Low",IF(Table1[[#This Row],[Billing Amount]]&lt;=15000,"Medium","High"))</f>
        <v>Medium</v>
      </c>
      <c r="Q929" s="3" t="str">
        <f>IF(Table1[[#This Row],[Discharge Date]]="Yes","Discharged","Under Treatment")</f>
        <v>Under Treatment</v>
      </c>
      <c r="R929" s="3" t="str">
        <f>IF(Table1[[#This Row],[Test Results]]&gt;120,"High Risk","Normal")</f>
        <v>High Risk</v>
      </c>
      <c r="S929" s="3" t="str">
        <f>IF(Table1[[#This Row],[Age]]&lt;=18,"0-18",IF(Table1[[#This Row],[Age]]&lt;=35,"19-35",IF(Table1[[#This Row],[Age]]&lt;=50,"36-50",IF(Table1[[#This Row],[Age]]&lt;=65,"51-65","65+"))))</f>
        <v>65+</v>
      </c>
    </row>
    <row r="930" spans="1:19" x14ac:dyDescent="0.3">
      <c r="A930" s="3" t="s">
        <v>2827</v>
      </c>
      <c r="B930" s="3">
        <v>48</v>
      </c>
      <c r="C930" s="3" t="s">
        <v>16</v>
      </c>
      <c r="D930" s="3" t="s">
        <v>26</v>
      </c>
      <c r="E930" s="3" t="s">
        <v>54</v>
      </c>
      <c r="F930" s="4">
        <v>45079</v>
      </c>
      <c r="G930" s="3" t="s">
        <v>2828</v>
      </c>
      <c r="H930" s="3" t="s">
        <v>2829</v>
      </c>
      <c r="I930" s="3" t="s">
        <v>30</v>
      </c>
      <c r="J930" s="5">
        <v>50838.482955635904</v>
      </c>
      <c r="K930" s="3">
        <v>101</v>
      </c>
      <c r="L930" s="3" t="s">
        <v>46</v>
      </c>
      <c r="M930" s="4">
        <v>45104</v>
      </c>
      <c r="N930" s="3" t="s">
        <v>79</v>
      </c>
      <c r="O930" s="3" t="s">
        <v>47</v>
      </c>
      <c r="P930" s="3" t="str">
        <f>IF(Table1[[#This Row],[Billing Amount]]&lt;5000,"Low",IF(Table1[[#This Row],[Billing Amount]]&lt;=15000,"Medium","High"))</f>
        <v>High</v>
      </c>
      <c r="Q930" s="3" t="str">
        <f>IF(Table1[[#This Row],[Discharge Date]]="Yes","Discharged","Under Treatment")</f>
        <v>Under Treatment</v>
      </c>
      <c r="R930" s="3" t="str">
        <f>IF(Table1[[#This Row],[Test Results]]&gt;120,"High Risk","Normal")</f>
        <v>High Risk</v>
      </c>
      <c r="S930" s="3" t="str">
        <f>IF(Table1[[#This Row],[Age]]&lt;=18,"0-18",IF(Table1[[#This Row],[Age]]&lt;=35,"19-35",IF(Table1[[#This Row],[Age]]&lt;=50,"36-50",IF(Table1[[#This Row],[Age]]&lt;=65,"51-65","65+"))))</f>
        <v>36-50</v>
      </c>
    </row>
    <row r="931" spans="1:19" x14ac:dyDescent="0.3">
      <c r="A931" s="3" t="s">
        <v>2830</v>
      </c>
      <c r="B931" s="3">
        <v>76</v>
      </c>
      <c r="C931" s="3" t="s">
        <v>16</v>
      </c>
      <c r="D931" s="3" t="s">
        <v>59</v>
      </c>
      <c r="E931" s="3" t="s">
        <v>76</v>
      </c>
      <c r="F931" s="4">
        <v>44958</v>
      </c>
      <c r="G931" s="3" t="s">
        <v>2831</v>
      </c>
      <c r="H931" s="3" t="s">
        <v>2832</v>
      </c>
      <c r="I931" s="3" t="s">
        <v>39</v>
      </c>
      <c r="J931" s="5">
        <v>34020.249593863802</v>
      </c>
      <c r="K931" s="3">
        <v>309</v>
      </c>
      <c r="L931" s="3" t="s">
        <v>22</v>
      </c>
      <c r="M931" s="4">
        <v>44985</v>
      </c>
      <c r="N931" s="3" t="s">
        <v>32</v>
      </c>
      <c r="O931" s="3" t="s">
        <v>47</v>
      </c>
      <c r="P931" s="3" t="str">
        <f>IF(Table1[[#This Row],[Billing Amount]]&lt;5000,"Low",IF(Table1[[#This Row],[Billing Amount]]&lt;=15000,"Medium","High"))</f>
        <v>High</v>
      </c>
      <c r="Q931" s="3" t="str">
        <f>IF(Table1[[#This Row],[Discharge Date]]="Yes","Discharged","Under Treatment")</f>
        <v>Under Treatment</v>
      </c>
      <c r="R931" s="3" t="str">
        <f>IF(Table1[[#This Row],[Test Results]]&gt;120,"High Risk","Normal")</f>
        <v>High Risk</v>
      </c>
      <c r="S931" s="3" t="str">
        <f>IF(Table1[[#This Row],[Age]]&lt;=18,"0-18",IF(Table1[[#This Row],[Age]]&lt;=35,"19-35",IF(Table1[[#This Row],[Age]]&lt;=50,"36-50",IF(Table1[[#This Row],[Age]]&lt;=65,"51-65","65+"))))</f>
        <v>65+</v>
      </c>
    </row>
    <row r="932" spans="1:19" x14ac:dyDescent="0.3">
      <c r="A932" s="3" t="s">
        <v>2833</v>
      </c>
      <c r="B932" s="3">
        <v>65</v>
      </c>
      <c r="C932" s="3" t="s">
        <v>35</v>
      </c>
      <c r="D932" s="3" t="s">
        <v>59</v>
      </c>
      <c r="E932" s="3" t="s">
        <v>76</v>
      </c>
      <c r="F932" s="4">
        <v>44840</v>
      </c>
      <c r="G932" s="3" t="s">
        <v>2834</v>
      </c>
      <c r="H932" s="3" t="s">
        <v>2835</v>
      </c>
      <c r="I932" s="3" t="s">
        <v>57</v>
      </c>
      <c r="J932" s="5">
        <v>43940.136073574198</v>
      </c>
      <c r="K932" s="3">
        <v>275</v>
      </c>
      <c r="L932" s="3" t="s">
        <v>31</v>
      </c>
      <c r="M932" s="4">
        <v>44857</v>
      </c>
      <c r="N932" s="3" t="s">
        <v>52</v>
      </c>
      <c r="O932" s="3" t="s">
        <v>47</v>
      </c>
      <c r="P932" s="3" t="str">
        <f>IF(Table1[[#This Row],[Billing Amount]]&lt;5000,"Low",IF(Table1[[#This Row],[Billing Amount]]&lt;=15000,"Medium","High"))</f>
        <v>High</v>
      </c>
      <c r="Q932" s="3" t="str">
        <f>IF(Table1[[#This Row],[Discharge Date]]="Yes","Discharged","Under Treatment")</f>
        <v>Under Treatment</v>
      </c>
      <c r="R932" s="3" t="str">
        <f>IF(Table1[[#This Row],[Test Results]]&gt;120,"High Risk","Normal")</f>
        <v>High Risk</v>
      </c>
      <c r="S932" s="3" t="str">
        <f>IF(Table1[[#This Row],[Age]]&lt;=18,"0-18",IF(Table1[[#This Row],[Age]]&lt;=35,"19-35",IF(Table1[[#This Row],[Age]]&lt;=50,"36-50",IF(Table1[[#This Row],[Age]]&lt;=65,"51-65","65+"))))</f>
        <v>51-65</v>
      </c>
    </row>
    <row r="933" spans="1:19" x14ac:dyDescent="0.3">
      <c r="A933" s="3" t="s">
        <v>2836</v>
      </c>
      <c r="B933" s="3">
        <v>52</v>
      </c>
      <c r="C933" s="3" t="s">
        <v>16</v>
      </c>
      <c r="D933" s="3" t="s">
        <v>103</v>
      </c>
      <c r="E933" s="3" t="s">
        <v>43</v>
      </c>
      <c r="F933" s="4">
        <v>45412</v>
      </c>
      <c r="G933" s="3" t="s">
        <v>2837</v>
      </c>
      <c r="H933" s="3" t="s">
        <v>2838</v>
      </c>
      <c r="I933" s="3" t="s">
        <v>21</v>
      </c>
      <c r="J933" s="5">
        <v>6789.9179120566796</v>
      </c>
      <c r="K933" s="3">
        <v>301</v>
      </c>
      <c r="L933" s="3" t="s">
        <v>22</v>
      </c>
      <c r="M933" s="4">
        <v>45431</v>
      </c>
      <c r="N933" s="3" t="s">
        <v>23</v>
      </c>
      <c r="O933" s="3" t="s">
        <v>47</v>
      </c>
      <c r="P933" s="3" t="str">
        <f>IF(Table1[[#This Row],[Billing Amount]]&lt;5000,"Low",IF(Table1[[#This Row],[Billing Amount]]&lt;=15000,"Medium","High"))</f>
        <v>Medium</v>
      </c>
      <c r="Q933" s="3" t="str">
        <f>IF(Table1[[#This Row],[Discharge Date]]="Yes","Discharged","Under Treatment")</f>
        <v>Under Treatment</v>
      </c>
      <c r="R933" s="3" t="str">
        <f>IF(Table1[[#This Row],[Test Results]]&gt;120,"High Risk","Normal")</f>
        <v>High Risk</v>
      </c>
      <c r="S933" s="3" t="str">
        <f>IF(Table1[[#This Row],[Age]]&lt;=18,"0-18",IF(Table1[[#This Row],[Age]]&lt;=35,"19-35",IF(Table1[[#This Row],[Age]]&lt;=50,"36-50",IF(Table1[[#This Row],[Age]]&lt;=65,"51-65","65+"))))</f>
        <v>51-65</v>
      </c>
    </row>
    <row r="934" spans="1:19" x14ac:dyDescent="0.3">
      <c r="A934" s="3" t="s">
        <v>2840</v>
      </c>
      <c r="B934" s="3">
        <v>84</v>
      </c>
      <c r="C934" s="3" t="s">
        <v>16</v>
      </c>
      <c r="D934" s="3" t="s">
        <v>26</v>
      </c>
      <c r="E934" s="3" t="s">
        <v>76</v>
      </c>
      <c r="F934" s="4">
        <v>43632</v>
      </c>
      <c r="G934" s="3" t="s">
        <v>2841</v>
      </c>
      <c r="H934" s="3" t="s">
        <v>2842</v>
      </c>
      <c r="I934" s="3" t="s">
        <v>21</v>
      </c>
      <c r="J934" s="5">
        <v>25664.3525379819</v>
      </c>
      <c r="K934" s="3">
        <v>482</v>
      </c>
      <c r="L934" s="3" t="s">
        <v>31</v>
      </c>
      <c r="M934" s="4">
        <v>43646</v>
      </c>
      <c r="N934" s="3" t="s">
        <v>79</v>
      </c>
      <c r="O934" s="3" t="s">
        <v>33</v>
      </c>
      <c r="P934" s="3" t="str">
        <f>IF(Table1[[#This Row],[Billing Amount]]&lt;5000,"Low",IF(Table1[[#This Row],[Billing Amount]]&lt;=15000,"Medium","High"))</f>
        <v>High</v>
      </c>
      <c r="Q934" s="3" t="str">
        <f>IF(Table1[[#This Row],[Discharge Date]]="Yes","Discharged","Under Treatment")</f>
        <v>Under Treatment</v>
      </c>
      <c r="R934" s="3" t="str">
        <f>IF(Table1[[#This Row],[Test Results]]&gt;120,"High Risk","Normal")</f>
        <v>High Risk</v>
      </c>
      <c r="S934" s="3" t="str">
        <f>IF(Table1[[#This Row],[Age]]&lt;=18,"0-18",IF(Table1[[#This Row],[Age]]&lt;=35,"19-35",IF(Table1[[#This Row],[Age]]&lt;=50,"36-50",IF(Table1[[#This Row],[Age]]&lt;=65,"51-65","65+"))))</f>
        <v>65+</v>
      </c>
    </row>
    <row r="935" spans="1:19" x14ac:dyDescent="0.3">
      <c r="A935" s="3" t="s">
        <v>2843</v>
      </c>
      <c r="B935" s="3">
        <v>82</v>
      </c>
      <c r="C935" s="3" t="s">
        <v>16</v>
      </c>
      <c r="D935" s="3" t="s">
        <v>122</v>
      </c>
      <c r="E935" s="3" t="s">
        <v>43</v>
      </c>
      <c r="F935" s="4">
        <v>44055</v>
      </c>
      <c r="G935" s="3" t="s">
        <v>2844</v>
      </c>
      <c r="H935" s="3" t="s">
        <v>2845</v>
      </c>
      <c r="I935" s="3" t="s">
        <v>39</v>
      </c>
      <c r="J935" s="5">
        <v>23437.2960753343</v>
      </c>
      <c r="K935" s="3">
        <v>120</v>
      </c>
      <c r="L935" s="3" t="s">
        <v>31</v>
      </c>
      <c r="M935" s="4">
        <v>44081</v>
      </c>
      <c r="N935" s="3" t="s">
        <v>52</v>
      </c>
      <c r="O935" s="3" t="s">
        <v>33</v>
      </c>
      <c r="P935" s="3" t="str">
        <f>IF(Table1[[#This Row],[Billing Amount]]&lt;5000,"Low",IF(Table1[[#This Row],[Billing Amount]]&lt;=15000,"Medium","High"))</f>
        <v>High</v>
      </c>
      <c r="Q935" s="3" t="str">
        <f>IF(Table1[[#This Row],[Discharge Date]]="Yes","Discharged","Under Treatment")</f>
        <v>Under Treatment</v>
      </c>
      <c r="R935" s="3" t="str">
        <f>IF(Table1[[#This Row],[Test Results]]&gt;120,"High Risk","Normal")</f>
        <v>High Risk</v>
      </c>
      <c r="S935" s="3" t="str">
        <f>IF(Table1[[#This Row],[Age]]&lt;=18,"0-18",IF(Table1[[#This Row],[Age]]&lt;=35,"19-35",IF(Table1[[#This Row],[Age]]&lt;=50,"36-50",IF(Table1[[#This Row],[Age]]&lt;=65,"51-65","65+"))))</f>
        <v>65+</v>
      </c>
    </row>
    <row r="936" spans="1:19" x14ac:dyDescent="0.3">
      <c r="A936" s="3" t="s">
        <v>2846</v>
      </c>
      <c r="B936" s="3">
        <v>26</v>
      </c>
      <c r="C936" s="3" t="s">
        <v>16</v>
      </c>
      <c r="D936" s="3" t="s">
        <v>36</v>
      </c>
      <c r="E936" s="3" t="s">
        <v>27</v>
      </c>
      <c r="F936" s="4">
        <v>45222</v>
      </c>
      <c r="G936" s="3" t="s">
        <v>2847</v>
      </c>
      <c r="H936" s="3" t="s">
        <v>2848</v>
      </c>
      <c r="I936" s="3" t="s">
        <v>57</v>
      </c>
      <c r="J936" s="5">
        <v>38142.109678053399</v>
      </c>
      <c r="K936" s="3">
        <v>313</v>
      </c>
      <c r="L936" s="3" t="s">
        <v>22</v>
      </c>
      <c r="M936" s="4">
        <v>45248</v>
      </c>
      <c r="N936" s="3" t="s">
        <v>52</v>
      </c>
      <c r="O936" s="3" t="s">
        <v>47</v>
      </c>
      <c r="P936" s="3" t="str">
        <f>IF(Table1[[#This Row],[Billing Amount]]&lt;5000,"Low",IF(Table1[[#This Row],[Billing Amount]]&lt;=15000,"Medium","High"))</f>
        <v>High</v>
      </c>
      <c r="Q936" s="3" t="str">
        <f>IF(Table1[[#This Row],[Discharge Date]]="Yes","Discharged","Under Treatment")</f>
        <v>Under Treatment</v>
      </c>
      <c r="R936" s="3" t="str">
        <f>IF(Table1[[#This Row],[Test Results]]&gt;120,"High Risk","Normal")</f>
        <v>High Risk</v>
      </c>
      <c r="S936" s="3" t="str">
        <f>IF(Table1[[#This Row],[Age]]&lt;=18,"0-18",IF(Table1[[#This Row],[Age]]&lt;=35,"19-35",IF(Table1[[#This Row],[Age]]&lt;=50,"36-50",IF(Table1[[#This Row],[Age]]&lt;=65,"51-65","65+"))))</f>
        <v>19-35</v>
      </c>
    </row>
    <row r="937" spans="1:19" x14ac:dyDescent="0.3">
      <c r="A937" s="3" t="s">
        <v>2849</v>
      </c>
      <c r="B937" s="3">
        <v>77</v>
      </c>
      <c r="C937" s="3" t="s">
        <v>16</v>
      </c>
      <c r="D937" s="3" t="s">
        <v>103</v>
      </c>
      <c r="E937" s="3" t="s">
        <v>54</v>
      </c>
      <c r="F937" s="4">
        <v>44746</v>
      </c>
      <c r="G937" s="3" t="s">
        <v>2850</v>
      </c>
      <c r="H937" s="3" t="s">
        <v>2851</v>
      </c>
      <c r="I937" s="3" t="s">
        <v>30</v>
      </c>
      <c r="J937" s="5">
        <v>3825.0925445786602</v>
      </c>
      <c r="K937" s="3">
        <v>425</v>
      </c>
      <c r="L937" s="3" t="s">
        <v>46</v>
      </c>
      <c r="M937" s="4">
        <v>44772</v>
      </c>
      <c r="N937" s="3" t="s">
        <v>79</v>
      </c>
      <c r="O937" s="3" t="s">
        <v>24</v>
      </c>
      <c r="P937" s="3" t="str">
        <f>IF(Table1[[#This Row],[Billing Amount]]&lt;5000,"Low",IF(Table1[[#This Row],[Billing Amount]]&lt;=15000,"Medium","High"))</f>
        <v>Low</v>
      </c>
      <c r="Q937" s="3" t="str">
        <f>IF(Table1[[#This Row],[Discharge Date]]="Yes","Discharged","Under Treatment")</f>
        <v>Under Treatment</v>
      </c>
      <c r="R937" s="3" t="str">
        <f>IF(Table1[[#This Row],[Test Results]]&gt;120,"High Risk","Normal")</f>
        <v>High Risk</v>
      </c>
      <c r="S937" s="3" t="str">
        <f>IF(Table1[[#This Row],[Age]]&lt;=18,"0-18",IF(Table1[[#This Row],[Age]]&lt;=35,"19-35",IF(Table1[[#This Row],[Age]]&lt;=50,"36-50",IF(Table1[[#This Row],[Age]]&lt;=65,"51-65","65+"))))</f>
        <v>65+</v>
      </c>
    </row>
    <row r="938" spans="1:19" x14ac:dyDescent="0.3">
      <c r="A938" s="3" t="s">
        <v>2852</v>
      </c>
      <c r="B938" s="3">
        <v>77</v>
      </c>
      <c r="C938" s="3" t="s">
        <v>35</v>
      </c>
      <c r="D938" s="3" t="s">
        <v>36</v>
      </c>
      <c r="E938" s="3" t="s">
        <v>27</v>
      </c>
      <c r="F938" s="4">
        <v>44651</v>
      </c>
      <c r="G938" s="3" t="s">
        <v>2853</v>
      </c>
      <c r="H938" s="3" t="s">
        <v>2854</v>
      </c>
      <c r="I938" s="3" t="s">
        <v>65</v>
      </c>
      <c r="J938" s="5">
        <v>28157.617945996499</v>
      </c>
      <c r="K938" s="3">
        <v>379</v>
      </c>
      <c r="L938" s="3" t="s">
        <v>31</v>
      </c>
      <c r="M938" s="4">
        <v>44672</v>
      </c>
      <c r="N938" s="3" t="s">
        <v>40</v>
      </c>
      <c r="O938" s="3" t="s">
        <v>33</v>
      </c>
      <c r="P938" s="3" t="str">
        <f>IF(Table1[[#This Row],[Billing Amount]]&lt;5000,"Low",IF(Table1[[#This Row],[Billing Amount]]&lt;=15000,"Medium","High"))</f>
        <v>High</v>
      </c>
      <c r="Q938" s="3" t="str">
        <f>IF(Table1[[#This Row],[Discharge Date]]="Yes","Discharged","Under Treatment")</f>
        <v>Under Treatment</v>
      </c>
      <c r="R938" s="3" t="str">
        <f>IF(Table1[[#This Row],[Test Results]]&gt;120,"High Risk","Normal")</f>
        <v>High Risk</v>
      </c>
      <c r="S938" s="3" t="str">
        <f>IF(Table1[[#This Row],[Age]]&lt;=18,"0-18",IF(Table1[[#This Row],[Age]]&lt;=35,"19-35",IF(Table1[[#This Row],[Age]]&lt;=50,"36-50",IF(Table1[[#This Row],[Age]]&lt;=65,"51-65","65+"))))</f>
        <v>65+</v>
      </c>
    </row>
    <row r="939" spans="1:19" x14ac:dyDescent="0.3">
      <c r="A939" s="3" t="s">
        <v>2855</v>
      </c>
      <c r="B939" s="3">
        <v>43</v>
      </c>
      <c r="C939" s="3" t="s">
        <v>16</v>
      </c>
      <c r="D939" s="3" t="s">
        <v>49</v>
      </c>
      <c r="E939" s="3" t="s">
        <v>76</v>
      </c>
      <c r="F939" s="4">
        <v>43893</v>
      </c>
      <c r="G939" s="3" t="s">
        <v>2856</v>
      </c>
      <c r="H939" s="3" t="s">
        <v>2857</v>
      </c>
      <c r="I939" s="3" t="s">
        <v>30</v>
      </c>
      <c r="J939" s="5">
        <v>44211.016696409497</v>
      </c>
      <c r="K939" s="3">
        <v>324</v>
      </c>
      <c r="L939" s="3" t="s">
        <v>22</v>
      </c>
      <c r="M939" s="4">
        <v>43905</v>
      </c>
      <c r="N939" s="3" t="s">
        <v>32</v>
      </c>
      <c r="O939" s="3" t="s">
        <v>47</v>
      </c>
      <c r="P939" s="3" t="str">
        <f>IF(Table1[[#This Row],[Billing Amount]]&lt;5000,"Low",IF(Table1[[#This Row],[Billing Amount]]&lt;=15000,"Medium","High"))</f>
        <v>High</v>
      </c>
      <c r="Q939" s="3" t="str">
        <f>IF(Table1[[#This Row],[Discharge Date]]="Yes","Discharged","Under Treatment")</f>
        <v>Under Treatment</v>
      </c>
      <c r="R939" s="3" t="str">
        <f>IF(Table1[[#This Row],[Test Results]]&gt;120,"High Risk","Normal")</f>
        <v>High Risk</v>
      </c>
      <c r="S939" s="3" t="str">
        <f>IF(Table1[[#This Row],[Age]]&lt;=18,"0-18",IF(Table1[[#This Row],[Age]]&lt;=35,"19-35",IF(Table1[[#This Row],[Age]]&lt;=50,"36-50",IF(Table1[[#This Row],[Age]]&lt;=65,"51-65","65+"))))</f>
        <v>36-50</v>
      </c>
    </row>
    <row r="940" spans="1:19" x14ac:dyDescent="0.3">
      <c r="A940" s="3" t="s">
        <v>2858</v>
      </c>
      <c r="B940" s="3">
        <v>71</v>
      </c>
      <c r="C940" s="3" t="s">
        <v>16</v>
      </c>
      <c r="D940" s="3" t="s">
        <v>103</v>
      </c>
      <c r="E940" s="3" t="s">
        <v>43</v>
      </c>
      <c r="F940" s="4">
        <v>44425</v>
      </c>
      <c r="G940" s="3" t="s">
        <v>2859</v>
      </c>
      <c r="H940" s="3" t="s">
        <v>2860</v>
      </c>
      <c r="I940" s="3" t="s">
        <v>39</v>
      </c>
      <c r="J940" s="5">
        <v>25100.380281546499</v>
      </c>
      <c r="K940" s="3">
        <v>110</v>
      </c>
      <c r="L940" s="3" t="s">
        <v>31</v>
      </c>
      <c r="M940" s="4">
        <v>44446</v>
      </c>
      <c r="N940" s="3" t="s">
        <v>32</v>
      </c>
      <c r="O940" s="3" t="s">
        <v>24</v>
      </c>
      <c r="P940" s="3" t="str">
        <f>IF(Table1[[#This Row],[Billing Amount]]&lt;5000,"Low",IF(Table1[[#This Row],[Billing Amount]]&lt;=15000,"Medium","High"))</f>
        <v>High</v>
      </c>
      <c r="Q940" s="3" t="str">
        <f>IF(Table1[[#This Row],[Discharge Date]]="Yes","Discharged","Under Treatment")</f>
        <v>Under Treatment</v>
      </c>
      <c r="R940" s="3" t="str">
        <f>IF(Table1[[#This Row],[Test Results]]&gt;120,"High Risk","Normal")</f>
        <v>High Risk</v>
      </c>
      <c r="S940" s="3" t="str">
        <f>IF(Table1[[#This Row],[Age]]&lt;=18,"0-18",IF(Table1[[#This Row],[Age]]&lt;=35,"19-35",IF(Table1[[#This Row],[Age]]&lt;=50,"36-50",IF(Table1[[#This Row],[Age]]&lt;=65,"51-65","65+"))))</f>
        <v>65+</v>
      </c>
    </row>
    <row r="941" spans="1:19" x14ac:dyDescent="0.3">
      <c r="A941" s="3" t="s">
        <v>2861</v>
      </c>
      <c r="B941" s="3">
        <v>34</v>
      </c>
      <c r="C941" s="3" t="s">
        <v>16</v>
      </c>
      <c r="D941" s="3" t="s">
        <v>59</v>
      </c>
      <c r="E941" s="3" t="s">
        <v>76</v>
      </c>
      <c r="F941" s="4">
        <v>44385</v>
      </c>
      <c r="G941" s="3" t="s">
        <v>2862</v>
      </c>
      <c r="H941" s="3" t="s">
        <v>2863</v>
      </c>
      <c r="I941" s="3" t="s">
        <v>65</v>
      </c>
      <c r="J941" s="5">
        <v>15343.042766926001</v>
      </c>
      <c r="K941" s="3">
        <v>450</v>
      </c>
      <c r="L941" s="3" t="s">
        <v>31</v>
      </c>
      <c r="M941" s="4">
        <v>44398</v>
      </c>
      <c r="N941" s="3" t="s">
        <v>23</v>
      </c>
      <c r="O941" s="3" t="s">
        <v>24</v>
      </c>
      <c r="P941" s="3" t="str">
        <f>IF(Table1[[#This Row],[Billing Amount]]&lt;5000,"Low",IF(Table1[[#This Row],[Billing Amount]]&lt;=15000,"Medium","High"))</f>
        <v>High</v>
      </c>
      <c r="Q941" s="3" t="str">
        <f>IF(Table1[[#This Row],[Discharge Date]]="Yes","Discharged","Under Treatment")</f>
        <v>Under Treatment</v>
      </c>
      <c r="R941" s="3" t="str">
        <f>IF(Table1[[#This Row],[Test Results]]&gt;120,"High Risk","Normal")</f>
        <v>High Risk</v>
      </c>
      <c r="S941" s="3" t="str">
        <f>IF(Table1[[#This Row],[Age]]&lt;=18,"0-18",IF(Table1[[#This Row],[Age]]&lt;=35,"19-35",IF(Table1[[#This Row],[Age]]&lt;=50,"36-50",IF(Table1[[#This Row],[Age]]&lt;=65,"51-65","65+"))))</f>
        <v>19-35</v>
      </c>
    </row>
    <row r="942" spans="1:19" x14ac:dyDescent="0.3">
      <c r="A942" s="3" t="s">
        <v>2864</v>
      </c>
      <c r="B942" s="3">
        <v>70</v>
      </c>
      <c r="C942" s="3" t="s">
        <v>16</v>
      </c>
      <c r="D942" s="3" t="s">
        <v>36</v>
      </c>
      <c r="E942" s="3" t="s">
        <v>43</v>
      </c>
      <c r="F942" s="4">
        <v>43748</v>
      </c>
      <c r="G942" s="3" t="s">
        <v>2865</v>
      </c>
      <c r="H942" s="3" t="s">
        <v>2866</v>
      </c>
      <c r="I942" s="3" t="s">
        <v>21</v>
      </c>
      <c r="J942" s="5">
        <v>26499.4164252388</v>
      </c>
      <c r="K942" s="3">
        <v>116</v>
      </c>
      <c r="L942" s="3" t="s">
        <v>22</v>
      </c>
      <c r="M942" s="4">
        <v>43765</v>
      </c>
      <c r="N942" s="3" t="s">
        <v>40</v>
      </c>
      <c r="O942" s="3" t="s">
        <v>24</v>
      </c>
      <c r="P942" s="3" t="str">
        <f>IF(Table1[[#This Row],[Billing Amount]]&lt;5000,"Low",IF(Table1[[#This Row],[Billing Amount]]&lt;=15000,"Medium","High"))</f>
        <v>High</v>
      </c>
      <c r="Q942" s="3" t="str">
        <f>IF(Table1[[#This Row],[Discharge Date]]="Yes","Discharged","Under Treatment")</f>
        <v>Under Treatment</v>
      </c>
      <c r="R942" s="3" t="str">
        <f>IF(Table1[[#This Row],[Test Results]]&gt;120,"High Risk","Normal")</f>
        <v>High Risk</v>
      </c>
      <c r="S942" s="3" t="str">
        <f>IF(Table1[[#This Row],[Age]]&lt;=18,"0-18",IF(Table1[[#This Row],[Age]]&lt;=35,"19-35",IF(Table1[[#This Row],[Age]]&lt;=50,"36-50",IF(Table1[[#This Row],[Age]]&lt;=65,"51-65","65+"))))</f>
        <v>65+</v>
      </c>
    </row>
    <row r="943" spans="1:19" x14ac:dyDescent="0.3">
      <c r="A943" s="3" t="s">
        <v>2867</v>
      </c>
      <c r="B943" s="3">
        <v>36</v>
      </c>
      <c r="C943" s="3" t="s">
        <v>16</v>
      </c>
      <c r="D943" s="3" t="s">
        <v>42</v>
      </c>
      <c r="E943" s="3" t="s">
        <v>54</v>
      </c>
      <c r="F943" s="4">
        <v>43899</v>
      </c>
      <c r="G943" s="3" t="s">
        <v>2868</v>
      </c>
      <c r="H943" s="3" t="s">
        <v>2869</v>
      </c>
      <c r="I943" s="3" t="s">
        <v>57</v>
      </c>
      <c r="J943" s="5">
        <v>45412.659813186903</v>
      </c>
      <c r="K943" s="3">
        <v>352</v>
      </c>
      <c r="L943" s="3" t="s">
        <v>31</v>
      </c>
      <c r="M943" s="4">
        <v>43924</v>
      </c>
      <c r="N943" s="3" t="s">
        <v>23</v>
      </c>
      <c r="O943" s="3" t="s">
        <v>47</v>
      </c>
      <c r="P943" s="3" t="str">
        <f>IF(Table1[[#This Row],[Billing Amount]]&lt;5000,"Low",IF(Table1[[#This Row],[Billing Amount]]&lt;=15000,"Medium","High"))</f>
        <v>High</v>
      </c>
      <c r="Q943" s="3" t="str">
        <f>IF(Table1[[#This Row],[Discharge Date]]="Yes","Discharged","Under Treatment")</f>
        <v>Under Treatment</v>
      </c>
      <c r="R943" s="3" t="str">
        <f>IF(Table1[[#This Row],[Test Results]]&gt;120,"High Risk","Normal")</f>
        <v>High Risk</v>
      </c>
      <c r="S943" s="3" t="str">
        <f>IF(Table1[[#This Row],[Age]]&lt;=18,"0-18",IF(Table1[[#This Row],[Age]]&lt;=35,"19-35",IF(Table1[[#This Row],[Age]]&lt;=50,"36-50",IF(Table1[[#This Row],[Age]]&lt;=65,"51-65","65+"))))</f>
        <v>36-50</v>
      </c>
    </row>
    <row r="944" spans="1:19" x14ac:dyDescent="0.3">
      <c r="A944" s="3" t="s">
        <v>2870</v>
      </c>
      <c r="B944" s="3">
        <v>51</v>
      </c>
      <c r="C944" s="3" t="s">
        <v>16</v>
      </c>
      <c r="D944" s="3" t="s">
        <v>42</v>
      </c>
      <c r="E944" s="3" t="s">
        <v>54</v>
      </c>
      <c r="F944" s="4">
        <v>45209</v>
      </c>
      <c r="G944" s="3" t="s">
        <v>2871</v>
      </c>
      <c r="H944" s="3" t="s">
        <v>2872</v>
      </c>
      <c r="I944" s="3" t="s">
        <v>57</v>
      </c>
      <c r="J944" s="5">
        <v>44926.673917424298</v>
      </c>
      <c r="K944" s="3">
        <v>453</v>
      </c>
      <c r="L944" s="3" t="s">
        <v>31</v>
      </c>
      <c r="M944" s="4">
        <v>45214</v>
      </c>
      <c r="N944" s="3" t="s">
        <v>23</v>
      </c>
      <c r="O944" s="3" t="s">
        <v>33</v>
      </c>
      <c r="P944" s="3" t="str">
        <f>IF(Table1[[#This Row],[Billing Amount]]&lt;5000,"Low",IF(Table1[[#This Row],[Billing Amount]]&lt;=15000,"Medium","High"))</f>
        <v>High</v>
      </c>
      <c r="Q944" s="3" t="str">
        <f>IF(Table1[[#This Row],[Discharge Date]]="Yes","Discharged","Under Treatment")</f>
        <v>Under Treatment</v>
      </c>
      <c r="R944" s="3" t="str">
        <f>IF(Table1[[#This Row],[Test Results]]&gt;120,"High Risk","Normal")</f>
        <v>High Risk</v>
      </c>
      <c r="S944" s="3" t="str">
        <f>IF(Table1[[#This Row],[Age]]&lt;=18,"0-18",IF(Table1[[#This Row],[Age]]&lt;=35,"19-35",IF(Table1[[#This Row],[Age]]&lt;=50,"36-50",IF(Table1[[#This Row],[Age]]&lt;=65,"51-65","65+"))))</f>
        <v>51-65</v>
      </c>
    </row>
    <row r="945" spans="1:19" x14ac:dyDescent="0.3">
      <c r="A945" s="3" t="s">
        <v>2873</v>
      </c>
      <c r="B945" s="3">
        <v>38</v>
      </c>
      <c r="C945" s="3" t="s">
        <v>35</v>
      </c>
      <c r="D945" s="3" t="s">
        <v>59</v>
      </c>
      <c r="E945" s="3" t="s">
        <v>76</v>
      </c>
      <c r="F945" s="4">
        <v>45111</v>
      </c>
      <c r="G945" s="3" t="s">
        <v>2874</v>
      </c>
      <c r="H945" s="3" t="s">
        <v>2875</v>
      </c>
      <c r="I945" s="3" t="s">
        <v>65</v>
      </c>
      <c r="J945" s="5">
        <v>44442.610958378202</v>
      </c>
      <c r="K945" s="3">
        <v>456</v>
      </c>
      <c r="L945" s="3" t="s">
        <v>31</v>
      </c>
      <c r="M945" s="4">
        <v>45124</v>
      </c>
      <c r="N945" s="3" t="s">
        <v>32</v>
      </c>
      <c r="O945" s="3" t="s">
        <v>47</v>
      </c>
      <c r="P945" s="3" t="str">
        <f>IF(Table1[[#This Row],[Billing Amount]]&lt;5000,"Low",IF(Table1[[#This Row],[Billing Amount]]&lt;=15000,"Medium","High"))</f>
        <v>High</v>
      </c>
      <c r="Q945" s="3" t="str">
        <f>IF(Table1[[#This Row],[Discharge Date]]="Yes","Discharged","Under Treatment")</f>
        <v>Under Treatment</v>
      </c>
      <c r="R945" s="3" t="str">
        <f>IF(Table1[[#This Row],[Test Results]]&gt;120,"High Risk","Normal")</f>
        <v>High Risk</v>
      </c>
      <c r="S945" s="3" t="str">
        <f>IF(Table1[[#This Row],[Age]]&lt;=18,"0-18",IF(Table1[[#This Row],[Age]]&lt;=35,"19-35",IF(Table1[[#This Row],[Age]]&lt;=50,"36-50",IF(Table1[[#This Row],[Age]]&lt;=65,"51-65","65+"))))</f>
        <v>36-50</v>
      </c>
    </row>
    <row r="946" spans="1:19" x14ac:dyDescent="0.3">
      <c r="A946" s="3" t="s">
        <v>2877</v>
      </c>
      <c r="B946" s="3">
        <v>29</v>
      </c>
      <c r="C946" s="3" t="s">
        <v>35</v>
      </c>
      <c r="D946" s="3" t="s">
        <v>122</v>
      </c>
      <c r="E946" s="3" t="s">
        <v>54</v>
      </c>
      <c r="F946" s="4">
        <v>44361</v>
      </c>
      <c r="G946" s="3" t="s">
        <v>2878</v>
      </c>
      <c r="H946" s="3" t="s">
        <v>2879</v>
      </c>
      <c r="I946" s="3" t="s">
        <v>30</v>
      </c>
      <c r="J946" s="5">
        <v>29560.986174907601</v>
      </c>
      <c r="K946" s="3">
        <v>363</v>
      </c>
      <c r="L946" s="3" t="s">
        <v>22</v>
      </c>
      <c r="M946" s="4">
        <v>44378</v>
      </c>
      <c r="N946" s="3" t="s">
        <v>52</v>
      </c>
      <c r="O946" s="3" t="s">
        <v>24</v>
      </c>
      <c r="P946" s="3" t="str">
        <f>IF(Table1[[#This Row],[Billing Amount]]&lt;5000,"Low",IF(Table1[[#This Row],[Billing Amount]]&lt;=15000,"Medium","High"))</f>
        <v>High</v>
      </c>
      <c r="Q946" s="3" t="str">
        <f>IF(Table1[[#This Row],[Discharge Date]]="Yes","Discharged","Under Treatment")</f>
        <v>Under Treatment</v>
      </c>
      <c r="R946" s="3" t="str">
        <f>IF(Table1[[#This Row],[Test Results]]&gt;120,"High Risk","Normal")</f>
        <v>High Risk</v>
      </c>
      <c r="S946" s="3" t="str">
        <f>IF(Table1[[#This Row],[Age]]&lt;=18,"0-18",IF(Table1[[#This Row],[Age]]&lt;=35,"19-35",IF(Table1[[#This Row],[Age]]&lt;=50,"36-50",IF(Table1[[#This Row],[Age]]&lt;=65,"51-65","65+"))))</f>
        <v>19-35</v>
      </c>
    </row>
    <row r="947" spans="1:19" x14ac:dyDescent="0.3">
      <c r="A947" s="3" t="s">
        <v>2880</v>
      </c>
      <c r="B947" s="3">
        <v>85</v>
      </c>
      <c r="C947" s="3" t="s">
        <v>35</v>
      </c>
      <c r="D947" s="3" t="s">
        <v>36</v>
      </c>
      <c r="E947" s="3" t="s">
        <v>18</v>
      </c>
      <c r="F947" s="4">
        <v>44236</v>
      </c>
      <c r="G947" s="3" t="s">
        <v>2881</v>
      </c>
      <c r="H947" s="3" t="s">
        <v>2882</v>
      </c>
      <c r="I947" s="3" t="s">
        <v>21</v>
      </c>
      <c r="J947" s="5">
        <v>49121.411074509502</v>
      </c>
      <c r="K947" s="3">
        <v>281</v>
      </c>
      <c r="L947" s="3" t="s">
        <v>22</v>
      </c>
      <c r="M947" s="4">
        <v>44264</v>
      </c>
      <c r="N947" s="3" t="s">
        <v>52</v>
      </c>
      <c r="O947" s="3" t="s">
        <v>33</v>
      </c>
      <c r="P947" s="3" t="str">
        <f>IF(Table1[[#This Row],[Billing Amount]]&lt;5000,"Low",IF(Table1[[#This Row],[Billing Amount]]&lt;=15000,"Medium","High"))</f>
        <v>High</v>
      </c>
      <c r="Q947" s="3" t="str">
        <f>IF(Table1[[#This Row],[Discharge Date]]="Yes","Discharged","Under Treatment")</f>
        <v>Under Treatment</v>
      </c>
      <c r="R947" s="3" t="str">
        <f>IF(Table1[[#This Row],[Test Results]]&gt;120,"High Risk","Normal")</f>
        <v>High Risk</v>
      </c>
      <c r="S947" s="3" t="str">
        <f>IF(Table1[[#This Row],[Age]]&lt;=18,"0-18",IF(Table1[[#This Row],[Age]]&lt;=35,"19-35",IF(Table1[[#This Row],[Age]]&lt;=50,"36-50",IF(Table1[[#This Row],[Age]]&lt;=65,"51-65","65+"))))</f>
        <v>65+</v>
      </c>
    </row>
    <row r="948" spans="1:19" x14ac:dyDescent="0.3">
      <c r="A948" s="3" t="s">
        <v>2883</v>
      </c>
      <c r="B948" s="3">
        <v>37</v>
      </c>
      <c r="C948" s="3" t="s">
        <v>35</v>
      </c>
      <c r="D948" s="3" t="s">
        <v>26</v>
      </c>
      <c r="E948" s="3" t="s">
        <v>18</v>
      </c>
      <c r="F948" s="4">
        <v>45246</v>
      </c>
      <c r="G948" s="3" t="s">
        <v>2884</v>
      </c>
      <c r="H948" s="3" t="s">
        <v>2885</v>
      </c>
      <c r="I948" s="3" t="s">
        <v>21</v>
      </c>
      <c r="J948" s="5">
        <v>35722.022345431702</v>
      </c>
      <c r="K948" s="3">
        <v>257</v>
      </c>
      <c r="L948" s="3" t="s">
        <v>31</v>
      </c>
      <c r="M948" s="4">
        <v>45263</v>
      </c>
      <c r="N948" s="3" t="s">
        <v>23</v>
      </c>
      <c r="O948" s="3" t="s">
        <v>33</v>
      </c>
      <c r="P948" s="3" t="str">
        <f>IF(Table1[[#This Row],[Billing Amount]]&lt;5000,"Low",IF(Table1[[#This Row],[Billing Amount]]&lt;=15000,"Medium","High"))</f>
        <v>High</v>
      </c>
      <c r="Q948" s="3" t="str">
        <f>IF(Table1[[#This Row],[Discharge Date]]="Yes","Discharged","Under Treatment")</f>
        <v>Under Treatment</v>
      </c>
      <c r="R948" s="3" t="str">
        <f>IF(Table1[[#This Row],[Test Results]]&gt;120,"High Risk","Normal")</f>
        <v>High Risk</v>
      </c>
      <c r="S948" s="3" t="str">
        <f>IF(Table1[[#This Row],[Age]]&lt;=18,"0-18",IF(Table1[[#This Row],[Age]]&lt;=35,"19-35",IF(Table1[[#This Row],[Age]]&lt;=50,"36-50",IF(Table1[[#This Row],[Age]]&lt;=65,"51-65","65+"))))</f>
        <v>36-50</v>
      </c>
    </row>
    <row r="949" spans="1:19" x14ac:dyDescent="0.3">
      <c r="A949" s="3" t="s">
        <v>2886</v>
      </c>
      <c r="B949" s="3">
        <v>69</v>
      </c>
      <c r="C949" s="3" t="s">
        <v>35</v>
      </c>
      <c r="D949" s="3" t="s">
        <v>36</v>
      </c>
      <c r="E949" s="3" t="s">
        <v>54</v>
      </c>
      <c r="F949" s="4">
        <v>44276</v>
      </c>
      <c r="G949" s="3" t="s">
        <v>2887</v>
      </c>
      <c r="H949" s="3" t="s">
        <v>2888</v>
      </c>
      <c r="I949" s="3" t="s">
        <v>57</v>
      </c>
      <c r="J949" s="5">
        <v>11202.346692134301</v>
      </c>
      <c r="K949" s="3">
        <v>145</v>
      </c>
      <c r="L949" s="3" t="s">
        <v>46</v>
      </c>
      <c r="M949" s="4">
        <v>44280</v>
      </c>
      <c r="N949" s="3" t="s">
        <v>40</v>
      </c>
      <c r="O949" s="3" t="s">
        <v>47</v>
      </c>
      <c r="P949" s="3" t="str">
        <f>IF(Table1[[#This Row],[Billing Amount]]&lt;5000,"Low",IF(Table1[[#This Row],[Billing Amount]]&lt;=15000,"Medium","High"))</f>
        <v>Medium</v>
      </c>
      <c r="Q949" s="3" t="str">
        <f>IF(Table1[[#This Row],[Discharge Date]]="Yes","Discharged","Under Treatment")</f>
        <v>Under Treatment</v>
      </c>
      <c r="R949" s="3" t="str">
        <f>IF(Table1[[#This Row],[Test Results]]&gt;120,"High Risk","Normal")</f>
        <v>High Risk</v>
      </c>
      <c r="S949" s="3" t="str">
        <f>IF(Table1[[#This Row],[Age]]&lt;=18,"0-18",IF(Table1[[#This Row],[Age]]&lt;=35,"19-35",IF(Table1[[#This Row],[Age]]&lt;=50,"36-50",IF(Table1[[#This Row],[Age]]&lt;=65,"51-65","65+"))))</f>
        <v>65+</v>
      </c>
    </row>
    <row r="950" spans="1:19" x14ac:dyDescent="0.3">
      <c r="A950" s="3" t="s">
        <v>2889</v>
      </c>
      <c r="B950" s="3">
        <v>55</v>
      </c>
      <c r="C950" s="3" t="s">
        <v>35</v>
      </c>
      <c r="D950" s="3" t="s">
        <v>17</v>
      </c>
      <c r="E950" s="3" t="s">
        <v>27</v>
      </c>
      <c r="F950" s="4">
        <v>45323</v>
      </c>
      <c r="G950" s="3" t="s">
        <v>2890</v>
      </c>
      <c r="H950" s="3" t="s">
        <v>2891</v>
      </c>
      <c r="I950" s="3" t="s">
        <v>57</v>
      </c>
      <c r="J950" s="5">
        <v>26408.469156782201</v>
      </c>
      <c r="K950" s="3">
        <v>236</v>
      </c>
      <c r="L950" s="3" t="s">
        <v>46</v>
      </c>
      <c r="M950" s="4">
        <v>45343</v>
      </c>
      <c r="N950" s="3" t="s">
        <v>23</v>
      </c>
      <c r="O950" s="3" t="s">
        <v>47</v>
      </c>
      <c r="P950" s="3" t="str">
        <f>IF(Table1[[#This Row],[Billing Amount]]&lt;5000,"Low",IF(Table1[[#This Row],[Billing Amount]]&lt;=15000,"Medium","High"))</f>
        <v>High</v>
      </c>
      <c r="Q950" s="3" t="str">
        <f>IF(Table1[[#This Row],[Discharge Date]]="Yes","Discharged","Under Treatment")</f>
        <v>Under Treatment</v>
      </c>
      <c r="R950" s="3" t="str">
        <f>IF(Table1[[#This Row],[Test Results]]&gt;120,"High Risk","Normal")</f>
        <v>High Risk</v>
      </c>
      <c r="S950" s="3" t="str">
        <f>IF(Table1[[#This Row],[Age]]&lt;=18,"0-18",IF(Table1[[#This Row],[Age]]&lt;=35,"19-35",IF(Table1[[#This Row],[Age]]&lt;=50,"36-50",IF(Table1[[#This Row],[Age]]&lt;=65,"51-65","65+"))))</f>
        <v>51-65</v>
      </c>
    </row>
    <row r="951" spans="1:19" x14ac:dyDescent="0.3">
      <c r="A951" s="3" t="s">
        <v>2892</v>
      </c>
      <c r="B951" s="3">
        <v>74</v>
      </c>
      <c r="C951" s="3" t="s">
        <v>35</v>
      </c>
      <c r="D951" s="3" t="s">
        <v>122</v>
      </c>
      <c r="E951" s="3" t="s">
        <v>54</v>
      </c>
      <c r="F951" s="4">
        <v>43804</v>
      </c>
      <c r="G951" s="3" t="s">
        <v>2893</v>
      </c>
      <c r="H951" s="3" t="s">
        <v>2894</v>
      </c>
      <c r="I951" s="3" t="s">
        <v>39</v>
      </c>
      <c r="J951" s="5">
        <v>3353.63541882441</v>
      </c>
      <c r="K951" s="3">
        <v>406</v>
      </c>
      <c r="L951" s="3" t="s">
        <v>31</v>
      </c>
      <c r="M951" s="4">
        <v>43805</v>
      </c>
      <c r="N951" s="3" t="s">
        <v>79</v>
      </c>
      <c r="O951" s="3" t="s">
        <v>47</v>
      </c>
      <c r="P951" s="3" t="str">
        <f>IF(Table1[[#This Row],[Billing Amount]]&lt;5000,"Low",IF(Table1[[#This Row],[Billing Amount]]&lt;=15000,"Medium","High"))</f>
        <v>Low</v>
      </c>
      <c r="Q951" s="3" t="str">
        <f>IF(Table1[[#This Row],[Discharge Date]]="Yes","Discharged","Under Treatment")</f>
        <v>Under Treatment</v>
      </c>
      <c r="R951" s="3" t="str">
        <f>IF(Table1[[#This Row],[Test Results]]&gt;120,"High Risk","Normal")</f>
        <v>High Risk</v>
      </c>
      <c r="S951" s="3" t="str">
        <f>IF(Table1[[#This Row],[Age]]&lt;=18,"0-18",IF(Table1[[#This Row],[Age]]&lt;=35,"19-35",IF(Table1[[#This Row],[Age]]&lt;=50,"36-50",IF(Table1[[#This Row],[Age]]&lt;=65,"51-65","65+"))))</f>
        <v>65+</v>
      </c>
    </row>
    <row r="952" spans="1:19" x14ac:dyDescent="0.3">
      <c r="A952" s="3" t="s">
        <v>2895</v>
      </c>
      <c r="B952" s="3">
        <v>38</v>
      </c>
      <c r="C952" s="3" t="s">
        <v>16</v>
      </c>
      <c r="D952" s="3" t="s">
        <v>103</v>
      </c>
      <c r="E952" s="3" t="s">
        <v>54</v>
      </c>
      <c r="F952" s="4">
        <v>44522</v>
      </c>
      <c r="G952" s="3" t="s">
        <v>2896</v>
      </c>
      <c r="H952" s="3" t="s">
        <v>2897</v>
      </c>
      <c r="I952" s="3" t="s">
        <v>39</v>
      </c>
      <c r="J952" s="5">
        <v>34469.852590685201</v>
      </c>
      <c r="K952" s="3">
        <v>255</v>
      </c>
      <c r="L952" s="3" t="s">
        <v>31</v>
      </c>
      <c r="M952" s="4">
        <v>44532</v>
      </c>
      <c r="N952" s="3" t="s">
        <v>32</v>
      </c>
      <c r="O952" s="3" t="s">
        <v>47</v>
      </c>
      <c r="P952" s="3" t="str">
        <f>IF(Table1[[#This Row],[Billing Amount]]&lt;5000,"Low",IF(Table1[[#This Row],[Billing Amount]]&lt;=15000,"Medium","High"))</f>
        <v>High</v>
      </c>
      <c r="Q952" s="3" t="str">
        <f>IF(Table1[[#This Row],[Discharge Date]]="Yes","Discharged","Under Treatment")</f>
        <v>Under Treatment</v>
      </c>
      <c r="R952" s="3" t="str">
        <f>IF(Table1[[#This Row],[Test Results]]&gt;120,"High Risk","Normal")</f>
        <v>High Risk</v>
      </c>
      <c r="S952" s="3" t="str">
        <f>IF(Table1[[#This Row],[Age]]&lt;=18,"0-18",IF(Table1[[#This Row],[Age]]&lt;=35,"19-35",IF(Table1[[#This Row],[Age]]&lt;=50,"36-50",IF(Table1[[#This Row],[Age]]&lt;=65,"51-65","65+"))))</f>
        <v>36-50</v>
      </c>
    </row>
    <row r="953" spans="1:19" x14ac:dyDescent="0.3">
      <c r="A953" s="3" t="s">
        <v>2898</v>
      </c>
      <c r="B953" s="3">
        <v>61</v>
      </c>
      <c r="C953" s="3" t="s">
        <v>16</v>
      </c>
      <c r="D953" s="3" t="s">
        <v>59</v>
      </c>
      <c r="E953" s="3" t="s">
        <v>54</v>
      </c>
      <c r="F953" s="4">
        <v>45136</v>
      </c>
      <c r="G953" s="3" t="s">
        <v>2899</v>
      </c>
      <c r="H953" s="3" t="s">
        <v>2163</v>
      </c>
      <c r="I953" s="3" t="s">
        <v>30</v>
      </c>
      <c r="J953" s="5">
        <v>30304.558382291201</v>
      </c>
      <c r="K953" s="3">
        <v>273</v>
      </c>
      <c r="L953" s="3" t="s">
        <v>31</v>
      </c>
      <c r="M953" s="4">
        <v>45152</v>
      </c>
      <c r="N953" s="3" t="s">
        <v>32</v>
      </c>
      <c r="O953" s="3" t="s">
        <v>24</v>
      </c>
      <c r="P953" s="3" t="str">
        <f>IF(Table1[[#This Row],[Billing Amount]]&lt;5000,"Low",IF(Table1[[#This Row],[Billing Amount]]&lt;=15000,"Medium","High"))</f>
        <v>High</v>
      </c>
      <c r="Q953" s="3" t="str">
        <f>IF(Table1[[#This Row],[Discharge Date]]="Yes","Discharged","Under Treatment")</f>
        <v>Under Treatment</v>
      </c>
      <c r="R953" s="3" t="str">
        <f>IF(Table1[[#This Row],[Test Results]]&gt;120,"High Risk","Normal")</f>
        <v>High Risk</v>
      </c>
      <c r="S953" s="3" t="str">
        <f>IF(Table1[[#This Row],[Age]]&lt;=18,"0-18",IF(Table1[[#This Row],[Age]]&lt;=35,"19-35",IF(Table1[[#This Row],[Age]]&lt;=50,"36-50",IF(Table1[[#This Row],[Age]]&lt;=65,"51-65","65+"))))</f>
        <v>51-65</v>
      </c>
    </row>
    <row r="954" spans="1:19" x14ac:dyDescent="0.3">
      <c r="A954" s="3" t="s">
        <v>2900</v>
      </c>
      <c r="B954" s="3">
        <v>28</v>
      </c>
      <c r="C954" s="3" t="s">
        <v>16</v>
      </c>
      <c r="D954" s="3" t="s">
        <v>26</v>
      </c>
      <c r="E954" s="3" t="s">
        <v>18</v>
      </c>
      <c r="F954" s="4">
        <v>44131</v>
      </c>
      <c r="G954" s="3" t="s">
        <v>2901</v>
      </c>
      <c r="H954" s="3" t="s">
        <v>2902</v>
      </c>
      <c r="I954" s="3" t="s">
        <v>39</v>
      </c>
      <c r="J954" s="5">
        <v>19993.538493329801</v>
      </c>
      <c r="K954" s="3">
        <v>168</v>
      </c>
      <c r="L954" s="3" t="s">
        <v>31</v>
      </c>
      <c r="M954" s="4">
        <v>44146</v>
      </c>
      <c r="N954" s="3" t="s">
        <v>52</v>
      </c>
      <c r="O954" s="3" t="s">
        <v>24</v>
      </c>
      <c r="P954" s="3" t="str">
        <f>IF(Table1[[#This Row],[Billing Amount]]&lt;5000,"Low",IF(Table1[[#This Row],[Billing Amount]]&lt;=15000,"Medium","High"))</f>
        <v>High</v>
      </c>
      <c r="Q954" s="3" t="str">
        <f>IF(Table1[[#This Row],[Discharge Date]]="Yes","Discharged","Under Treatment")</f>
        <v>Under Treatment</v>
      </c>
      <c r="R954" s="3" t="str">
        <f>IF(Table1[[#This Row],[Test Results]]&gt;120,"High Risk","Normal")</f>
        <v>High Risk</v>
      </c>
      <c r="S954" s="3" t="str">
        <f>IF(Table1[[#This Row],[Age]]&lt;=18,"0-18",IF(Table1[[#This Row],[Age]]&lt;=35,"19-35",IF(Table1[[#This Row],[Age]]&lt;=50,"36-50",IF(Table1[[#This Row],[Age]]&lt;=65,"51-65","65+"))))</f>
        <v>19-35</v>
      </c>
    </row>
    <row r="955" spans="1:19" x14ac:dyDescent="0.3">
      <c r="A955" s="3" t="s">
        <v>2903</v>
      </c>
      <c r="B955" s="3">
        <v>41</v>
      </c>
      <c r="C955" s="3" t="s">
        <v>16</v>
      </c>
      <c r="D955" s="3" t="s">
        <v>36</v>
      </c>
      <c r="E955" s="3" t="s">
        <v>93</v>
      </c>
      <c r="F955" s="4">
        <v>45100</v>
      </c>
      <c r="G955" s="3" t="s">
        <v>2904</v>
      </c>
      <c r="H955" s="3" t="s">
        <v>2905</v>
      </c>
      <c r="I955" s="3" t="s">
        <v>21</v>
      </c>
      <c r="J955" s="5">
        <v>44839.305941457897</v>
      </c>
      <c r="K955" s="3">
        <v>138</v>
      </c>
      <c r="L955" s="3" t="s">
        <v>31</v>
      </c>
      <c r="M955" s="4">
        <v>45104</v>
      </c>
      <c r="N955" s="3" t="s">
        <v>52</v>
      </c>
      <c r="O955" s="3" t="s">
        <v>47</v>
      </c>
      <c r="P955" s="3" t="str">
        <f>IF(Table1[[#This Row],[Billing Amount]]&lt;5000,"Low",IF(Table1[[#This Row],[Billing Amount]]&lt;=15000,"Medium","High"))</f>
        <v>High</v>
      </c>
      <c r="Q955" s="3" t="str">
        <f>IF(Table1[[#This Row],[Discharge Date]]="Yes","Discharged","Under Treatment")</f>
        <v>Under Treatment</v>
      </c>
      <c r="R955" s="3" t="str">
        <f>IF(Table1[[#This Row],[Test Results]]&gt;120,"High Risk","Normal")</f>
        <v>High Risk</v>
      </c>
      <c r="S955" s="3" t="str">
        <f>IF(Table1[[#This Row],[Age]]&lt;=18,"0-18",IF(Table1[[#This Row],[Age]]&lt;=35,"19-35",IF(Table1[[#This Row],[Age]]&lt;=50,"36-50",IF(Table1[[#This Row],[Age]]&lt;=65,"51-65","65+"))))</f>
        <v>36-50</v>
      </c>
    </row>
    <row r="956" spans="1:19" x14ac:dyDescent="0.3">
      <c r="A956" s="3" t="s">
        <v>2906</v>
      </c>
      <c r="B956" s="3">
        <v>77</v>
      </c>
      <c r="C956" s="3" t="s">
        <v>35</v>
      </c>
      <c r="D956" s="3" t="s">
        <v>26</v>
      </c>
      <c r="E956" s="3" t="s">
        <v>76</v>
      </c>
      <c r="F956" s="4">
        <v>44490</v>
      </c>
      <c r="G956" s="3" t="s">
        <v>2555</v>
      </c>
      <c r="H956" s="3" t="s">
        <v>2058</v>
      </c>
      <c r="I956" s="3" t="s">
        <v>30</v>
      </c>
      <c r="J956" s="5">
        <v>15018.442149636299</v>
      </c>
      <c r="K956" s="3">
        <v>473</v>
      </c>
      <c r="L956" s="3" t="s">
        <v>46</v>
      </c>
      <c r="M956" s="4">
        <v>44493</v>
      </c>
      <c r="N956" s="3" t="s">
        <v>40</v>
      </c>
      <c r="O956" s="3" t="s">
        <v>47</v>
      </c>
      <c r="P956" s="3" t="str">
        <f>IF(Table1[[#This Row],[Billing Amount]]&lt;5000,"Low",IF(Table1[[#This Row],[Billing Amount]]&lt;=15000,"Medium","High"))</f>
        <v>High</v>
      </c>
      <c r="Q956" s="3" t="str">
        <f>IF(Table1[[#This Row],[Discharge Date]]="Yes","Discharged","Under Treatment")</f>
        <v>Under Treatment</v>
      </c>
      <c r="R956" s="3" t="str">
        <f>IF(Table1[[#This Row],[Test Results]]&gt;120,"High Risk","Normal")</f>
        <v>High Risk</v>
      </c>
      <c r="S956" s="3" t="str">
        <f>IF(Table1[[#This Row],[Age]]&lt;=18,"0-18",IF(Table1[[#This Row],[Age]]&lt;=35,"19-35",IF(Table1[[#This Row],[Age]]&lt;=50,"36-50",IF(Table1[[#This Row],[Age]]&lt;=65,"51-65","65+"))))</f>
        <v>65+</v>
      </c>
    </row>
    <row r="957" spans="1:19" x14ac:dyDescent="0.3">
      <c r="A957" s="3" t="s">
        <v>2907</v>
      </c>
      <c r="B957" s="3">
        <v>66</v>
      </c>
      <c r="C957" s="3" t="s">
        <v>35</v>
      </c>
      <c r="D957" s="3" t="s">
        <v>42</v>
      </c>
      <c r="E957" s="3" t="s">
        <v>76</v>
      </c>
      <c r="F957" s="4">
        <v>44831</v>
      </c>
      <c r="G957" s="3" t="s">
        <v>2908</v>
      </c>
      <c r="H957" s="3" t="s">
        <v>2909</v>
      </c>
      <c r="I957" s="3" t="s">
        <v>65</v>
      </c>
      <c r="J957" s="5">
        <v>23094.177054975102</v>
      </c>
      <c r="K957" s="3">
        <v>384</v>
      </c>
      <c r="L957" s="3" t="s">
        <v>22</v>
      </c>
      <c r="M957" s="4">
        <v>44839</v>
      </c>
      <c r="N957" s="3" t="s">
        <v>32</v>
      </c>
      <c r="O957" s="3" t="s">
        <v>47</v>
      </c>
      <c r="P957" s="3" t="str">
        <f>IF(Table1[[#This Row],[Billing Amount]]&lt;5000,"Low",IF(Table1[[#This Row],[Billing Amount]]&lt;=15000,"Medium","High"))</f>
        <v>High</v>
      </c>
      <c r="Q957" s="3" t="str">
        <f>IF(Table1[[#This Row],[Discharge Date]]="Yes","Discharged","Under Treatment")</f>
        <v>Under Treatment</v>
      </c>
      <c r="R957" s="3" t="str">
        <f>IF(Table1[[#This Row],[Test Results]]&gt;120,"High Risk","Normal")</f>
        <v>High Risk</v>
      </c>
      <c r="S957" s="3" t="str">
        <f>IF(Table1[[#This Row],[Age]]&lt;=18,"0-18",IF(Table1[[#This Row],[Age]]&lt;=35,"19-35",IF(Table1[[#This Row],[Age]]&lt;=50,"36-50",IF(Table1[[#This Row],[Age]]&lt;=65,"51-65","65+"))))</f>
        <v>65+</v>
      </c>
    </row>
    <row r="958" spans="1:19" x14ac:dyDescent="0.3">
      <c r="A958" s="3" t="s">
        <v>2910</v>
      </c>
      <c r="B958" s="3">
        <v>72</v>
      </c>
      <c r="C958" s="3" t="s">
        <v>35</v>
      </c>
      <c r="D958" s="3" t="s">
        <v>26</v>
      </c>
      <c r="E958" s="3" t="s">
        <v>93</v>
      </c>
      <c r="F958" s="4">
        <v>44147</v>
      </c>
      <c r="G958" s="3" t="s">
        <v>2911</v>
      </c>
      <c r="H958" s="3" t="s">
        <v>2912</v>
      </c>
      <c r="I958" s="3" t="s">
        <v>39</v>
      </c>
      <c r="J958" s="5">
        <v>49032.034271935903</v>
      </c>
      <c r="K958" s="3">
        <v>128</v>
      </c>
      <c r="L958" s="3" t="s">
        <v>22</v>
      </c>
      <c r="M958" s="4">
        <v>44174</v>
      </c>
      <c r="N958" s="3" t="s">
        <v>32</v>
      </c>
      <c r="O958" s="3" t="s">
        <v>24</v>
      </c>
      <c r="P958" s="3" t="str">
        <f>IF(Table1[[#This Row],[Billing Amount]]&lt;5000,"Low",IF(Table1[[#This Row],[Billing Amount]]&lt;=15000,"Medium","High"))</f>
        <v>High</v>
      </c>
      <c r="Q958" s="3" t="str">
        <f>IF(Table1[[#This Row],[Discharge Date]]="Yes","Discharged","Under Treatment")</f>
        <v>Under Treatment</v>
      </c>
      <c r="R958" s="3" t="str">
        <f>IF(Table1[[#This Row],[Test Results]]&gt;120,"High Risk","Normal")</f>
        <v>High Risk</v>
      </c>
      <c r="S958" s="3" t="str">
        <f>IF(Table1[[#This Row],[Age]]&lt;=18,"0-18",IF(Table1[[#This Row],[Age]]&lt;=35,"19-35",IF(Table1[[#This Row],[Age]]&lt;=50,"36-50",IF(Table1[[#This Row],[Age]]&lt;=65,"51-65","65+"))))</f>
        <v>65+</v>
      </c>
    </row>
    <row r="959" spans="1:19" x14ac:dyDescent="0.3">
      <c r="A959" s="3" t="s">
        <v>2913</v>
      </c>
      <c r="B959" s="3">
        <v>85</v>
      </c>
      <c r="C959" s="3" t="s">
        <v>35</v>
      </c>
      <c r="D959" s="3" t="s">
        <v>26</v>
      </c>
      <c r="E959" s="3" t="s">
        <v>54</v>
      </c>
      <c r="F959" s="4">
        <v>45229</v>
      </c>
      <c r="G959" s="3" t="s">
        <v>2914</v>
      </c>
      <c r="H959" s="3" t="s">
        <v>2915</v>
      </c>
      <c r="I959" s="3" t="s">
        <v>65</v>
      </c>
      <c r="J959" s="5">
        <v>27783.867205345501</v>
      </c>
      <c r="K959" s="3">
        <v>326</v>
      </c>
      <c r="L959" s="3" t="s">
        <v>22</v>
      </c>
      <c r="M959" s="4">
        <v>45255</v>
      </c>
      <c r="N959" s="3" t="s">
        <v>52</v>
      </c>
      <c r="O959" s="3" t="s">
        <v>33</v>
      </c>
      <c r="P959" s="3" t="str">
        <f>IF(Table1[[#This Row],[Billing Amount]]&lt;5000,"Low",IF(Table1[[#This Row],[Billing Amount]]&lt;=15000,"Medium","High"))</f>
        <v>High</v>
      </c>
      <c r="Q959" s="3" t="str">
        <f>IF(Table1[[#This Row],[Discharge Date]]="Yes","Discharged","Under Treatment")</f>
        <v>Under Treatment</v>
      </c>
      <c r="R959" s="3" t="str">
        <f>IF(Table1[[#This Row],[Test Results]]&gt;120,"High Risk","Normal")</f>
        <v>High Risk</v>
      </c>
      <c r="S959" s="3" t="str">
        <f>IF(Table1[[#This Row],[Age]]&lt;=18,"0-18",IF(Table1[[#This Row],[Age]]&lt;=35,"19-35",IF(Table1[[#This Row],[Age]]&lt;=50,"36-50",IF(Table1[[#This Row],[Age]]&lt;=65,"51-65","65+"))))</f>
        <v>65+</v>
      </c>
    </row>
    <row r="960" spans="1:19" x14ac:dyDescent="0.3">
      <c r="A960" s="3" t="s">
        <v>2916</v>
      </c>
      <c r="B960" s="3">
        <v>55</v>
      </c>
      <c r="C960" s="3" t="s">
        <v>35</v>
      </c>
      <c r="D960" s="3" t="s">
        <v>26</v>
      </c>
      <c r="E960" s="3" t="s">
        <v>93</v>
      </c>
      <c r="F960" s="4">
        <v>44664</v>
      </c>
      <c r="G960" s="3" t="s">
        <v>2917</v>
      </c>
      <c r="H960" s="3" t="s">
        <v>2918</v>
      </c>
      <c r="I960" s="3" t="s">
        <v>39</v>
      </c>
      <c r="J960" s="5">
        <v>27100.222471486701</v>
      </c>
      <c r="K960" s="3">
        <v>397</v>
      </c>
      <c r="L960" s="3" t="s">
        <v>46</v>
      </c>
      <c r="M960" s="4">
        <v>44673</v>
      </c>
      <c r="N960" s="3" t="s">
        <v>32</v>
      </c>
      <c r="O960" s="3" t="s">
        <v>33</v>
      </c>
      <c r="P960" s="3" t="str">
        <f>IF(Table1[[#This Row],[Billing Amount]]&lt;5000,"Low",IF(Table1[[#This Row],[Billing Amount]]&lt;=15000,"Medium","High"))</f>
        <v>High</v>
      </c>
      <c r="Q960" s="3" t="str">
        <f>IF(Table1[[#This Row],[Discharge Date]]="Yes","Discharged","Under Treatment")</f>
        <v>Under Treatment</v>
      </c>
      <c r="R960" s="3" t="str">
        <f>IF(Table1[[#This Row],[Test Results]]&gt;120,"High Risk","Normal")</f>
        <v>High Risk</v>
      </c>
      <c r="S960" s="3" t="str">
        <f>IF(Table1[[#This Row],[Age]]&lt;=18,"0-18",IF(Table1[[#This Row],[Age]]&lt;=35,"19-35",IF(Table1[[#This Row],[Age]]&lt;=50,"36-50",IF(Table1[[#This Row],[Age]]&lt;=65,"51-65","65+"))))</f>
        <v>51-65</v>
      </c>
    </row>
    <row r="961" spans="1:19" x14ac:dyDescent="0.3">
      <c r="A961" s="3" t="s">
        <v>2919</v>
      </c>
      <c r="B961" s="3">
        <v>47</v>
      </c>
      <c r="C961" s="3" t="s">
        <v>16</v>
      </c>
      <c r="D961" s="3" t="s">
        <v>36</v>
      </c>
      <c r="E961" s="3" t="s">
        <v>18</v>
      </c>
      <c r="F961" s="4">
        <v>45369</v>
      </c>
      <c r="G961" s="3" t="s">
        <v>2920</v>
      </c>
      <c r="H961" s="3" t="s">
        <v>2921</v>
      </c>
      <c r="I961" s="3" t="s">
        <v>65</v>
      </c>
      <c r="J961" s="5">
        <v>23995.147396240402</v>
      </c>
      <c r="K961" s="3">
        <v>302</v>
      </c>
      <c r="L961" s="3" t="s">
        <v>22</v>
      </c>
      <c r="M961" s="4">
        <v>45372</v>
      </c>
      <c r="N961" s="3" t="s">
        <v>40</v>
      </c>
      <c r="O961" s="3" t="s">
        <v>33</v>
      </c>
      <c r="P961" s="3" t="str">
        <f>IF(Table1[[#This Row],[Billing Amount]]&lt;5000,"Low",IF(Table1[[#This Row],[Billing Amount]]&lt;=15000,"Medium","High"))</f>
        <v>High</v>
      </c>
      <c r="Q961" s="3" t="str">
        <f>IF(Table1[[#This Row],[Discharge Date]]="Yes","Discharged","Under Treatment")</f>
        <v>Under Treatment</v>
      </c>
      <c r="R961" s="3" t="str">
        <f>IF(Table1[[#This Row],[Test Results]]&gt;120,"High Risk","Normal")</f>
        <v>High Risk</v>
      </c>
      <c r="S961" s="3" t="str">
        <f>IF(Table1[[#This Row],[Age]]&lt;=18,"0-18",IF(Table1[[#This Row],[Age]]&lt;=35,"19-35",IF(Table1[[#This Row],[Age]]&lt;=50,"36-50",IF(Table1[[#This Row],[Age]]&lt;=65,"51-65","65+"))))</f>
        <v>36-50</v>
      </c>
    </row>
    <row r="962" spans="1:19" x14ac:dyDescent="0.3">
      <c r="A962" s="3" t="s">
        <v>2922</v>
      </c>
      <c r="B962" s="3">
        <v>36</v>
      </c>
      <c r="C962" s="3" t="s">
        <v>35</v>
      </c>
      <c r="D962" s="3" t="s">
        <v>42</v>
      </c>
      <c r="E962" s="3" t="s">
        <v>18</v>
      </c>
      <c r="F962" s="4">
        <v>43711</v>
      </c>
      <c r="G962" s="3" t="s">
        <v>2923</v>
      </c>
      <c r="H962" s="3" t="s">
        <v>2924</v>
      </c>
      <c r="I962" s="3" t="s">
        <v>57</v>
      </c>
      <c r="J962" s="5">
        <v>21561.7723866993</v>
      </c>
      <c r="K962" s="3">
        <v>127</v>
      </c>
      <c r="L962" s="3" t="s">
        <v>22</v>
      </c>
      <c r="M962" s="4">
        <v>43713</v>
      </c>
      <c r="N962" s="3" t="s">
        <v>79</v>
      </c>
      <c r="O962" s="3" t="s">
        <v>47</v>
      </c>
      <c r="P962" s="3" t="str">
        <f>IF(Table1[[#This Row],[Billing Amount]]&lt;5000,"Low",IF(Table1[[#This Row],[Billing Amount]]&lt;=15000,"Medium","High"))</f>
        <v>High</v>
      </c>
      <c r="Q962" s="3" t="str">
        <f>IF(Table1[[#This Row],[Discharge Date]]="Yes","Discharged","Under Treatment")</f>
        <v>Under Treatment</v>
      </c>
      <c r="R962" s="3" t="str">
        <f>IF(Table1[[#This Row],[Test Results]]&gt;120,"High Risk","Normal")</f>
        <v>High Risk</v>
      </c>
      <c r="S962" s="3" t="str">
        <f>IF(Table1[[#This Row],[Age]]&lt;=18,"0-18",IF(Table1[[#This Row],[Age]]&lt;=35,"19-35",IF(Table1[[#This Row],[Age]]&lt;=50,"36-50",IF(Table1[[#This Row],[Age]]&lt;=65,"51-65","65+"))))</f>
        <v>36-50</v>
      </c>
    </row>
    <row r="963" spans="1:19" x14ac:dyDescent="0.3">
      <c r="A963" s="3" t="s">
        <v>2925</v>
      </c>
      <c r="B963" s="3">
        <v>77</v>
      </c>
      <c r="C963" s="3" t="s">
        <v>35</v>
      </c>
      <c r="D963" s="3" t="s">
        <v>42</v>
      </c>
      <c r="E963" s="3" t="s">
        <v>54</v>
      </c>
      <c r="F963" s="4">
        <v>44966</v>
      </c>
      <c r="G963" s="3" t="s">
        <v>2926</v>
      </c>
      <c r="H963" s="3" t="s">
        <v>2927</v>
      </c>
      <c r="I963" s="3" t="s">
        <v>21</v>
      </c>
      <c r="J963" s="5">
        <v>44206.134904247301</v>
      </c>
      <c r="K963" s="3">
        <v>169</v>
      </c>
      <c r="L963" s="3" t="s">
        <v>31</v>
      </c>
      <c r="M963" s="4">
        <v>44988</v>
      </c>
      <c r="N963" s="3" t="s">
        <v>23</v>
      </c>
      <c r="O963" s="3" t="s">
        <v>24</v>
      </c>
      <c r="P963" s="3" t="str">
        <f>IF(Table1[[#This Row],[Billing Amount]]&lt;5000,"Low",IF(Table1[[#This Row],[Billing Amount]]&lt;=15000,"Medium","High"))</f>
        <v>High</v>
      </c>
      <c r="Q963" s="3" t="str">
        <f>IF(Table1[[#This Row],[Discharge Date]]="Yes","Discharged","Under Treatment")</f>
        <v>Under Treatment</v>
      </c>
      <c r="R963" s="3" t="str">
        <f>IF(Table1[[#This Row],[Test Results]]&gt;120,"High Risk","Normal")</f>
        <v>High Risk</v>
      </c>
      <c r="S963" s="3" t="str">
        <f>IF(Table1[[#This Row],[Age]]&lt;=18,"0-18",IF(Table1[[#This Row],[Age]]&lt;=35,"19-35",IF(Table1[[#This Row],[Age]]&lt;=50,"36-50",IF(Table1[[#This Row],[Age]]&lt;=65,"51-65","65+"))))</f>
        <v>65+</v>
      </c>
    </row>
    <row r="964" spans="1:19" x14ac:dyDescent="0.3">
      <c r="A964" s="3" t="s">
        <v>2928</v>
      </c>
      <c r="B964" s="3">
        <v>58</v>
      </c>
      <c r="C964" s="3" t="s">
        <v>16</v>
      </c>
      <c r="D964" s="3" t="s">
        <v>49</v>
      </c>
      <c r="E964" s="3" t="s">
        <v>43</v>
      </c>
      <c r="F964" s="4">
        <v>44989</v>
      </c>
      <c r="G964" s="3" t="s">
        <v>2929</v>
      </c>
      <c r="H964" s="3" t="s">
        <v>2930</v>
      </c>
      <c r="I964" s="3" t="s">
        <v>30</v>
      </c>
      <c r="J964" s="5">
        <v>7138.2067610583499</v>
      </c>
      <c r="K964" s="3">
        <v>448</v>
      </c>
      <c r="L964" s="3" t="s">
        <v>22</v>
      </c>
      <c r="M964" s="4">
        <v>44999</v>
      </c>
      <c r="N964" s="3" t="s">
        <v>79</v>
      </c>
      <c r="O964" s="3" t="s">
        <v>47</v>
      </c>
      <c r="P964" s="3" t="str">
        <f>IF(Table1[[#This Row],[Billing Amount]]&lt;5000,"Low",IF(Table1[[#This Row],[Billing Amount]]&lt;=15000,"Medium","High"))</f>
        <v>Medium</v>
      </c>
      <c r="Q964" s="3" t="str">
        <f>IF(Table1[[#This Row],[Discharge Date]]="Yes","Discharged","Under Treatment")</f>
        <v>Under Treatment</v>
      </c>
      <c r="R964" s="3" t="str">
        <f>IF(Table1[[#This Row],[Test Results]]&gt;120,"High Risk","Normal")</f>
        <v>High Risk</v>
      </c>
      <c r="S964" s="3" t="str">
        <f>IF(Table1[[#This Row],[Age]]&lt;=18,"0-18",IF(Table1[[#This Row],[Age]]&lt;=35,"19-35",IF(Table1[[#This Row],[Age]]&lt;=50,"36-50",IF(Table1[[#This Row],[Age]]&lt;=65,"51-65","65+"))))</f>
        <v>51-65</v>
      </c>
    </row>
    <row r="965" spans="1:19" x14ac:dyDescent="0.3">
      <c r="A965" s="3" t="s">
        <v>2931</v>
      </c>
      <c r="B965" s="3">
        <v>31</v>
      </c>
      <c r="C965" s="3" t="s">
        <v>16</v>
      </c>
      <c r="D965" s="3" t="s">
        <v>49</v>
      </c>
      <c r="E965" s="3" t="s">
        <v>93</v>
      </c>
      <c r="F965" s="4">
        <v>45258</v>
      </c>
      <c r="G965" s="3" t="s">
        <v>2932</v>
      </c>
      <c r="H965" s="3" t="s">
        <v>2933</v>
      </c>
      <c r="I965" s="3" t="s">
        <v>57</v>
      </c>
      <c r="J965" s="5">
        <v>30988.296317377499</v>
      </c>
      <c r="K965" s="3">
        <v>135</v>
      </c>
      <c r="L965" s="3" t="s">
        <v>31</v>
      </c>
      <c r="M965" s="4">
        <v>45267</v>
      </c>
      <c r="N965" s="3" t="s">
        <v>32</v>
      </c>
      <c r="O965" s="3" t="s">
        <v>47</v>
      </c>
      <c r="P965" s="3" t="str">
        <f>IF(Table1[[#This Row],[Billing Amount]]&lt;5000,"Low",IF(Table1[[#This Row],[Billing Amount]]&lt;=15000,"Medium","High"))</f>
        <v>High</v>
      </c>
      <c r="Q965" s="3" t="str">
        <f>IF(Table1[[#This Row],[Discharge Date]]="Yes","Discharged","Under Treatment")</f>
        <v>Under Treatment</v>
      </c>
      <c r="R965" s="3" t="str">
        <f>IF(Table1[[#This Row],[Test Results]]&gt;120,"High Risk","Normal")</f>
        <v>High Risk</v>
      </c>
      <c r="S965" s="3" t="str">
        <f>IF(Table1[[#This Row],[Age]]&lt;=18,"0-18",IF(Table1[[#This Row],[Age]]&lt;=35,"19-35",IF(Table1[[#This Row],[Age]]&lt;=50,"36-50",IF(Table1[[#This Row],[Age]]&lt;=65,"51-65","65+"))))</f>
        <v>19-35</v>
      </c>
    </row>
    <row r="966" spans="1:19" x14ac:dyDescent="0.3">
      <c r="A966" s="3" t="s">
        <v>2935</v>
      </c>
      <c r="B966" s="3">
        <v>25</v>
      </c>
      <c r="C966" s="3" t="s">
        <v>35</v>
      </c>
      <c r="D966" s="3" t="s">
        <v>42</v>
      </c>
      <c r="E966" s="3" t="s">
        <v>76</v>
      </c>
      <c r="F966" s="4">
        <v>44593</v>
      </c>
      <c r="G966" s="3" t="s">
        <v>2936</v>
      </c>
      <c r="H966" s="3" t="s">
        <v>2937</v>
      </c>
      <c r="I966" s="3" t="s">
        <v>57</v>
      </c>
      <c r="J966" s="5">
        <v>11167.1092587067</v>
      </c>
      <c r="K966" s="3">
        <v>140</v>
      </c>
      <c r="L966" s="3" t="s">
        <v>22</v>
      </c>
      <c r="M966" s="4">
        <v>44612</v>
      </c>
      <c r="N966" s="3" t="s">
        <v>79</v>
      </c>
      <c r="O966" s="3" t="s">
        <v>24</v>
      </c>
      <c r="P966" s="3" t="str">
        <f>IF(Table1[[#This Row],[Billing Amount]]&lt;5000,"Low",IF(Table1[[#This Row],[Billing Amount]]&lt;=15000,"Medium","High"))</f>
        <v>Medium</v>
      </c>
      <c r="Q966" s="3" t="str">
        <f>IF(Table1[[#This Row],[Discharge Date]]="Yes","Discharged","Under Treatment")</f>
        <v>Under Treatment</v>
      </c>
      <c r="R966" s="3" t="str">
        <f>IF(Table1[[#This Row],[Test Results]]&gt;120,"High Risk","Normal")</f>
        <v>High Risk</v>
      </c>
      <c r="S966" s="3" t="str">
        <f>IF(Table1[[#This Row],[Age]]&lt;=18,"0-18",IF(Table1[[#This Row],[Age]]&lt;=35,"19-35",IF(Table1[[#This Row],[Age]]&lt;=50,"36-50",IF(Table1[[#This Row],[Age]]&lt;=65,"51-65","65+"))))</f>
        <v>19-35</v>
      </c>
    </row>
    <row r="967" spans="1:19" x14ac:dyDescent="0.3">
      <c r="A967" s="3" t="s">
        <v>2938</v>
      </c>
      <c r="B967" s="3">
        <v>70</v>
      </c>
      <c r="C967" s="3" t="s">
        <v>35</v>
      </c>
      <c r="D967" s="3" t="s">
        <v>49</v>
      </c>
      <c r="E967" s="3" t="s">
        <v>54</v>
      </c>
      <c r="F967" s="4">
        <v>45351</v>
      </c>
      <c r="G967" s="3" t="s">
        <v>2939</v>
      </c>
      <c r="H967" s="3" t="s">
        <v>2940</v>
      </c>
      <c r="I967" s="3" t="s">
        <v>57</v>
      </c>
      <c r="J967" s="5">
        <v>12869.428491816099</v>
      </c>
      <c r="K967" s="3">
        <v>182</v>
      </c>
      <c r="L967" s="3" t="s">
        <v>31</v>
      </c>
      <c r="M967" s="4">
        <v>45367</v>
      </c>
      <c r="N967" s="3" t="s">
        <v>40</v>
      </c>
      <c r="O967" s="3" t="s">
        <v>33</v>
      </c>
      <c r="P967" s="3" t="str">
        <f>IF(Table1[[#This Row],[Billing Amount]]&lt;5000,"Low",IF(Table1[[#This Row],[Billing Amount]]&lt;=15000,"Medium","High"))</f>
        <v>Medium</v>
      </c>
      <c r="Q967" s="3" t="str">
        <f>IF(Table1[[#This Row],[Discharge Date]]="Yes","Discharged","Under Treatment")</f>
        <v>Under Treatment</v>
      </c>
      <c r="R967" s="3" t="str">
        <f>IF(Table1[[#This Row],[Test Results]]&gt;120,"High Risk","Normal")</f>
        <v>High Risk</v>
      </c>
      <c r="S967" s="3" t="str">
        <f>IF(Table1[[#This Row],[Age]]&lt;=18,"0-18",IF(Table1[[#This Row],[Age]]&lt;=35,"19-35",IF(Table1[[#This Row],[Age]]&lt;=50,"36-50",IF(Table1[[#This Row],[Age]]&lt;=65,"51-65","65+"))))</f>
        <v>65+</v>
      </c>
    </row>
    <row r="968" spans="1:19" x14ac:dyDescent="0.3">
      <c r="A968" s="3" t="s">
        <v>2941</v>
      </c>
      <c r="B968" s="3">
        <v>66</v>
      </c>
      <c r="C968" s="3" t="s">
        <v>35</v>
      </c>
      <c r="D968" s="3" t="s">
        <v>103</v>
      </c>
      <c r="E968" s="3" t="s">
        <v>76</v>
      </c>
      <c r="F968" s="4">
        <v>45340</v>
      </c>
      <c r="G968" s="3" t="s">
        <v>2942</v>
      </c>
      <c r="H968" s="3" t="s">
        <v>2943</v>
      </c>
      <c r="I968" s="3" t="s">
        <v>30</v>
      </c>
      <c r="J968" s="5">
        <v>49125.375740889598</v>
      </c>
      <c r="K968" s="3">
        <v>217</v>
      </c>
      <c r="L968" s="3" t="s">
        <v>22</v>
      </c>
      <c r="M968" s="4">
        <v>45362</v>
      </c>
      <c r="N968" s="3" t="s">
        <v>52</v>
      </c>
      <c r="O968" s="3" t="s">
        <v>33</v>
      </c>
      <c r="P968" s="3" t="str">
        <f>IF(Table1[[#This Row],[Billing Amount]]&lt;5000,"Low",IF(Table1[[#This Row],[Billing Amount]]&lt;=15000,"Medium","High"))</f>
        <v>High</v>
      </c>
      <c r="Q968" s="3" t="str">
        <f>IF(Table1[[#This Row],[Discharge Date]]="Yes","Discharged","Under Treatment")</f>
        <v>Under Treatment</v>
      </c>
      <c r="R968" s="3" t="str">
        <f>IF(Table1[[#This Row],[Test Results]]&gt;120,"High Risk","Normal")</f>
        <v>High Risk</v>
      </c>
      <c r="S968" s="3" t="str">
        <f>IF(Table1[[#This Row],[Age]]&lt;=18,"0-18",IF(Table1[[#This Row],[Age]]&lt;=35,"19-35",IF(Table1[[#This Row],[Age]]&lt;=50,"36-50",IF(Table1[[#This Row],[Age]]&lt;=65,"51-65","65+"))))</f>
        <v>65+</v>
      </c>
    </row>
    <row r="969" spans="1:19" x14ac:dyDescent="0.3">
      <c r="A969" s="3" t="s">
        <v>2944</v>
      </c>
      <c r="B969" s="3">
        <v>72</v>
      </c>
      <c r="C969" s="3" t="s">
        <v>35</v>
      </c>
      <c r="D969" s="3" t="s">
        <v>26</v>
      </c>
      <c r="E969" s="3" t="s">
        <v>76</v>
      </c>
      <c r="F969" s="4">
        <v>45109</v>
      </c>
      <c r="G969" s="3" t="s">
        <v>2945</v>
      </c>
      <c r="H969" s="3" t="s">
        <v>2946</v>
      </c>
      <c r="I969" s="3" t="s">
        <v>65</v>
      </c>
      <c r="J969" s="5">
        <v>19950.7554744966</v>
      </c>
      <c r="K969" s="3">
        <v>332</v>
      </c>
      <c r="L969" s="3" t="s">
        <v>31</v>
      </c>
      <c r="M969" s="4">
        <v>45124</v>
      </c>
      <c r="N969" s="3" t="s">
        <v>79</v>
      </c>
      <c r="O969" s="3" t="s">
        <v>33</v>
      </c>
      <c r="P969" s="3" t="str">
        <f>IF(Table1[[#This Row],[Billing Amount]]&lt;5000,"Low",IF(Table1[[#This Row],[Billing Amount]]&lt;=15000,"Medium","High"))</f>
        <v>High</v>
      </c>
      <c r="Q969" s="3" t="str">
        <f>IF(Table1[[#This Row],[Discharge Date]]="Yes","Discharged","Under Treatment")</f>
        <v>Under Treatment</v>
      </c>
      <c r="R969" s="3" t="str">
        <f>IF(Table1[[#This Row],[Test Results]]&gt;120,"High Risk","Normal")</f>
        <v>High Risk</v>
      </c>
      <c r="S969" s="3" t="str">
        <f>IF(Table1[[#This Row],[Age]]&lt;=18,"0-18",IF(Table1[[#This Row],[Age]]&lt;=35,"19-35",IF(Table1[[#This Row],[Age]]&lt;=50,"36-50",IF(Table1[[#This Row],[Age]]&lt;=65,"51-65","65+"))))</f>
        <v>65+</v>
      </c>
    </row>
    <row r="970" spans="1:19" x14ac:dyDescent="0.3">
      <c r="A970" s="3" t="s">
        <v>2947</v>
      </c>
      <c r="B970" s="3">
        <v>84</v>
      </c>
      <c r="C970" s="3" t="s">
        <v>16</v>
      </c>
      <c r="D970" s="3" t="s">
        <v>59</v>
      </c>
      <c r="E970" s="3" t="s">
        <v>54</v>
      </c>
      <c r="F970" s="4">
        <v>44302</v>
      </c>
      <c r="G970" s="3" t="s">
        <v>2948</v>
      </c>
      <c r="H970" s="3" t="s">
        <v>2949</v>
      </c>
      <c r="I970" s="3" t="s">
        <v>39</v>
      </c>
      <c r="J970" s="5">
        <v>44452.6681089552</v>
      </c>
      <c r="K970" s="3">
        <v>380</v>
      </c>
      <c r="L970" s="3" t="s">
        <v>31</v>
      </c>
      <c r="M970" s="4">
        <v>44303</v>
      </c>
      <c r="N970" s="3" t="s">
        <v>23</v>
      </c>
      <c r="O970" s="3" t="s">
        <v>33</v>
      </c>
      <c r="P970" s="3" t="str">
        <f>IF(Table1[[#This Row],[Billing Amount]]&lt;5000,"Low",IF(Table1[[#This Row],[Billing Amount]]&lt;=15000,"Medium","High"))</f>
        <v>High</v>
      </c>
      <c r="Q970" s="3" t="str">
        <f>IF(Table1[[#This Row],[Discharge Date]]="Yes","Discharged","Under Treatment")</f>
        <v>Under Treatment</v>
      </c>
      <c r="R970" s="3" t="str">
        <f>IF(Table1[[#This Row],[Test Results]]&gt;120,"High Risk","Normal")</f>
        <v>High Risk</v>
      </c>
      <c r="S970" s="3" t="str">
        <f>IF(Table1[[#This Row],[Age]]&lt;=18,"0-18",IF(Table1[[#This Row],[Age]]&lt;=35,"19-35",IF(Table1[[#This Row],[Age]]&lt;=50,"36-50",IF(Table1[[#This Row],[Age]]&lt;=65,"51-65","65+"))))</f>
        <v>65+</v>
      </c>
    </row>
    <row r="971" spans="1:19" x14ac:dyDescent="0.3">
      <c r="A971" s="3" t="s">
        <v>2950</v>
      </c>
      <c r="B971" s="3">
        <v>70</v>
      </c>
      <c r="C971" s="3" t="s">
        <v>35</v>
      </c>
      <c r="D971" s="3" t="s">
        <v>36</v>
      </c>
      <c r="E971" s="3" t="s">
        <v>27</v>
      </c>
      <c r="F971" s="4">
        <v>44279</v>
      </c>
      <c r="G971" s="3" t="s">
        <v>2951</v>
      </c>
      <c r="H971" s="3" t="s">
        <v>2952</v>
      </c>
      <c r="I971" s="3" t="s">
        <v>30</v>
      </c>
      <c r="J971" s="5">
        <v>47469.177326378398</v>
      </c>
      <c r="K971" s="3">
        <v>212</v>
      </c>
      <c r="L971" s="3" t="s">
        <v>46</v>
      </c>
      <c r="M971" s="4">
        <v>44297</v>
      </c>
      <c r="N971" s="3" t="s">
        <v>32</v>
      </c>
      <c r="O971" s="3" t="s">
        <v>47</v>
      </c>
      <c r="P971" s="3" t="str">
        <f>IF(Table1[[#This Row],[Billing Amount]]&lt;5000,"Low",IF(Table1[[#This Row],[Billing Amount]]&lt;=15000,"Medium","High"))</f>
        <v>High</v>
      </c>
      <c r="Q971" s="3" t="str">
        <f>IF(Table1[[#This Row],[Discharge Date]]="Yes","Discharged","Under Treatment")</f>
        <v>Under Treatment</v>
      </c>
      <c r="R971" s="3" t="str">
        <f>IF(Table1[[#This Row],[Test Results]]&gt;120,"High Risk","Normal")</f>
        <v>High Risk</v>
      </c>
      <c r="S971" s="3" t="str">
        <f>IF(Table1[[#This Row],[Age]]&lt;=18,"0-18",IF(Table1[[#This Row],[Age]]&lt;=35,"19-35",IF(Table1[[#This Row],[Age]]&lt;=50,"36-50",IF(Table1[[#This Row],[Age]]&lt;=65,"51-65","65+"))))</f>
        <v>65+</v>
      </c>
    </row>
    <row r="972" spans="1:19" x14ac:dyDescent="0.3">
      <c r="A972" s="3" t="s">
        <v>2953</v>
      </c>
      <c r="B972" s="3">
        <v>74</v>
      </c>
      <c r="C972" s="3" t="s">
        <v>35</v>
      </c>
      <c r="D972" s="3" t="s">
        <v>42</v>
      </c>
      <c r="E972" s="3" t="s">
        <v>54</v>
      </c>
      <c r="F972" s="4">
        <v>44216</v>
      </c>
      <c r="G972" s="3" t="s">
        <v>2954</v>
      </c>
      <c r="H972" s="3" t="s">
        <v>2955</v>
      </c>
      <c r="I972" s="3" t="s">
        <v>21</v>
      </c>
      <c r="J972" s="5">
        <v>-109.09712199628299</v>
      </c>
      <c r="K972" s="3">
        <v>381</v>
      </c>
      <c r="L972" s="3" t="s">
        <v>31</v>
      </c>
      <c r="M972" s="4">
        <v>44236</v>
      </c>
      <c r="N972" s="3" t="s">
        <v>32</v>
      </c>
      <c r="O972" s="3" t="s">
        <v>47</v>
      </c>
      <c r="P972" s="3" t="str">
        <f>IF(Table1[[#This Row],[Billing Amount]]&lt;5000,"Low",IF(Table1[[#This Row],[Billing Amount]]&lt;=15000,"Medium","High"))</f>
        <v>Low</v>
      </c>
      <c r="Q972" s="3" t="str">
        <f>IF(Table1[[#This Row],[Discharge Date]]="Yes","Discharged","Under Treatment")</f>
        <v>Under Treatment</v>
      </c>
      <c r="R972" s="3" t="str">
        <f>IF(Table1[[#This Row],[Test Results]]&gt;120,"High Risk","Normal")</f>
        <v>High Risk</v>
      </c>
      <c r="S972" s="3" t="str">
        <f>IF(Table1[[#This Row],[Age]]&lt;=18,"0-18",IF(Table1[[#This Row],[Age]]&lt;=35,"19-35",IF(Table1[[#This Row],[Age]]&lt;=50,"36-50",IF(Table1[[#This Row],[Age]]&lt;=65,"51-65","65+"))))</f>
        <v>65+</v>
      </c>
    </row>
    <row r="973" spans="1:19" x14ac:dyDescent="0.3">
      <c r="A973" s="3" t="s">
        <v>2956</v>
      </c>
      <c r="B973" s="3">
        <v>36</v>
      </c>
      <c r="C973" s="3" t="s">
        <v>35</v>
      </c>
      <c r="D973" s="3" t="s">
        <v>59</v>
      </c>
      <c r="E973" s="3" t="s">
        <v>54</v>
      </c>
      <c r="F973" s="4">
        <v>44500</v>
      </c>
      <c r="G973" s="3" t="s">
        <v>2957</v>
      </c>
      <c r="H973" s="3" t="s">
        <v>2958</v>
      </c>
      <c r="I973" s="3" t="s">
        <v>39</v>
      </c>
      <c r="J973" s="5">
        <v>49675.0092637079</v>
      </c>
      <c r="K973" s="3">
        <v>279</v>
      </c>
      <c r="L973" s="3" t="s">
        <v>46</v>
      </c>
      <c r="M973" s="4">
        <v>44526</v>
      </c>
      <c r="N973" s="3" t="s">
        <v>32</v>
      </c>
      <c r="O973" s="3" t="s">
        <v>24</v>
      </c>
      <c r="P973" s="3" t="str">
        <f>IF(Table1[[#This Row],[Billing Amount]]&lt;5000,"Low",IF(Table1[[#This Row],[Billing Amount]]&lt;=15000,"Medium","High"))</f>
        <v>High</v>
      </c>
      <c r="Q973" s="3" t="str">
        <f>IF(Table1[[#This Row],[Discharge Date]]="Yes","Discharged","Under Treatment")</f>
        <v>Under Treatment</v>
      </c>
      <c r="R973" s="3" t="str">
        <f>IF(Table1[[#This Row],[Test Results]]&gt;120,"High Risk","Normal")</f>
        <v>High Risk</v>
      </c>
      <c r="S973" s="3" t="str">
        <f>IF(Table1[[#This Row],[Age]]&lt;=18,"0-18",IF(Table1[[#This Row],[Age]]&lt;=35,"19-35",IF(Table1[[#This Row],[Age]]&lt;=50,"36-50",IF(Table1[[#This Row],[Age]]&lt;=65,"51-65","65+"))))</f>
        <v>36-50</v>
      </c>
    </row>
    <row r="974" spans="1:19" x14ac:dyDescent="0.3">
      <c r="A974" s="3" t="s">
        <v>2960</v>
      </c>
      <c r="B974" s="3">
        <v>79</v>
      </c>
      <c r="C974" s="3" t="s">
        <v>16</v>
      </c>
      <c r="D974" s="3" t="s">
        <v>49</v>
      </c>
      <c r="E974" s="3" t="s">
        <v>43</v>
      </c>
      <c r="F974" s="4">
        <v>44453</v>
      </c>
      <c r="G974" s="3" t="s">
        <v>2961</v>
      </c>
      <c r="H974" s="3" t="s">
        <v>2962</v>
      </c>
      <c r="I974" s="3" t="s">
        <v>57</v>
      </c>
      <c r="J974" s="5">
        <v>26350.003437665899</v>
      </c>
      <c r="K974" s="3">
        <v>369</v>
      </c>
      <c r="L974" s="3" t="s">
        <v>31</v>
      </c>
      <c r="M974" s="4">
        <v>44455</v>
      </c>
      <c r="N974" s="3" t="s">
        <v>40</v>
      </c>
      <c r="O974" s="3" t="s">
        <v>33</v>
      </c>
      <c r="P974" s="3" t="str">
        <f>IF(Table1[[#This Row],[Billing Amount]]&lt;5000,"Low",IF(Table1[[#This Row],[Billing Amount]]&lt;=15000,"Medium","High"))</f>
        <v>High</v>
      </c>
      <c r="Q974" s="3" t="str">
        <f>IF(Table1[[#This Row],[Discharge Date]]="Yes","Discharged","Under Treatment")</f>
        <v>Under Treatment</v>
      </c>
      <c r="R974" s="3" t="str">
        <f>IF(Table1[[#This Row],[Test Results]]&gt;120,"High Risk","Normal")</f>
        <v>High Risk</v>
      </c>
      <c r="S974" s="3" t="str">
        <f>IF(Table1[[#This Row],[Age]]&lt;=18,"0-18",IF(Table1[[#This Row],[Age]]&lt;=35,"19-35",IF(Table1[[#This Row],[Age]]&lt;=50,"36-50",IF(Table1[[#This Row],[Age]]&lt;=65,"51-65","65+"))))</f>
        <v>65+</v>
      </c>
    </row>
    <row r="975" spans="1:19" x14ac:dyDescent="0.3">
      <c r="A975" s="3" t="s">
        <v>2963</v>
      </c>
      <c r="B975" s="3">
        <v>58</v>
      </c>
      <c r="C975" s="3" t="s">
        <v>16</v>
      </c>
      <c r="D975" s="3" t="s">
        <v>49</v>
      </c>
      <c r="E975" s="3" t="s">
        <v>54</v>
      </c>
      <c r="F975" s="4">
        <v>45145</v>
      </c>
      <c r="G975" s="3" t="s">
        <v>2964</v>
      </c>
      <c r="H975" s="3" t="s">
        <v>2965</v>
      </c>
      <c r="I975" s="3" t="s">
        <v>21</v>
      </c>
      <c r="J975" s="5">
        <v>23771.6892161873</v>
      </c>
      <c r="K975" s="3">
        <v>143</v>
      </c>
      <c r="L975" s="3" t="s">
        <v>22</v>
      </c>
      <c r="M975" s="4">
        <v>45166</v>
      </c>
      <c r="N975" s="3" t="s">
        <v>52</v>
      </c>
      <c r="O975" s="3" t="s">
        <v>47</v>
      </c>
      <c r="P975" s="3" t="str">
        <f>IF(Table1[[#This Row],[Billing Amount]]&lt;5000,"Low",IF(Table1[[#This Row],[Billing Amount]]&lt;=15000,"Medium","High"))</f>
        <v>High</v>
      </c>
      <c r="Q975" s="3" t="str">
        <f>IF(Table1[[#This Row],[Discharge Date]]="Yes","Discharged","Under Treatment")</f>
        <v>Under Treatment</v>
      </c>
      <c r="R975" s="3" t="str">
        <f>IF(Table1[[#This Row],[Test Results]]&gt;120,"High Risk","Normal")</f>
        <v>High Risk</v>
      </c>
      <c r="S975" s="3" t="str">
        <f>IF(Table1[[#This Row],[Age]]&lt;=18,"0-18",IF(Table1[[#This Row],[Age]]&lt;=35,"19-35",IF(Table1[[#This Row],[Age]]&lt;=50,"36-50",IF(Table1[[#This Row],[Age]]&lt;=65,"51-65","65+"))))</f>
        <v>51-65</v>
      </c>
    </row>
    <row r="976" spans="1:19" x14ac:dyDescent="0.3">
      <c r="A976" s="3" t="s">
        <v>2966</v>
      </c>
      <c r="B976" s="3">
        <v>61</v>
      </c>
      <c r="C976" s="3" t="s">
        <v>35</v>
      </c>
      <c r="D976" s="3" t="s">
        <v>103</v>
      </c>
      <c r="E976" s="3" t="s">
        <v>18</v>
      </c>
      <c r="F976" s="4">
        <v>44025</v>
      </c>
      <c r="G976" s="3" t="s">
        <v>2967</v>
      </c>
      <c r="H976" s="3" t="s">
        <v>2968</v>
      </c>
      <c r="I976" s="3" t="s">
        <v>57</v>
      </c>
      <c r="J976" s="5">
        <v>28761.362695690201</v>
      </c>
      <c r="K976" s="3">
        <v>133</v>
      </c>
      <c r="L976" s="3" t="s">
        <v>22</v>
      </c>
      <c r="M976" s="4">
        <v>44041</v>
      </c>
      <c r="N976" s="3" t="s">
        <v>40</v>
      </c>
      <c r="O976" s="3" t="s">
        <v>47</v>
      </c>
      <c r="P976" s="3" t="str">
        <f>IF(Table1[[#This Row],[Billing Amount]]&lt;5000,"Low",IF(Table1[[#This Row],[Billing Amount]]&lt;=15000,"Medium","High"))</f>
        <v>High</v>
      </c>
      <c r="Q976" s="3" t="str">
        <f>IF(Table1[[#This Row],[Discharge Date]]="Yes","Discharged","Under Treatment")</f>
        <v>Under Treatment</v>
      </c>
      <c r="R976" s="3" t="str">
        <f>IF(Table1[[#This Row],[Test Results]]&gt;120,"High Risk","Normal")</f>
        <v>High Risk</v>
      </c>
      <c r="S976" s="3" t="str">
        <f>IF(Table1[[#This Row],[Age]]&lt;=18,"0-18",IF(Table1[[#This Row],[Age]]&lt;=35,"19-35",IF(Table1[[#This Row],[Age]]&lt;=50,"36-50",IF(Table1[[#This Row],[Age]]&lt;=65,"51-65","65+"))))</f>
        <v>51-65</v>
      </c>
    </row>
    <row r="977" spans="1:19" x14ac:dyDescent="0.3">
      <c r="A977" s="3" t="s">
        <v>2969</v>
      </c>
      <c r="B977" s="3">
        <v>34</v>
      </c>
      <c r="C977" s="3" t="s">
        <v>35</v>
      </c>
      <c r="D977" s="3" t="s">
        <v>42</v>
      </c>
      <c r="E977" s="3" t="s">
        <v>76</v>
      </c>
      <c r="F977" s="4">
        <v>44692</v>
      </c>
      <c r="G977" s="3" t="s">
        <v>2970</v>
      </c>
      <c r="H977" s="3" t="s">
        <v>2971</v>
      </c>
      <c r="I977" s="3" t="s">
        <v>30</v>
      </c>
      <c r="J977" s="5">
        <v>2851.51544576488</v>
      </c>
      <c r="K977" s="3">
        <v>237</v>
      </c>
      <c r="L977" s="3" t="s">
        <v>46</v>
      </c>
      <c r="M977" s="4">
        <v>44710</v>
      </c>
      <c r="N977" s="3" t="s">
        <v>23</v>
      </c>
      <c r="O977" s="3" t="s">
        <v>24</v>
      </c>
      <c r="P977" s="3" t="str">
        <f>IF(Table1[[#This Row],[Billing Amount]]&lt;5000,"Low",IF(Table1[[#This Row],[Billing Amount]]&lt;=15000,"Medium","High"))</f>
        <v>Low</v>
      </c>
      <c r="Q977" s="3" t="str">
        <f>IF(Table1[[#This Row],[Discharge Date]]="Yes","Discharged","Under Treatment")</f>
        <v>Under Treatment</v>
      </c>
      <c r="R977" s="3" t="str">
        <f>IF(Table1[[#This Row],[Test Results]]&gt;120,"High Risk","Normal")</f>
        <v>High Risk</v>
      </c>
      <c r="S977" s="3" t="str">
        <f>IF(Table1[[#This Row],[Age]]&lt;=18,"0-18",IF(Table1[[#This Row],[Age]]&lt;=35,"19-35",IF(Table1[[#This Row],[Age]]&lt;=50,"36-50",IF(Table1[[#This Row],[Age]]&lt;=65,"51-65","65+"))))</f>
        <v>19-35</v>
      </c>
    </row>
    <row r="978" spans="1:19" x14ac:dyDescent="0.3">
      <c r="A978" s="3" t="s">
        <v>2972</v>
      </c>
      <c r="B978" s="3">
        <v>37</v>
      </c>
      <c r="C978" s="3" t="s">
        <v>35</v>
      </c>
      <c r="D978" s="3" t="s">
        <v>59</v>
      </c>
      <c r="E978" s="3" t="s">
        <v>43</v>
      </c>
      <c r="F978" s="4">
        <v>45253</v>
      </c>
      <c r="G978" s="3" t="s">
        <v>2973</v>
      </c>
      <c r="H978" s="3" t="s">
        <v>2974</v>
      </c>
      <c r="I978" s="3" t="s">
        <v>39</v>
      </c>
      <c r="J978" s="5">
        <v>22039.677635208202</v>
      </c>
      <c r="K978" s="3">
        <v>253</v>
      </c>
      <c r="L978" s="3" t="s">
        <v>46</v>
      </c>
      <c r="M978" s="4">
        <v>45257</v>
      </c>
      <c r="N978" s="3" t="s">
        <v>32</v>
      </c>
      <c r="O978" s="3" t="s">
        <v>47</v>
      </c>
      <c r="P978" s="3" t="str">
        <f>IF(Table1[[#This Row],[Billing Amount]]&lt;5000,"Low",IF(Table1[[#This Row],[Billing Amount]]&lt;=15000,"Medium","High"))</f>
        <v>High</v>
      </c>
      <c r="Q978" s="3" t="str">
        <f>IF(Table1[[#This Row],[Discharge Date]]="Yes","Discharged","Under Treatment")</f>
        <v>Under Treatment</v>
      </c>
      <c r="R978" s="3" t="str">
        <f>IF(Table1[[#This Row],[Test Results]]&gt;120,"High Risk","Normal")</f>
        <v>High Risk</v>
      </c>
      <c r="S978" s="3" t="str">
        <f>IF(Table1[[#This Row],[Age]]&lt;=18,"0-18",IF(Table1[[#This Row],[Age]]&lt;=35,"19-35",IF(Table1[[#This Row],[Age]]&lt;=50,"36-50",IF(Table1[[#This Row],[Age]]&lt;=65,"51-65","65+"))))</f>
        <v>36-50</v>
      </c>
    </row>
    <row r="979" spans="1:19" x14ac:dyDescent="0.3">
      <c r="A979" s="3" t="s">
        <v>2975</v>
      </c>
      <c r="B979" s="3">
        <v>64</v>
      </c>
      <c r="C979" s="3" t="s">
        <v>16</v>
      </c>
      <c r="D979" s="3" t="s">
        <v>103</v>
      </c>
      <c r="E979" s="3" t="s">
        <v>18</v>
      </c>
      <c r="F979" s="4">
        <v>43927</v>
      </c>
      <c r="G979" s="3" t="s">
        <v>2976</v>
      </c>
      <c r="H979" s="3" t="s">
        <v>2977</v>
      </c>
      <c r="I979" s="3" t="s">
        <v>39</v>
      </c>
      <c r="J979" s="5">
        <v>49899.9459535512</v>
      </c>
      <c r="K979" s="3">
        <v>419</v>
      </c>
      <c r="L979" s="3" t="s">
        <v>22</v>
      </c>
      <c r="M979" s="4">
        <v>43932</v>
      </c>
      <c r="N979" s="3" t="s">
        <v>79</v>
      </c>
      <c r="O979" s="3" t="s">
        <v>24</v>
      </c>
      <c r="P979" s="3" t="str">
        <f>IF(Table1[[#This Row],[Billing Amount]]&lt;5000,"Low",IF(Table1[[#This Row],[Billing Amount]]&lt;=15000,"Medium","High"))</f>
        <v>High</v>
      </c>
      <c r="Q979" s="3" t="str">
        <f>IF(Table1[[#This Row],[Discharge Date]]="Yes","Discharged","Under Treatment")</f>
        <v>Under Treatment</v>
      </c>
      <c r="R979" s="3" t="str">
        <f>IF(Table1[[#This Row],[Test Results]]&gt;120,"High Risk","Normal")</f>
        <v>High Risk</v>
      </c>
      <c r="S979" s="3" t="str">
        <f>IF(Table1[[#This Row],[Age]]&lt;=18,"0-18",IF(Table1[[#This Row],[Age]]&lt;=35,"19-35",IF(Table1[[#This Row],[Age]]&lt;=50,"36-50",IF(Table1[[#This Row],[Age]]&lt;=65,"51-65","65+"))))</f>
        <v>51-65</v>
      </c>
    </row>
    <row r="980" spans="1:19" x14ac:dyDescent="0.3">
      <c r="A980" s="3" t="s">
        <v>2978</v>
      </c>
      <c r="B980" s="3">
        <v>31</v>
      </c>
      <c r="C980" s="3" t="s">
        <v>35</v>
      </c>
      <c r="D980" s="3" t="s">
        <v>36</v>
      </c>
      <c r="E980" s="3" t="s">
        <v>43</v>
      </c>
      <c r="F980" s="4">
        <v>44656</v>
      </c>
      <c r="G980" s="3" t="s">
        <v>2979</v>
      </c>
      <c r="H980" s="3" t="s">
        <v>2980</v>
      </c>
      <c r="I980" s="3" t="s">
        <v>30</v>
      </c>
      <c r="J980" s="5">
        <v>2924.4728235288399</v>
      </c>
      <c r="K980" s="3">
        <v>396</v>
      </c>
      <c r="L980" s="3" t="s">
        <v>22</v>
      </c>
      <c r="M980" s="4">
        <v>44663</v>
      </c>
      <c r="N980" s="3" t="s">
        <v>32</v>
      </c>
      <c r="O980" s="3" t="s">
        <v>24</v>
      </c>
      <c r="P980" s="3" t="str">
        <f>IF(Table1[[#This Row],[Billing Amount]]&lt;5000,"Low",IF(Table1[[#This Row],[Billing Amount]]&lt;=15000,"Medium","High"))</f>
        <v>Low</v>
      </c>
      <c r="Q980" s="3" t="str">
        <f>IF(Table1[[#This Row],[Discharge Date]]="Yes","Discharged","Under Treatment")</f>
        <v>Under Treatment</v>
      </c>
      <c r="R980" s="3" t="str">
        <f>IF(Table1[[#This Row],[Test Results]]&gt;120,"High Risk","Normal")</f>
        <v>High Risk</v>
      </c>
      <c r="S980" s="3" t="str">
        <f>IF(Table1[[#This Row],[Age]]&lt;=18,"0-18",IF(Table1[[#This Row],[Age]]&lt;=35,"19-35",IF(Table1[[#This Row],[Age]]&lt;=50,"36-50",IF(Table1[[#This Row],[Age]]&lt;=65,"51-65","65+"))))</f>
        <v>19-35</v>
      </c>
    </row>
    <row r="981" spans="1:19" x14ac:dyDescent="0.3">
      <c r="A981" s="3" t="s">
        <v>2981</v>
      </c>
      <c r="B981" s="3">
        <v>83</v>
      </c>
      <c r="C981" s="3" t="s">
        <v>16</v>
      </c>
      <c r="D981" s="3" t="s">
        <v>59</v>
      </c>
      <c r="E981" s="3" t="s">
        <v>76</v>
      </c>
      <c r="F981" s="4">
        <v>44799</v>
      </c>
      <c r="G981" s="3" t="s">
        <v>2982</v>
      </c>
      <c r="H981" s="3" t="s">
        <v>2983</v>
      </c>
      <c r="I981" s="3" t="s">
        <v>21</v>
      </c>
      <c r="J981" s="5">
        <v>26023.361305215101</v>
      </c>
      <c r="K981" s="3">
        <v>260</v>
      </c>
      <c r="L981" s="3" t="s">
        <v>46</v>
      </c>
      <c r="M981" s="4">
        <v>44809</v>
      </c>
      <c r="N981" s="3" t="s">
        <v>23</v>
      </c>
      <c r="O981" s="3" t="s">
        <v>47</v>
      </c>
      <c r="P981" s="3" t="str">
        <f>IF(Table1[[#This Row],[Billing Amount]]&lt;5000,"Low",IF(Table1[[#This Row],[Billing Amount]]&lt;=15000,"Medium","High"))</f>
        <v>High</v>
      </c>
      <c r="Q981" s="3" t="str">
        <f>IF(Table1[[#This Row],[Discharge Date]]="Yes","Discharged","Under Treatment")</f>
        <v>Under Treatment</v>
      </c>
      <c r="R981" s="3" t="str">
        <f>IF(Table1[[#This Row],[Test Results]]&gt;120,"High Risk","Normal")</f>
        <v>High Risk</v>
      </c>
      <c r="S981" s="3" t="str">
        <f>IF(Table1[[#This Row],[Age]]&lt;=18,"0-18",IF(Table1[[#This Row],[Age]]&lt;=35,"19-35",IF(Table1[[#This Row],[Age]]&lt;=50,"36-50",IF(Table1[[#This Row],[Age]]&lt;=65,"51-65","65+"))))</f>
        <v>65+</v>
      </c>
    </row>
    <row r="982" spans="1:19" x14ac:dyDescent="0.3">
      <c r="A982" s="3" t="s">
        <v>2984</v>
      </c>
      <c r="B982" s="3">
        <v>78</v>
      </c>
      <c r="C982" s="3" t="s">
        <v>35</v>
      </c>
      <c r="D982" s="3" t="s">
        <v>36</v>
      </c>
      <c r="E982" s="3" t="s">
        <v>43</v>
      </c>
      <c r="F982" s="4">
        <v>44574</v>
      </c>
      <c r="G982" s="3" t="s">
        <v>2985</v>
      </c>
      <c r="H982" s="3" t="s">
        <v>2986</v>
      </c>
      <c r="I982" s="3" t="s">
        <v>21</v>
      </c>
      <c r="J982" s="5">
        <v>37669.689103143901</v>
      </c>
      <c r="K982" s="3">
        <v>452</v>
      </c>
      <c r="L982" s="3" t="s">
        <v>31</v>
      </c>
      <c r="M982" s="4">
        <v>44595</v>
      </c>
      <c r="N982" s="3" t="s">
        <v>40</v>
      </c>
      <c r="O982" s="3" t="s">
        <v>24</v>
      </c>
      <c r="P982" s="3" t="str">
        <f>IF(Table1[[#This Row],[Billing Amount]]&lt;5000,"Low",IF(Table1[[#This Row],[Billing Amount]]&lt;=15000,"Medium","High"))</f>
        <v>High</v>
      </c>
      <c r="Q982" s="3" t="str">
        <f>IF(Table1[[#This Row],[Discharge Date]]="Yes","Discharged","Under Treatment")</f>
        <v>Under Treatment</v>
      </c>
      <c r="R982" s="3" t="str">
        <f>IF(Table1[[#This Row],[Test Results]]&gt;120,"High Risk","Normal")</f>
        <v>High Risk</v>
      </c>
      <c r="S982" s="3" t="str">
        <f>IF(Table1[[#This Row],[Age]]&lt;=18,"0-18",IF(Table1[[#This Row],[Age]]&lt;=35,"19-35",IF(Table1[[#This Row],[Age]]&lt;=50,"36-50",IF(Table1[[#This Row],[Age]]&lt;=65,"51-65","65+"))))</f>
        <v>65+</v>
      </c>
    </row>
    <row r="983" spans="1:19" x14ac:dyDescent="0.3">
      <c r="A983" s="3" t="s">
        <v>2987</v>
      </c>
      <c r="B983" s="3">
        <v>37</v>
      </c>
      <c r="C983" s="3" t="s">
        <v>35</v>
      </c>
      <c r="D983" s="3" t="s">
        <v>59</v>
      </c>
      <c r="E983" s="3" t="s">
        <v>43</v>
      </c>
      <c r="F983" s="4">
        <v>44680</v>
      </c>
      <c r="G983" s="3" t="s">
        <v>2988</v>
      </c>
      <c r="H983" s="3" t="s">
        <v>2989</v>
      </c>
      <c r="I983" s="3" t="s">
        <v>30</v>
      </c>
      <c r="J983" s="5">
        <v>14265.811616217599</v>
      </c>
      <c r="K983" s="3">
        <v>437</v>
      </c>
      <c r="L983" s="3" t="s">
        <v>46</v>
      </c>
      <c r="M983" s="4">
        <v>44694</v>
      </c>
      <c r="N983" s="3" t="s">
        <v>23</v>
      </c>
      <c r="O983" s="3" t="s">
        <v>24</v>
      </c>
      <c r="P983" s="3" t="str">
        <f>IF(Table1[[#This Row],[Billing Amount]]&lt;5000,"Low",IF(Table1[[#This Row],[Billing Amount]]&lt;=15000,"Medium","High"))</f>
        <v>Medium</v>
      </c>
      <c r="Q983" s="3" t="str">
        <f>IF(Table1[[#This Row],[Discharge Date]]="Yes","Discharged","Under Treatment")</f>
        <v>Under Treatment</v>
      </c>
      <c r="R983" s="3" t="str">
        <f>IF(Table1[[#This Row],[Test Results]]&gt;120,"High Risk","Normal")</f>
        <v>High Risk</v>
      </c>
      <c r="S983" s="3" t="str">
        <f>IF(Table1[[#This Row],[Age]]&lt;=18,"0-18",IF(Table1[[#This Row],[Age]]&lt;=35,"19-35",IF(Table1[[#This Row],[Age]]&lt;=50,"36-50",IF(Table1[[#This Row],[Age]]&lt;=65,"51-65","65+"))))</f>
        <v>36-50</v>
      </c>
    </row>
    <row r="984" spans="1:19" x14ac:dyDescent="0.3">
      <c r="A984" s="3" t="s">
        <v>2990</v>
      </c>
      <c r="B984" s="3">
        <v>25</v>
      </c>
      <c r="C984" s="3" t="s">
        <v>35</v>
      </c>
      <c r="D984" s="3" t="s">
        <v>103</v>
      </c>
      <c r="E984" s="3" t="s">
        <v>93</v>
      </c>
      <c r="F984" s="4">
        <v>43926</v>
      </c>
      <c r="G984" s="3" t="s">
        <v>2991</v>
      </c>
      <c r="H984" s="3" t="s">
        <v>2992</v>
      </c>
      <c r="I984" s="3" t="s">
        <v>65</v>
      </c>
      <c r="J984" s="5">
        <v>16520.923071276</v>
      </c>
      <c r="K984" s="3">
        <v>448</v>
      </c>
      <c r="L984" s="3" t="s">
        <v>46</v>
      </c>
      <c r="M984" s="4">
        <v>43941</v>
      </c>
      <c r="N984" s="3" t="s">
        <v>32</v>
      </c>
      <c r="O984" s="3" t="s">
        <v>33</v>
      </c>
      <c r="P984" s="3" t="str">
        <f>IF(Table1[[#This Row],[Billing Amount]]&lt;5000,"Low",IF(Table1[[#This Row],[Billing Amount]]&lt;=15000,"Medium","High"))</f>
        <v>High</v>
      </c>
      <c r="Q984" s="3" t="str">
        <f>IF(Table1[[#This Row],[Discharge Date]]="Yes","Discharged","Under Treatment")</f>
        <v>Under Treatment</v>
      </c>
      <c r="R984" s="3" t="str">
        <f>IF(Table1[[#This Row],[Test Results]]&gt;120,"High Risk","Normal")</f>
        <v>High Risk</v>
      </c>
      <c r="S984" s="3" t="str">
        <f>IF(Table1[[#This Row],[Age]]&lt;=18,"0-18",IF(Table1[[#This Row],[Age]]&lt;=35,"19-35",IF(Table1[[#This Row],[Age]]&lt;=50,"36-50",IF(Table1[[#This Row],[Age]]&lt;=65,"51-65","65+"))))</f>
        <v>19-35</v>
      </c>
    </row>
    <row r="985" spans="1:19" x14ac:dyDescent="0.3">
      <c r="A985" s="3" t="s">
        <v>2993</v>
      </c>
      <c r="B985" s="3">
        <v>38</v>
      </c>
      <c r="C985" s="3" t="s">
        <v>16</v>
      </c>
      <c r="D985" s="3" t="s">
        <v>36</v>
      </c>
      <c r="E985" s="3" t="s">
        <v>54</v>
      </c>
      <c r="F985" s="4">
        <v>44274</v>
      </c>
      <c r="G985" s="3" t="s">
        <v>2994</v>
      </c>
      <c r="H985" s="3" t="s">
        <v>2995</v>
      </c>
      <c r="I985" s="3" t="s">
        <v>57</v>
      </c>
      <c r="J985" s="5">
        <v>4218.5494349396304</v>
      </c>
      <c r="K985" s="3">
        <v>495</v>
      </c>
      <c r="L985" s="3" t="s">
        <v>46</v>
      </c>
      <c r="M985" s="4">
        <v>44294</v>
      </c>
      <c r="N985" s="3" t="s">
        <v>52</v>
      </c>
      <c r="O985" s="3" t="s">
        <v>47</v>
      </c>
      <c r="P985" s="3" t="str">
        <f>IF(Table1[[#This Row],[Billing Amount]]&lt;5000,"Low",IF(Table1[[#This Row],[Billing Amount]]&lt;=15000,"Medium","High"))</f>
        <v>Low</v>
      </c>
      <c r="Q985" s="3" t="str">
        <f>IF(Table1[[#This Row],[Discharge Date]]="Yes","Discharged","Under Treatment")</f>
        <v>Under Treatment</v>
      </c>
      <c r="R985" s="3" t="str">
        <f>IF(Table1[[#This Row],[Test Results]]&gt;120,"High Risk","Normal")</f>
        <v>High Risk</v>
      </c>
      <c r="S985" s="3" t="str">
        <f>IF(Table1[[#This Row],[Age]]&lt;=18,"0-18",IF(Table1[[#This Row],[Age]]&lt;=35,"19-35",IF(Table1[[#This Row],[Age]]&lt;=50,"36-50",IF(Table1[[#This Row],[Age]]&lt;=65,"51-65","65+"))))</f>
        <v>36-50</v>
      </c>
    </row>
    <row r="986" spans="1:19" x14ac:dyDescent="0.3">
      <c r="A986" s="3" t="s">
        <v>2996</v>
      </c>
      <c r="B986" s="3">
        <v>58</v>
      </c>
      <c r="C986" s="3" t="s">
        <v>35</v>
      </c>
      <c r="D986" s="3" t="s">
        <v>17</v>
      </c>
      <c r="E986" s="3" t="s">
        <v>54</v>
      </c>
      <c r="F986" s="4">
        <v>45206</v>
      </c>
      <c r="G986" s="3" t="s">
        <v>2997</v>
      </c>
      <c r="H986" s="3" t="s">
        <v>2998</v>
      </c>
      <c r="I986" s="3" t="s">
        <v>30</v>
      </c>
      <c r="J986" s="5">
        <v>36771.412179295199</v>
      </c>
      <c r="K986" s="3">
        <v>362</v>
      </c>
      <c r="L986" s="3" t="s">
        <v>31</v>
      </c>
      <c r="M986" s="4">
        <v>45207</v>
      </c>
      <c r="N986" s="3" t="s">
        <v>32</v>
      </c>
      <c r="O986" s="3" t="s">
        <v>33</v>
      </c>
      <c r="P986" s="3" t="str">
        <f>IF(Table1[[#This Row],[Billing Amount]]&lt;5000,"Low",IF(Table1[[#This Row],[Billing Amount]]&lt;=15000,"Medium","High"))</f>
        <v>High</v>
      </c>
      <c r="Q986" s="3" t="str">
        <f>IF(Table1[[#This Row],[Discharge Date]]="Yes","Discharged","Under Treatment")</f>
        <v>Under Treatment</v>
      </c>
      <c r="R986" s="3" t="str">
        <f>IF(Table1[[#This Row],[Test Results]]&gt;120,"High Risk","Normal")</f>
        <v>High Risk</v>
      </c>
      <c r="S986" s="3" t="str">
        <f>IF(Table1[[#This Row],[Age]]&lt;=18,"0-18",IF(Table1[[#This Row],[Age]]&lt;=35,"19-35",IF(Table1[[#This Row],[Age]]&lt;=50,"36-50",IF(Table1[[#This Row],[Age]]&lt;=65,"51-65","65+"))))</f>
        <v>51-65</v>
      </c>
    </row>
    <row r="987" spans="1:19" x14ac:dyDescent="0.3">
      <c r="A987" s="3" t="s">
        <v>2999</v>
      </c>
      <c r="B987" s="3">
        <v>46</v>
      </c>
      <c r="C987" s="3" t="s">
        <v>35</v>
      </c>
      <c r="D987" s="3" t="s">
        <v>49</v>
      </c>
      <c r="E987" s="3" t="s">
        <v>43</v>
      </c>
      <c r="F987" s="4">
        <v>45223</v>
      </c>
      <c r="G987" s="3" t="s">
        <v>3000</v>
      </c>
      <c r="H987" s="3" t="s">
        <v>3001</v>
      </c>
      <c r="I987" s="3" t="s">
        <v>30</v>
      </c>
      <c r="J987" s="5">
        <v>34599.409431400898</v>
      </c>
      <c r="K987" s="3">
        <v>106</v>
      </c>
      <c r="L987" s="3" t="s">
        <v>22</v>
      </c>
      <c r="M987" s="4">
        <v>45228</v>
      </c>
      <c r="N987" s="3" t="s">
        <v>79</v>
      </c>
      <c r="O987" s="3" t="s">
        <v>33</v>
      </c>
      <c r="P987" s="3" t="str">
        <f>IF(Table1[[#This Row],[Billing Amount]]&lt;5000,"Low",IF(Table1[[#This Row],[Billing Amount]]&lt;=15000,"Medium","High"))</f>
        <v>High</v>
      </c>
      <c r="Q987" s="3" t="str">
        <f>IF(Table1[[#This Row],[Discharge Date]]="Yes","Discharged","Under Treatment")</f>
        <v>Under Treatment</v>
      </c>
      <c r="R987" s="3" t="str">
        <f>IF(Table1[[#This Row],[Test Results]]&gt;120,"High Risk","Normal")</f>
        <v>High Risk</v>
      </c>
      <c r="S987" s="3" t="str">
        <f>IF(Table1[[#This Row],[Age]]&lt;=18,"0-18",IF(Table1[[#This Row],[Age]]&lt;=35,"19-35",IF(Table1[[#This Row],[Age]]&lt;=50,"36-50",IF(Table1[[#This Row],[Age]]&lt;=65,"51-65","65+"))))</f>
        <v>36-50</v>
      </c>
    </row>
    <row r="988" spans="1:19" x14ac:dyDescent="0.3">
      <c r="A988" s="3" t="s">
        <v>3002</v>
      </c>
      <c r="B988" s="3">
        <v>29</v>
      </c>
      <c r="C988" s="3" t="s">
        <v>16</v>
      </c>
      <c r="D988" s="3" t="s">
        <v>17</v>
      </c>
      <c r="E988" s="3" t="s">
        <v>93</v>
      </c>
      <c r="F988" s="4">
        <v>44923</v>
      </c>
      <c r="G988" s="3" t="s">
        <v>3003</v>
      </c>
      <c r="H988" s="3" t="s">
        <v>3004</v>
      </c>
      <c r="I988" s="3" t="s">
        <v>39</v>
      </c>
      <c r="J988" s="5">
        <v>2436.52058993534</v>
      </c>
      <c r="K988" s="3">
        <v>261</v>
      </c>
      <c r="L988" s="3" t="s">
        <v>22</v>
      </c>
      <c r="M988" s="4">
        <v>44941</v>
      </c>
      <c r="N988" s="3" t="s">
        <v>23</v>
      </c>
      <c r="O988" s="3" t="s">
        <v>47</v>
      </c>
      <c r="P988" s="3" t="str">
        <f>IF(Table1[[#This Row],[Billing Amount]]&lt;5000,"Low",IF(Table1[[#This Row],[Billing Amount]]&lt;=15000,"Medium","High"))</f>
        <v>Low</v>
      </c>
      <c r="Q988" s="3" t="str">
        <f>IF(Table1[[#This Row],[Discharge Date]]="Yes","Discharged","Under Treatment")</f>
        <v>Under Treatment</v>
      </c>
      <c r="R988" s="3" t="str">
        <f>IF(Table1[[#This Row],[Test Results]]&gt;120,"High Risk","Normal")</f>
        <v>High Risk</v>
      </c>
      <c r="S988" s="3" t="str">
        <f>IF(Table1[[#This Row],[Age]]&lt;=18,"0-18",IF(Table1[[#This Row],[Age]]&lt;=35,"19-35",IF(Table1[[#This Row],[Age]]&lt;=50,"36-50",IF(Table1[[#This Row],[Age]]&lt;=65,"51-65","65+"))))</f>
        <v>19-35</v>
      </c>
    </row>
    <row r="989" spans="1:19" x14ac:dyDescent="0.3">
      <c r="A989" s="3" t="s">
        <v>3005</v>
      </c>
      <c r="B989" s="3">
        <v>46</v>
      </c>
      <c r="C989" s="3" t="s">
        <v>35</v>
      </c>
      <c r="D989" s="3" t="s">
        <v>103</v>
      </c>
      <c r="E989" s="3" t="s">
        <v>54</v>
      </c>
      <c r="F989" s="4">
        <v>44599</v>
      </c>
      <c r="G989" s="3" t="s">
        <v>3006</v>
      </c>
      <c r="H989" s="3" t="s">
        <v>3007</v>
      </c>
      <c r="I989" s="3" t="s">
        <v>65</v>
      </c>
      <c r="J989" s="5">
        <v>1790.31523489196</v>
      </c>
      <c r="K989" s="3">
        <v>259</v>
      </c>
      <c r="L989" s="3" t="s">
        <v>22</v>
      </c>
      <c r="M989" s="4">
        <v>44615</v>
      </c>
      <c r="N989" s="3" t="s">
        <v>23</v>
      </c>
      <c r="O989" s="3" t="s">
        <v>24</v>
      </c>
      <c r="P989" s="3" t="str">
        <f>IF(Table1[[#This Row],[Billing Amount]]&lt;5000,"Low",IF(Table1[[#This Row],[Billing Amount]]&lt;=15000,"Medium","High"))</f>
        <v>Low</v>
      </c>
      <c r="Q989" s="3" t="str">
        <f>IF(Table1[[#This Row],[Discharge Date]]="Yes","Discharged","Under Treatment")</f>
        <v>Under Treatment</v>
      </c>
      <c r="R989" s="3" t="str">
        <f>IF(Table1[[#This Row],[Test Results]]&gt;120,"High Risk","Normal")</f>
        <v>High Risk</v>
      </c>
      <c r="S989" s="3" t="str">
        <f>IF(Table1[[#This Row],[Age]]&lt;=18,"0-18",IF(Table1[[#This Row],[Age]]&lt;=35,"19-35",IF(Table1[[#This Row],[Age]]&lt;=50,"36-50",IF(Table1[[#This Row],[Age]]&lt;=65,"51-65","65+"))))</f>
        <v>36-50</v>
      </c>
    </row>
    <row r="990" spans="1:19" x14ac:dyDescent="0.3">
      <c r="A990" s="3" t="s">
        <v>3008</v>
      </c>
      <c r="B990" s="3">
        <v>85</v>
      </c>
      <c r="C990" s="3" t="s">
        <v>16</v>
      </c>
      <c r="D990" s="3" t="s">
        <v>26</v>
      </c>
      <c r="E990" s="3" t="s">
        <v>76</v>
      </c>
      <c r="F990" s="4">
        <v>43994</v>
      </c>
      <c r="G990" s="3" t="s">
        <v>3009</v>
      </c>
      <c r="H990" s="3" t="s">
        <v>3010</v>
      </c>
      <c r="I990" s="3" t="s">
        <v>30</v>
      </c>
      <c r="J990" s="5">
        <v>2284.4294745165498</v>
      </c>
      <c r="K990" s="3">
        <v>445</v>
      </c>
      <c r="L990" s="3" t="s">
        <v>22</v>
      </c>
      <c r="M990" s="4">
        <v>43996</v>
      </c>
      <c r="N990" s="3" t="s">
        <v>32</v>
      </c>
      <c r="O990" s="3" t="s">
        <v>33</v>
      </c>
      <c r="P990" s="3" t="str">
        <f>IF(Table1[[#This Row],[Billing Amount]]&lt;5000,"Low",IF(Table1[[#This Row],[Billing Amount]]&lt;=15000,"Medium","High"))</f>
        <v>Low</v>
      </c>
      <c r="Q990" s="3" t="str">
        <f>IF(Table1[[#This Row],[Discharge Date]]="Yes","Discharged","Under Treatment")</f>
        <v>Under Treatment</v>
      </c>
      <c r="R990" s="3" t="str">
        <f>IF(Table1[[#This Row],[Test Results]]&gt;120,"High Risk","Normal")</f>
        <v>High Risk</v>
      </c>
      <c r="S990" s="3" t="str">
        <f>IF(Table1[[#This Row],[Age]]&lt;=18,"0-18",IF(Table1[[#This Row],[Age]]&lt;=35,"19-35",IF(Table1[[#This Row],[Age]]&lt;=50,"36-50",IF(Table1[[#This Row],[Age]]&lt;=65,"51-65","65+"))))</f>
        <v>65+</v>
      </c>
    </row>
    <row r="991" spans="1:19" x14ac:dyDescent="0.3">
      <c r="A991" s="3" t="s">
        <v>3011</v>
      </c>
      <c r="B991" s="3">
        <v>62</v>
      </c>
      <c r="C991" s="3" t="s">
        <v>35</v>
      </c>
      <c r="D991" s="3" t="s">
        <v>59</v>
      </c>
      <c r="E991" s="3" t="s">
        <v>18</v>
      </c>
      <c r="F991" s="4">
        <v>44572</v>
      </c>
      <c r="G991" s="3" t="s">
        <v>3012</v>
      </c>
      <c r="H991" s="3" t="s">
        <v>3013</v>
      </c>
      <c r="I991" s="3" t="s">
        <v>30</v>
      </c>
      <c r="J991" s="5">
        <v>21169.114218735798</v>
      </c>
      <c r="K991" s="3">
        <v>130</v>
      </c>
      <c r="L991" s="3" t="s">
        <v>31</v>
      </c>
      <c r="M991" s="4">
        <v>44576</v>
      </c>
      <c r="N991" s="3" t="s">
        <v>79</v>
      </c>
      <c r="O991" s="3" t="s">
        <v>24</v>
      </c>
      <c r="P991" s="3" t="str">
        <f>IF(Table1[[#This Row],[Billing Amount]]&lt;5000,"Low",IF(Table1[[#This Row],[Billing Amount]]&lt;=15000,"Medium","High"))</f>
        <v>High</v>
      </c>
      <c r="Q991" s="3" t="str">
        <f>IF(Table1[[#This Row],[Discharge Date]]="Yes","Discharged","Under Treatment")</f>
        <v>Under Treatment</v>
      </c>
      <c r="R991" s="3" t="str">
        <f>IF(Table1[[#This Row],[Test Results]]&gt;120,"High Risk","Normal")</f>
        <v>High Risk</v>
      </c>
      <c r="S991" s="3" t="str">
        <f>IF(Table1[[#This Row],[Age]]&lt;=18,"0-18",IF(Table1[[#This Row],[Age]]&lt;=35,"19-35",IF(Table1[[#This Row],[Age]]&lt;=50,"36-50",IF(Table1[[#This Row],[Age]]&lt;=65,"51-65","65+"))))</f>
        <v>51-65</v>
      </c>
    </row>
    <row r="992" spans="1:19" x14ac:dyDescent="0.3">
      <c r="A992" s="3" t="s">
        <v>3014</v>
      </c>
      <c r="B992" s="3">
        <v>45</v>
      </c>
      <c r="C992" s="3" t="s">
        <v>35</v>
      </c>
      <c r="D992" s="3" t="s">
        <v>103</v>
      </c>
      <c r="E992" s="3" t="s">
        <v>54</v>
      </c>
      <c r="F992" s="4">
        <v>44878</v>
      </c>
      <c r="G992" s="3" t="s">
        <v>3015</v>
      </c>
      <c r="H992" s="3" t="s">
        <v>3016</v>
      </c>
      <c r="I992" s="3" t="s">
        <v>21</v>
      </c>
      <c r="J992" s="5">
        <v>31028.001187322501</v>
      </c>
      <c r="K992" s="3">
        <v>247</v>
      </c>
      <c r="L992" s="3" t="s">
        <v>46</v>
      </c>
      <c r="M992" s="4">
        <v>44881</v>
      </c>
      <c r="N992" s="3" t="s">
        <v>32</v>
      </c>
      <c r="O992" s="3" t="s">
        <v>24</v>
      </c>
      <c r="P992" s="3" t="str">
        <f>IF(Table1[[#This Row],[Billing Amount]]&lt;5000,"Low",IF(Table1[[#This Row],[Billing Amount]]&lt;=15000,"Medium","High"))</f>
        <v>High</v>
      </c>
      <c r="Q992" s="3" t="str">
        <f>IF(Table1[[#This Row],[Discharge Date]]="Yes","Discharged","Under Treatment")</f>
        <v>Under Treatment</v>
      </c>
      <c r="R992" s="3" t="str">
        <f>IF(Table1[[#This Row],[Test Results]]&gt;120,"High Risk","Normal")</f>
        <v>High Risk</v>
      </c>
      <c r="S992" s="3" t="str">
        <f>IF(Table1[[#This Row],[Age]]&lt;=18,"0-18",IF(Table1[[#This Row],[Age]]&lt;=35,"19-35",IF(Table1[[#This Row],[Age]]&lt;=50,"36-50",IF(Table1[[#This Row],[Age]]&lt;=65,"51-65","65+"))))</f>
        <v>36-50</v>
      </c>
    </row>
    <row r="993" spans="1:19" x14ac:dyDescent="0.3">
      <c r="A993" s="3" t="s">
        <v>3017</v>
      </c>
      <c r="B993" s="3">
        <v>29</v>
      </c>
      <c r="C993" s="3" t="s">
        <v>35</v>
      </c>
      <c r="D993" s="3" t="s">
        <v>59</v>
      </c>
      <c r="E993" s="3" t="s">
        <v>54</v>
      </c>
      <c r="F993" s="4">
        <v>44001</v>
      </c>
      <c r="G993" s="3" t="s">
        <v>3018</v>
      </c>
      <c r="H993" s="3" t="s">
        <v>3019</v>
      </c>
      <c r="I993" s="3" t="s">
        <v>39</v>
      </c>
      <c r="J993" s="5">
        <v>4288.6082475405501</v>
      </c>
      <c r="K993" s="3">
        <v>500</v>
      </c>
      <c r="L993" s="3" t="s">
        <v>22</v>
      </c>
      <c r="M993" s="4">
        <v>44020</v>
      </c>
      <c r="N993" s="3" t="s">
        <v>32</v>
      </c>
      <c r="O993" s="3" t="s">
        <v>24</v>
      </c>
      <c r="P993" s="3" t="str">
        <f>IF(Table1[[#This Row],[Billing Amount]]&lt;5000,"Low",IF(Table1[[#This Row],[Billing Amount]]&lt;=15000,"Medium","High"))</f>
        <v>Low</v>
      </c>
      <c r="Q993" s="3" t="str">
        <f>IF(Table1[[#This Row],[Discharge Date]]="Yes","Discharged","Under Treatment")</f>
        <v>Under Treatment</v>
      </c>
      <c r="R993" s="3" t="str">
        <f>IF(Table1[[#This Row],[Test Results]]&gt;120,"High Risk","Normal")</f>
        <v>High Risk</v>
      </c>
      <c r="S993" s="3" t="str">
        <f>IF(Table1[[#This Row],[Age]]&lt;=18,"0-18",IF(Table1[[#This Row],[Age]]&lt;=35,"19-35",IF(Table1[[#This Row],[Age]]&lt;=50,"36-50",IF(Table1[[#This Row],[Age]]&lt;=65,"51-65","65+"))))</f>
        <v>19-35</v>
      </c>
    </row>
    <row r="994" spans="1:19" x14ac:dyDescent="0.3">
      <c r="A994" s="3" t="s">
        <v>3020</v>
      </c>
      <c r="B994" s="3">
        <v>45</v>
      </c>
      <c r="C994" s="3" t="s">
        <v>35</v>
      </c>
      <c r="D994" s="3" t="s">
        <v>26</v>
      </c>
      <c r="E994" s="3" t="s">
        <v>76</v>
      </c>
      <c r="F994" s="4">
        <v>45277</v>
      </c>
      <c r="G994" s="3" t="s">
        <v>3021</v>
      </c>
      <c r="H994" s="3" t="s">
        <v>3022</v>
      </c>
      <c r="I994" s="3" t="s">
        <v>57</v>
      </c>
      <c r="J994" s="5">
        <v>30430.100131769501</v>
      </c>
      <c r="K994" s="3">
        <v>361</v>
      </c>
      <c r="L994" s="3" t="s">
        <v>22</v>
      </c>
      <c r="M994" s="4">
        <v>45303</v>
      </c>
      <c r="N994" s="3" t="s">
        <v>23</v>
      </c>
      <c r="O994" s="3" t="s">
        <v>24</v>
      </c>
      <c r="P994" s="3" t="str">
        <f>IF(Table1[[#This Row],[Billing Amount]]&lt;5000,"Low",IF(Table1[[#This Row],[Billing Amount]]&lt;=15000,"Medium","High"))</f>
        <v>High</v>
      </c>
      <c r="Q994" s="3" t="str">
        <f>IF(Table1[[#This Row],[Discharge Date]]="Yes","Discharged","Under Treatment")</f>
        <v>Under Treatment</v>
      </c>
      <c r="R994" s="3" t="str">
        <f>IF(Table1[[#This Row],[Test Results]]&gt;120,"High Risk","Normal")</f>
        <v>High Risk</v>
      </c>
      <c r="S994" s="3" t="str">
        <f>IF(Table1[[#This Row],[Age]]&lt;=18,"0-18",IF(Table1[[#This Row],[Age]]&lt;=35,"19-35",IF(Table1[[#This Row],[Age]]&lt;=50,"36-50",IF(Table1[[#This Row],[Age]]&lt;=65,"51-65","65+"))))</f>
        <v>36-50</v>
      </c>
    </row>
    <row r="995" spans="1:19" x14ac:dyDescent="0.3">
      <c r="A995" s="3" t="s">
        <v>3023</v>
      </c>
      <c r="B995" s="3">
        <v>49</v>
      </c>
      <c r="C995" s="3" t="s">
        <v>35</v>
      </c>
      <c r="D995" s="3" t="s">
        <v>17</v>
      </c>
      <c r="E995" s="3" t="s">
        <v>18</v>
      </c>
      <c r="F995" s="4">
        <v>44778</v>
      </c>
      <c r="G995" s="3" t="s">
        <v>3024</v>
      </c>
      <c r="H995" s="3" t="s">
        <v>3025</v>
      </c>
      <c r="I995" s="3" t="s">
        <v>21</v>
      </c>
      <c r="J995" s="5">
        <v>38716.054193641699</v>
      </c>
      <c r="K995" s="3">
        <v>185</v>
      </c>
      <c r="L995" s="3" t="s">
        <v>22</v>
      </c>
      <c r="M995" s="4">
        <v>44784</v>
      </c>
      <c r="N995" s="3" t="s">
        <v>52</v>
      </c>
      <c r="O995" s="3" t="s">
        <v>47</v>
      </c>
      <c r="P995" s="3" t="str">
        <f>IF(Table1[[#This Row],[Billing Amount]]&lt;5000,"Low",IF(Table1[[#This Row],[Billing Amount]]&lt;=15000,"Medium","High"))</f>
        <v>High</v>
      </c>
      <c r="Q995" s="3" t="str">
        <f>IF(Table1[[#This Row],[Discharge Date]]="Yes","Discharged","Under Treatment")</f>
        <v>Under Treatment</v>
      </c>
      <c r="R995" s="3" t="str">
        <f>IF(Table1[[#This Row],[Test Results]]&gt;120,"High Risk","Normal")</f>
        <v>High Risk</v>
      </c>
      <c r="S995" s="3" t="str">
        <f>IF(Table1[[#This Row],[Age]]&lt;=18,"0-18",IF(Table1[[#This Row],[Age]]&lt;=35,"19-35",IF(Table1[[#This Row],[Age]]&lt;=50,"36-50",IF(Table1[[#This Row],[Age]]&lt;=65,"51-65","65+"))))</f>
        <v>36-50</v>
      </c>
    </row>
    <row r="996" spans="1:19" x14ac:dyDescent="0.3">
      <c r="A996" s="3" t="s">
        <v>3026</v>
      </c>
      <c r="B996" s="3">
        <v>39</v>
      </c>
      <c r="C996" s="3" t="s">
        <v>16</v>
      </c>
      <c r="D996" s="3" t="s">
        <v>42</v>
      </c>
      <c r="E996" s="3" t="s">
        <v>54</v>
      </c>
      <c r="F996" s="4">
        <v>44102</v>
      </c>
      <c r="G996" s="3" t="s">
        <v>3027</v>
      </c>
      <c r="H996" s="3" t="s">
        <v>3028</v>
      </c>
      <c r="I996" s="3" t="s">
        <v>57</v>
      </c>
      <c r="J996" s="5">
        <v>15563.5660179887</v>
      </c>
      <c r="K996" s="3">
        <v>232</v>
      </c>
      <c r="L996" s="3" t="s">
        <v>22</v>
      </c>
      <c r="M996" s="4">
        <v>44109</v>
      </c>
      <c r="N996" s="3" t="s">
        <v>23</v>
      </c>
      <c r="O996" s="3" t="s">
        <v>33</v>
      </c>
      <c r="P996" s="3" t="str">
        <f>IF(Table1[[#This Row],[Billing Amount]]&lt;5000,"Low",IF(Table1[[#This Row],[Billing Amount]]&lt;=15000,"Medium","High"))</f>
        <v>High</v>
      </c>
      <c r="Q996" s="3" t="str">
        <f>IF(Table1[[#This Row],[Discharge Date]]="Yes","Discharged","Under Treatment")</f>
        <v>Under Treatment</v>
      </c>
      <c r="R996" s="3" t="str">
        <f>IF(Table1[[#This Row],[Test Results]]&gt;120,"High Risk","Normal")</f>
        <v>High Risk</v>
      </c>
      <c r="S996" s="3" t="str">
        <f>IF(Table1[[#This Row],[Age]]&lt;=18,"0-18",IF(Table1[[#This Row],[Age]]&lt;=35,"19-35",IF(Table1[[#This Row],[Age]]&lt;=50,"36-50",IF(Table1[[#This Row],[Age]]&lt;=65,"51-65","65+"))))</f>
        <v>36-50</v>
      </c>
    </row>
    <row r="997" spans="1:19" x14ac:dyDescent="0.3">
      <c r="A997" s="3" t="s">
        <v>3029</v>
      </c>
      <c r="B997" s="3">
        <v>54</v>
      </c>
      <c r="C997" s="3" t="s">
        <v>35</v>
      </c>
      <c r="D997" s="3" t="s">
        <v>42</v>
      </c>
      <c r="E997" s="3" t="s">
        <v>54</v>
      </c>
      <c r="F997" s="4">
        <v>44714</v>
      </c>
      <c r="G997" s="3" t="s">
        <v>3030</v>
      </c>
      <c r="H997" s="3" t="s">
        <v>3031</v>
      </c>
      <c r="I997" s="3" t="s">
        <v>57</v>
      </c>
      <c r="J997" s="5">
        <v>16515.7559054095</v>
      </c>
      <c r="K997" s="3">
        <v>373</v>
      </c>
      <c r="L997" s="3" t="s">
        <v>22</v>
      </c>
      <c r="M997" s="4">
        <v>44719</v>
      </c>
      <c r="N997" s="3" t="s">
        <v>40</v>
      </c>
      <c r="O997" s="3" t="s">
        <v>33</v>
      </c>
      <c r="P997" s="3" t="str">
        <f>IF(Table1[[#This Row],[Billing Amount]]&lt;5000,"Low",IF(Table1[[#This Row],[Billing Amount]]&lt;=15000,"Medium","High"))</f>
        <v>High</v>
      </c>
      <c r="Q997" s="3" t="str">
        <f>IF(Table1[[#This Row],[Discharge Date]]="Yes","Discharged","Under Treatment")</f>
        <v>Under Treatment</v>
      </c>
      <c r="R997" s="3" t="str">
        <f>IF(Table1[[#This Row],[Test Results]]&gt;120,"High Risk","Normal")</f>
        <v>High Risk</v>
      </c>
      <c r="S997" s="3" t="str">
        <f>IF(Table1[[#This Row],[Age]]&lt;=18,"0-18",IF(Table1[[#This Row],[Age]]&lt;=35,"19-35",IF(Table1[[#This Row],[Age]]&lt;=50,"36-50",IF(Table1[[#This Row],[Age]]&lt;=65,"51-65","65+"))))</f>
        <v>51-65</v>
      </c>
    </row>
    <row r="998" spans="1:19" x14ac:dyDescent="0.3">
      <c r="A998" s="3" t="s">
        <v>3032</v>
      </c>
      <c r="B998" s="3">
        <v>22</v>
      </c>
      <c r="C998" s="3" t="s">
        <v>16</v>
      </c>
      <c r="D998" s="3" t="s">
        <v>26</v>
      </c>
      <c r="E998" s="3" t="s">
        <v>43</v>
      </c>
      <c r="F998" s="4">
        <v>44278</v>
      </c>
      <c r="G998" s="3" t="s">
        <v>3033</v>
      </c>
      <c r="H998" s="3" t="s">
        <v>3034</v>
      </c>
      <c r="I998" s="3" t="s">
        <v>30</v>
      </c>
      <c r="J998" s="5">
        <v>18831.832412669599</v>
      </c>
      <c r="K998" s="3">
        <v>426</v>
      </c>
      <c r="L998" s="3" t="s">
        <v>22</v>
      </c>
      <c r="M998" s="4">
        <v>44308</v>
      </c>
      <c r="N998" s="3" t="s">
        <v>52</v>
      </c>
      <c r="O998" s="3" t="s">
        <v>47</v>
      </c>
      <c r="P998" s="3" t="str">
        <f>IF(Table1[[#This Row],[Billing Amount]]&lt;5000,"Low",IF(Table1[[#This Row],[Billing Amount]]&lt;=15000,"Medium","High"))</f>
        <v>High</v>
      </c>
      <c r="Q998" s="3" t="str">
        <f>IF(Table1[[#This Row],[Discharge Date]]="Yes","Discharged","Under Treatment")</f>
        <v>Under Treatment</v>
      </c>
      <c r="R998" s="3" t="str">
        <f>IF(Table1[[#This Row],[Test Results]]&gt;120,"High Risk","Normal")</f>
        <v>High Risk</v>
      </c>
      <c r="S998" s="3" t="str">
        <f>IF(Table1[[#This Row],[Age]]&lt;=18,"0-18",IF(Table1[[#This Row],[Age]]&lt;=35,"19-35",IF(Table1[[#This Row],[Age]]&lt;=50,"36-50",IF(Table1[[#This Row],[Age]]&lt;=65,"51-65","65+"))))</f>
        <v>19-35</v>
      </c>
    </row>
    <row r="999" spans="1:19" x14ac:dyDescent="0.3">
      <c r="A999" s="3" t="s">
        <v>3035</v>
      </c>
      <c r="B999" s="3">
        <v>72</v>
      </c>
      <c r="C999" s="3" t="s">
        <v>35</v>
      </c>
      <c r="D999" s="3" t="s">
        <v>42</v>
      </c>
      <c r="E999" s="3" t="s">
        <v>43</v>
      </c>
      <c r="F999" s="4">
        <v>43617</v>
      </c>
      <c r="G999" s="3" t="s">
        <v>3036</v>
      </c>
      <c r="H999" s="3" t="s">
        <v>3037</v>
      </c>
      <c r="I999" s="3" t="s">
        <v>65</v>
      </c>
      <c r="J999" s="5">
        <v>6899.3949735717097</v>
      </c>
      <c r="K999" s="3">
        <v>328</v>
      </c>
      <c r="L999" s="3" t="s">
        <v>22</v>
      </c>
      <c r="M999" s="4">
        <v>43634</v>
      </c>
      <c r="N999" s="3" t="s">
        <v>23</v>
      </c>
      <c r="O999" s="3" t="s">
        <v>33</v>
      </c>
      <c r="P999" s="3" t="str">
        <f>IF(Table1[[#This Row],[Billing Amount]]&lt;5000,"Low",IF(Table1[[#This Row],[Billing Amount]]&lt;=15000,"Medium","High"))</f>
        <v>Medium</v>
      </c>
      <c r="Q999" s="3" t="str">
        <f>IF(Table1[[#This Row],[Discharge Date]]="Yes","Discharged","Under Treatment")</f>
        <v>Under Treatment</v>
      </c>
      <c r="R999" s="3" t="str">
        <f>IF(Table1[[#This Row],[Test Results]]&gt;120,"High Risk","Normal")</f>
        <v>High Risk</v>
      </c>
      <c r="S999" s="3" t="str">
        <f>IF(Table1[[#This Row],[Age]]&lt;=18,"0-18",IF(Table1[[#This Row],[Age]]&lt;=35,"19-35",IF(Table1[[#This Row],[Age]]&lt;=50,"36-50",IF(Table1[[#This Row],[Age]]&lt;=65,"51-65","65+"))))</f>
        <v>65+</v>
      </c>
    </row>
    <row r="1000" spans="1:19" x14ac:dyDescent="0.3">
      <c r="A1000" s="3" t="s">
        <v>3038</v>
      </c>
      <c r="B1000" s="3">
        <v>78</v>
      </c>
      <c r="C1000" s="3" t="s">
        <v>35</v>
      </c>
      <c r="D1000" s="3" t="s">
        <v>42</v>
      </c>
      <c r="E1000" s="3" t="s">
        <v>43</v>
      </c>
      <c r="F1000" s="4">
        <v>44819</v>
      </c>
      <c r="G1000" s="3" t="s">
        <v>3039</v>
      </c>
      <c r="H1000" s="3" t="s">
        <v>3040</v>
      </c>
      <c r="I1000" s="3" t="s">
        <v>30</v>
      </c>
      <c r="J1000" s="5">
        <v>28106.082097945698</v>
      </c>
      <c r="K1000" s="3">
        <v>287</v>
      </c>
      <c r="L1000" s="3" t="s">
        <v>31</v>
      </c>
      <c r="M1000" s="4">
        <v>44823</v>
      </c>
      <c r="N1000" s="3" t="s">
        <v>40</v>
      </c>
      <c r="O1000" s="3" t="s">
        <v>33</v>
      </c>
      <c r="P1000" s="3" t="str">
        <f>IF(Table1[[#This Row],[Billing Amount]]&lt;5000,"Low",IF(Table1[[#This Row],[Billing Amount]]&lt;=15000,"Medium","High"))</f>
        <v>High</v>
      </c>
      <c r="Q1000" s="3" t="str">
        <f>IF(Table1[[#This Row],[Discharge Date]]="Yes","Discharged","Under Treatment")</f>
        <v>Under Treatment</v>
      </c>
      <c r="R1000" s="3" t="str">
        <f>IF(Table1[[#This Row],[Test Results]]&gt;120,"High Risk","Normal")</f>
        <v>High Risk</v>
      </c>
      <c r="S1000" s="3" t="str">
        <f>IF(Table1[[#This Row],[Age]]&lt;=18,"0-18",IF(Table1[[#This Row],[Age]]&lt;=35,"19-35",IF(Table1[[#This Row],[Age]]&lt;=50,"36-50",IF(Table1[[#This Row],[Age]]&lt;=65,"51-65","65+"))))</f>
        <v>65+</v>
      </c>
    </row>
    <row r="1001" spans="1:19" x14ac:dyDescent="0.3">
      <c r="A1001" s="3" t="s">
        <v>3041</v>
      </c>
      <c r="B1001" s="3">
        <v>84</v>
      </c>
      <c r="C1001" s="3" t="s">
        <v>16</v>
      </c>
      <c r="D1001" s="3" t="s">
        <v>36</v>
      </c>
      <c r="E1001" s="3" t="s">
        <v>54</v>
      </c>
      <c r="F1001" s="4">
        <v>43673</v>
      </c>
      <c r="G1001" s="3" t="s">
        <v>3042</v>
      </c>
      <c r="H1001" s="3" t="s">
        <v>3043</v>
      </c>
      <c r="I1001" s="3" t="s">
        <v>57</v>
      </c>
      <c r="J1001" s="5">
        <v>11685.0360835928</v>
      </c>
      <c r="K1001" s="3">
        <v>373</v>
      </c>
      <c r="L1001" s="3" t="s">
        <v>46</v>
      </c>
      <c r="M1001" s="4">
        <v>43686</v>
      </c>
      <c r="N1001" s="3" t="s">
        <v>32</v>
      </c>
      <c r="O1001" s="3" t="s">
        <v>47</v>
      </c>
      <c r="P1001" s="3" t="str">
        <f>IF(Table1[[#This Row],[Billing Amount]]&lt;5000,"Low",IF(Table1[[#This Row],[Billing Amount]]&lt;=15000,"Medium","High"))</f>
        <v>Medium</v>
      </c>
      <c r="Q1001" s="3" t="str">
        <f>IF(Table1[[#This Row],[Discharge Date]]="Yes","Discharged","Under Treatment")</f>
        <v>Under Treatment</v>
      </c>
      <c r="R1001" s="3" t="str">
        <f>IF(Table1[[#This Row],[Test Results]]&gt;120,"High Risk","Normal")</f>
        <v>High Risk</v>
      </c>
      <c r="S1001" s="3" t="str">
        <f>IF(Table1[[#This Row],[Age]]&lt;=18,"0-18",IF(Table1[[#This Row],[Age]]&lt;=35,"19-35",IF(Table1[[#This Row],[Age]]&lt;=50,"36-50",IF(Table1[[#This Row],[Age]]&lt;=65,"51-65","65+"))))</f>
        <v>65+</v>
      </c>
    </row>
    <row r="1002" spans="1:19" x14ac:dyDescent="0.3">
      <c r="A1002" s="3" t="s">
        <v>3044</v>
      </c>
      <c r="B1002" s="3">
        <v>24</v>
      </c>
      <c r="C1002" s="3" t="s">
        <v>16</v>
      </c>
      <c r="D1002" s="3" t="s">
        <v>122</v>
      </c>
      <c r="E1002" s="3" t="s">
        <v>27</v>
      </c>
      <c r="F1002" s="4">
        <v>44377</v>
      </c>
      <c r="G1002" s="3" t="s">
        <v>3045</v>
      </c>
      <c r="H1002" s="3" t="s">
        <v>3046</v>
      </c>
      <c r="I1002" s="3" t="s">
        <v>57</v>
      </c>
      <c r="J1002" s="5">
        <v>6684.8964079201396</v>
      </c>
      <c r="K1002" s="3">
        <v>243</v>
      </c>
      <c r="L1002" s="3" t="s">
        <v>31</v>
      </c>
      <c r="M1002" s="4">
        <v>44378</v>
      </c>
      <c r="N1002" s="3" t="s">
        <v>79</v>
      </c>
      <c r="O1002" s="3" t="s">
        <v>33</v>
      </c>
      <c r="P1002" s="3" t="str">
        <f>IF(Table1[[#This Row],[Billing Amount]]&lt;5000,"Low",IF(Table1[[#This Row],[Billing Amount]]&lt;=15000,"Medium","High"))</f>
        <v>Medium</v>
      </c>
      <c r="Q1002" s="3" t="str">
        <f>IF(Table1[[#This Row],[Discharge Date]]="Yes","Discharged","Under Treatment")</f>
        <v>Under Treatment</v>
      </c>
      <c r="R1002" s="3" t="str">
        <f>IF(Table1[[#This Row],[Test Results]]&gt;120,"High Risk","Normal")</f>
        <v>High Risk</v>
      </c>
      <c r="S1002" s="3" t="str">
        <f>IF(Table1[[#This Row],[Age]]&lt;=18,"0-18",IF(Table1[[#This Row],[Age]]&lt;=35,"19-35",IF(Table1[[#This Row],[Age]]&lt;=50,"36-50",IF(Table1[[#This Row],[Age]]&lt;=65,"51-65","65+"))))</f>
        <v>19-35</v>
      </c>
    </row>
    <row r="1003" spans="1:19" x14ac:dyDescent="0.3">
      <c r="A1003" s="3" t="s">
        <v>3047</v>
      </c>
      <c r="B1003" s="3">
        <v>48</v>
      </c>
      <c r="C1003" s="3" t="s">
        <v>16</v>
      </c>
      <c r="D1003" s="3" t="s">
        <v>59</v>
      </c>
      <c r="E1003" s="3" t="s">
        <v>54</v>
      </c>
      <c r="F1003" s="4">
        <v>45404</v>
      </c>
      <c r="G1003" s="3" t="s">
        <v>3048</v>
      </c>
      <c r="H1003" s="3" t="s">
        <v>1931</v>
      </c>
      <c r="I1003" s="3" t="s">
        <v>21</v>
      </c>
      <c r="J1003" s="5">
        <v>42291.403875342199</v>
      </c>
      <c r="K1003" s="3">
        <v>295</v>
      </c>
      <c r="L1003" s="3" t="s">
        <v>31</v>
      </c>
      <c r="M1003" s="4">
        <v>45422</v>
      </c>
      <c r="N1003" s="3" t="s">
        <v>52</v>
      </c>
      <c r="O1003" s="3" t="s">
        <v>47</v>
      </c>
      <c r="P1003" s="3" t="str">
        <f>IF(Table1[[#This Row],[Billing Amount]]&lt;5000,"Low",IF(Table1[[#This Row],[Billing Amount]]&lt;=15000,"Medium","High"))</f>
        <v>High</v>
      </c>
      <c r="Q1003" s="3" t="str">
        <f>IF(Table1[[#This Row],[Discharge Date]]="Yes","Discharged","Under Treatment")</f>
        <v>Under Treatment</v>
      </c>
      <c r="R1003" s="3" t="str">
        <f>IF(Table1[[#This Row],[Test Results]]&gt;120,"High Risk","Normal")</f>
        <v>High Risk</v>
      </c>
      <c r="S1003" s="3" t="str">
        <f>IF(Table1[[#This Row],[Age]]&lt;=18,"0-18",IF(Table1[[#This Row],[Age]]&lt;=35,"19-35",IF(Table1[[#This Row],[Age]]&lt;=50,"36-50",IF(Table1[[#This Row],[Age]]&lt;=65,"51-65","65+"))))</f>
        <v>36-50</v>
      </c>
    </row>
    <row r="1004" spans="1:19" x14ac:dyDescent="0.3">
      <c r="A1004" s="3" t="s">
        <v>3049</v>
      </c>
      <c r="B1004" s="3">
        <v>48</v>
      </c>
      <c r="C1004" s="3" t="s">
        <v>35</v>
      </c>
      <c r="D1004" s="3" t="s">
        <v>42</v>
      </c>
      <c r="E1004" s="3" t="s">
        <v>93</v>
      </c>
      <c r="F1004" s="4">
        <v>44851</v>
      </c>
      <c r="G1004" s="3" t="s">
        <v>3050</v>
      </c>
      <c r="H1004" s="3" t="s">
        <v>3051</v>
      </c>
      <c r="I1004" s="3" t="s">
        <v>65</v>
      </c>
      <c r="J1004" s="5">
        <v>2268.45926101737</v>
      </c>
      <c r="K1004" s="3">
        <v>253</v>
      </c>
      <c r="L1004" s="3" t="s">
        <v>31</v>
      </c>
      <c r="M1004" s="4">
        <v>44871</v>
      </c>
      <c r="N1004" s="3" t="s">
        <v>52</v>
      </c>
      <c r="O1004" s="3" t="s">
        <v>24</v>
      </c>
      <c r="P1004" s="3" t="str">
        <f>IF(Table1[[#This Row],[Billing Amount]]&lt;5000,"Low",IF(Table1[[#This Row],[Billing Amount]]&lt;=15000,"Medium","High"))</f>
        <v>Low</v>
      </c>
      <c r="Q1004" s="3" t="str">
        <f>IF(Table1[[#This Row],[Discharge Date]]="Yes","Discharged","Under Treatment")</f>
        <v>Under Treatment</v>
      </c>
      <c r="R1004" s="3" t="str">
        <f>IF(Table1[[#This Row],[Test Results]]&gt;120,"High Risk","Normal")</f>
        <v>High Risk</v>
      </c>
      <c r="S1004" s="3" t="str">
        <f>IF(Table1[[#This Row],[Age]]&lt;=18,"0-18",IF(Table1[[#This Row],[Age]]&lt;=35,"19-35",IF(Table1[[#This Row],[Age]]&lt;=50,"36-50",IF(Table1[[#This Row],[Age]]&lt;=65,"51-65","65+"))))</f>
        <v>36-50</v>
      </c>
    </row>
    <row r="1005" spans="1:19" x14ac:dyDescent="0.3">
      <c r="A1005" s="3" t="s">
        <v>3052</v>
      </c>
      <c r="B1005" s="3">
        <v>81</v>
      </c>
      <c r="C1005" s="3" t="s">
        <v>35</v>
      </c>
      <c r="D1005" s="3" t="s">
        <v>49</v>
      </c>
      <c r="E1005" s="3" t="s">
        <v>93</v>
      </c>
      <c r="F1005" s="4">
        <v>44047</v>
      </c>
      <c r="G1005" s="3" t="s">
        <v>3053</v>
      </c>
      <c r="H1005" s="3" t="s">
        <v>3054</v>
      </c>
      <c r="I1005" s="3" t="s">
        <v>65</v>
      </c>
      <c r="J1005" s="5">
        <v>13276.7017658722</v>
      </c>
      <c r="K1005" s="3">
        <v>457</v>
      </c>
      <c r="L1005" s="3" t="s">
        <v>46</v>
      </c>
      <c r="M1005" s="4">
        <v>44054</v>
      </c>
      <c r="N1005" s="3" t="s">
        <v>79</v>
      </c>
      <c r="O1005" s="3" t="s">
        <v>24</v>
      </c>
      <c r="P1005" s="3" t="str">
        <f>IF(Table1[[#This Row],[Billing Amount]]&lt;5000,"Low",IF(Table1[[#This Row],[Billing Amount]]&lt;=15000,"Medium","High"))</f>
        <v>Medium</v>
      </c>
      <c r="Q1005" s="3" t="str">
        <f>IF(Table1[[#This Row],[Discharge Date]]="Yes","Discharged","Under Treatment")</f>
        <v>Under Treatment</v>
      </c>
      <c r="R1005" s="3" t="str">
        <f>IF(Table1[[#This Row],[Test Results]]&gt;120,"High Risk","Normal")</f>
        <v>High Risk</v>
      </c>
      <c r="S1005" s="3" t="str">
        <f>IF(Table1[[#This Row],[Age]]&lt;=18,"0-18",IF(Table1[[#This Row],[Age]]&lt;=35,"19-35",IF(Table1[[#This Row],[Age]]&lt;=50,"36-50",IF(Table1[[#This Row],[Age]]&lt;=65,"51-65","65+"))))</f>
        <v>65+</v>
      </c>
    </row>
    <row r="1006" spans="1:19" x14ac:dyDescent="0.3">
      <c r="A1006" s="3" t="s">
        <v>3055</v>
      </c>
      <c r="B1006" s="3">
        <v>83</v>
      </c>
      <c r="C1006" s="3" t="s">
        <v>16</v>
      </c>
      <c r="D1006" s="3" t="s">
        <v>42</v>
      </c>
      <c r="E1006" s="3" t="s">
        <v>43</v>
      </c>
      <c r="F1006" s="4">
        <v>44921</v>
      </c>
      <c r="G1006" s="3" t="s">
        <v>3056</v>
      </c>
      <c r="H1006" s="3" t="s">
        <v>3057</v>
      </c>
      <c r="I1006" s="3" t="s">
        <v>30</v>
      </c>
      <c r="J1006" s="5">
        <v>9690.5601049914294</v>
      </c>
      <c r="K1006" s="3">
        <v>388</v>
      </c>
      <c r="L1006" s="3" t="s">
        <v>46</v>
      </c>
      <c r="M1006" s="4">
        <v>44946</v>
      </c>
      <c r="N1006" s="3" t="s">
        <v>79</v>
      </c>
      <c r="O1006" s="3" t="s">
        <v>24</v>
      </c>
      <c r="P1006" s="3" t="str">
        <f>IF(Table1[[#This Row],[Billing Amount]]&lt;5000,"Low",IF(Table1[[#This Row],[Billing Amount]]&lt;=15000,"Medium","High"))</f>
        <v>Medium</v>
      </c>
      <c r="Q1006" s="3" t="str">
        <f>IF(Table1[[#This Row],[Discharge Date]]="Yes","Discharged","Under Treatment")</f>
        <v>Under Treatment</v>
      </c>
      <c r="R1006" s="3" t="str">
        <f>IF(Table1[[#This Row],[Test Results]]&gt;120,"High Risk","Normal")</f>
        <v>High Risk</v>
      </c>
      <c r="S1006" s="3" t="str">
        <f>IF(Table1[[#This Row],[Age]]&lt;=18,"0-18",IF(Table1[[#This Row],[Age]]&lt;=35,"19-35",IF(Table1[[#This Row],[Age]]&lt;=50,"36-50",IF(Table1[[#This Row],[Age]]&lt;=65,"51-65","65+"))))</f>
        <v>65+</v>
      </c>
    </row>
    <row r="1007" spans="1:19" x14ac:dyDescent="0.3">
      <c r="A1007" s="3" t="s">
        <v>3058</v>
      </c>
      <c r="B1007" s="3">
        <v>31</v>
      </c>
      <c r="C1007" s="3" t="s">
        <v>16</v>
      </c>
      <c r="D1007" s="3" t="s">
        <v>17</v>
      </c>
      <c r="E1007" s="3" t="s">
        <v>76</v>
      </c>
      <c r="F1007" s="4">
        <v>44529</v>
      </c>
      <c r="G1007" s="3" t="s">
        <v>3059</v>
      </c>
      <c r="H1007" s="3" t="s">
        <v>3060</v>
      </c>
      <c r="I1007" s="3" t="s">
        <v>57</v>
      </c>
      <c r="J1007" s="5">
        <v>1499.0470711502901</v>
      </c>
      <c r="K1007" s="3">
        <v>472</v>
      </c>
      <c r="L1007" s="3" t="s">
        <v>22</v>
      </c>
      <c r="M1007" s="4">
        <v>44557</v>
      </c>
      <c r="N1007" s="3" t="s">
        <v>32</v>
      </c>
      <c r="O1007" s="3" t="s">
        <v>33</v>
      </c>
      <c r="P1007" s="3" t="str">
        <f>IF(Table1[[#This Row],[Billing Amount]]&lt;5000,"Low",IF(Table1[[#This Row],[Billing Amount]]&lt;=15000,"Medium","High"))</f>
        <v>Low</v>
      </c>
      <c r="Q1007" s="3" t="str">
        <f>IF(Table1[[#This Row],[Discharge Date]]="Yes","Discharged","Under Treatment")</f>
        <v>Under Treatment</v>
      </c>
      <c r="R1007" s="3" t="str">
        <f>IF(Table1[[#This Row],[Test Results]]&gt;120,"High Risk","Normal")</f>
        <v>High Risk</v>
      </c>
      <c r="S1007" s="3" t="str">
        <f>IF(Table1[[#This Row],[Age]]&lt;=18,"0-18",IF(Table1[[#This Row],[Age]]&lt;=35,"19-35",IF(Table1[[#This Row],[Age]]&lt;=50,"36-50",IF(Table1[[#This Row],[Age]]&lt;=65,"51-65","65+"))))</f>
        <v>19-35</v>
      </c>
    </row>
    <row r="1008" spans="1:19" x14ac:dyDescent="0.3">
      <c r="A1008" s="3" t="s">
        <v>3061</v>
      </c>
      <c r="B1008" s="3">
        <v>47</v>
      </c>
      <c r="C1008" s="3" t="s">
        <v>35</v>
      </c>
      <c r="D1008" s="3" t="s">
        <v>17</v>
      </c>
      <c r="E1008" s="3" t="s">
        <v>18</v>
      </c>
      <c r="F1008" s="4">
        <v>44271</v>
      </c>
      <c r="G1008" s="3" t="s">
        <v>3062</v>
      </c>
      <c r="H1008" s="3" t="s">
        <v>3063</v>
      </c>
      <c r="I1008" s="3" t="s">
        <v>65</v>
      </c>
      <c r="J1008" s="5">
        <v>36569.665155923001</v>
      </c>
      <c r="K1008" s="3">
        <v>268</v>
      </c>
      <c r="L1008" s="3" t="s">
        <v>31</v>
      </c>
      <c r="M1008" s="4">
        <v>44295</v>
      </c>
      <c r="N1008" s="3" t="s">
        <v>79</v>
      </c>
      <c r="O1008" s="3" t="s">
        <v>47</v>
      </c>
      <c r="P1008" s="3" t="str">
        <f>IF(Table1[[#This Row],[Billing Amount]]&lt;5000,"Low",IF(Table1[[#This Row],[Billing Amount]]&lt;=15000,"Medium","High"))</f>
        <v>High</v>
      </c>
      <c r="Q1008" s="3" t="str">
        <f>IF(Table1[[#This Row],[Discharge Date]]="Yes","Discharged","Under Treatment")</f>
        <v>Under Treatment</v>
      </c>
      <c r="R1008" s="3" t="str">
        <f>IF(Table1[[#This Row],[Test Results]]&gt;120,"High Risk","Normal")</f>
        <v>High Risk</v>
      </c>
      <c r="S1008" s="3" t="str">
        <f>IF(Table1[[#This Row],[Age]]&lt;=18,"0-18",IF(Table1[[#This Row],[Age]]&lt;=35,"19-35",IF(Table1[[#This Row],[Age]]&lt;=50,"36-50",IF(Table1[[#This Row],[Age]]&lt;=65,"51-65","65+"))))</f>
        <v>36-50</v>
      </c>
    </row>
    <row r="1009" spans="1:19" x14ac:dyDescent="0.3">
      <c r="A1009" s="3" t="s">
        <v>3064</v>
      </c>
      <c r="B1009" s="3">
        <v>69</v>
      </c>
      <c r="C1009" s="3" t="s">
        <v>16</v>
      </c>
      <c r="D1009" s="3" t="s">
        <v>26</v>
      </c>
      <c r="E1009" s="3" t="s">
        <v>76</v>
      </c>
      <c r="F1009" s="4">
        <v>44971</v>
      </c>
      <c r="G1009" s="3" t="s">
        <v>3065</v>
      </c>
      <c r="H1009" s="3" t="s">
        <v>3066</v>
      </c>
      <c r="I1009" s="3" t="s">
        <v>30</v>
      </c>
      <c r="J1009" s="5">
        <v>34498.209390905096</v>
      </c>
      <c r="K1009" s="3">
        <v>354</v>
      </c>
      <c r="L1009" s="3" t="s">
        <v>46</v>
      </c>
      <c r="M1009" s="4">
        <v>44987</v>
      </c>
      <c r="N1009" s="3" t="s">
        <v>32</v>
      </c>
      <c r="O1009" s="3" t="s">
        <v>24</v>
      </c>
      <c r="P1009" s="3" t="str">
        <f>IF(Table1[[#This Row],[Billing Amount]]&lt;5000,"Low",IF(Table1[[#This Row],[Billing Amount]]&lt;=15000,"Medium","High"))</f>
        <v>High</v>
      </c>
      <c r="Q1009" s="3" t="str">
        <f>IF(Table1[[#This Row],[Discharge Date]]="Yes","Discharged","Under Treatment")</f>
        <v>Under Treatment</v>
      </c>
      <c r="R1009" s="3" t="str">
        <f>IF(Table1[[#This Row],[Test Results]]&gt;120,"High Risk","Normal")</f>
        <v>High Risk</v>
      </c>
      <c r="S1009" s="3" t="str">
        <f>IF(Table1[[#This Row],[Age]]&lt;=18,"0-18",IF(Table1[[#This Row],[Age]]&lt;=35,"19-35",IF(Table1[[#This Row],[Age]]&lt;=50,"36-50",IF(Table1[[#This Row],[Age]]&lt;=65,"51-65","65+"))))</f>
        <v>65+</v>
      </c>
    </row>
    <row r="1010" spans="1:19" x14ac:dyDescent="0.3">
      <c r="A1010" s="3" t="s">
        <v>3067</v>
      </c>
      <c r="B1010" s="3">
        <v>28</v>
      </c>
      <c r="C1010" s="3" t="s">
        <v>16</v>
      </c>
      <c r="D1010" s="3" t="s">
        <v>17</v>
      </c>
      <c r="E1010" s="3" t="s">
        <v>27</v>
      </c>
      <c r="F1010" s="4">
        <v>44712</v>
      </c>
      <c r="G1010" s="3" t="s">
        <v>3068</v>
      </c>
      <c r="H1010" s="3" t="s">
        <v>3069</v>
      </c>
      <c r="I1010" s="3" t="s">
        <v>30</v>
      </c>
      <c r="J1010" s="5">
        <v>1771.2905141824101</v>
      </c>
      <c r="K1010" s="3">
        <v>141</v>
      </c>
      <c r="L1010" s="3" t="s">
        <v>46</v>
      </c>
      <c r="M1010" s="4">
        <v>44736</v>
      </c>
      <c r="N1010" s="3" t="s">
        <v>79</v>
      </c>
      <c r="O1010" s="3" t="s">
        <v>47</v>
      </c>
      <c r="P1010" s="3" t="str">
        <f>IF(Table1[[#This Row],[Billing Amount]]&lt;5000,"Low",IF(Table1[[#This Row],[Billing Amount]]&lt;=15000,"Medium","High"))</f>
        <v>Low</v>
      </c>
      <c r="Q1010" s="3" t="str">
        <f>IF(Table1[[#This Row],[Discharge Date]]="Yes","Discharged","Under Treatment")</f>
        <v>Under Treatment</v>
      </c>
      <c r="R1010" s="3" t="str">
        <f>IF(Table1[[#This Row],[Test Results]]&gt;120,"High Risk","Normal")</f>
        <v>High Risk</v>
      </c>
      <c r="S1010" s="3" t="str">
        <f>IF(Table1[[#This Row],[Age]]&lt;=18,"0-18",IF(Table1[[#This Row],[Age]]&lt;=35,"19-35",IF(Table1[[#This Row],[Age]]&lt;=50,"36-50",IF(Table1[[#This Row],[Age]]&lt;=65,"51-65","65+"))))</f>
        <v>19-35</v>
      </c>
    </row>
    <row r="1011" spans="1:19" x14ac:dyDescent="0.3">
      <c r="A1011" s="3" t="s">
        <v>3070</v>
      </c>
      <c r="B1011" s="3">
        <v>74</v>
      </c>
      <c r="C1011" s="3" t="s">
        <v>16</v>
      </c>
      <c r="D1011" s="3" t="s">
        <v>49</v>
      </c>
      <c r="E1011" s="3" t="s">
        <v>18</v>
      </c>
      <c r="F1011" s="4">
        <v>44516</v>
      </c>
      <c r="G1011" s="3" t="s">
        <v>3071</v>
      </c>
      <c r="H1011" s="3" t="s">
        <v>3072</v>
      </c>
      <c r="I1011" s="3" t="s">
        <v>65</v>
      </c>
      <c r="J1011" s="5">
        <v>40809.509300901402</v>
      </c>
      <c r="K1011" s="3">
        <v>148</v>
      </c>
      <c r="L1011" s="3" t="s">
        <v>22</v>
      </c>
      <c r="M1011" s="4">
        <v>44521</v>
      </c>
      <c r="N1011" s="3" t="s">
        <v>79</v>
      </c>
      <c r="O1011" s="3" t="s">
        <v>47</v>
      </c>
      <c r="P1011" s="3" t="str">
        <f>IF(Table1[[#This Row],[Billing Amount]]&lt;5000,"Low",IF(Table1[[#This Row],[Billing Amount]]&lt;=15000,"Medium","High"))</f>
        <v>High</v>
      </c>
      <c r="Q1011" s="3" t="str">
        <f>IF(Table1[[#This Row],[Discharge Date]]="Yes","Discharged","Under Treatment")</f>
        <v>Under Treatment</v>
      </c>
      <c r="R1011" s="3" t="str">
        <f>IF(Table1[[#This Row],[Test Results]]&gt;120,"High Risk","Normal")</f>
        <v>High Risk</v>
      </c>
      <c r="S1011" s="3" t="str">
        <f>IF(Table1[[#This Row],[Age]]&lt;=18,"0-18",IF(Table1[[#This Row],[Age]]&lt;=35,"19-35",IF(Table1[[#This Row],[Age]]&lt;=50,"36-50",IF(Table1[[#This Row],[Age]]&lt;=65,"51-65","65+"))))</f>
        <v>65+</v>
      </c>
    </row>
    <row r="1012" spans="1:19" x14ac:dyDescent="0.3">
      <c r="A1012" s="3" t="s">
        <v>3073</v>
      </c>
      <c r="B1012" s="3">
        <v>64</v>
      </c>
      <c r="C1012" s="3" t="s">
        <v>35</v>
      </c>
      <c r="D1012" s="3" t="s">
        <v>59</v>
      </c>
      <c r="E1012" s="3" t="s">
        <v>76</v>
      </c>
      <c r="F1012" s="4">
        <v>44860</v>
      </c>
      <c r="G1012" s="3" t="s">
        <v>3074</v>
      </c>
      <c r="H1012" s="3" t="s">
        <v>3075</v>
      </c>
      <c r="I1012" s="3" t="s">
        <v>30</v>
      </c>
      <c r="J1012" s="5">
        <v>36836.353404140202</v>
      </c>
      <c r="K1012" s="3">
        <v>130</v>
      </c>
      <c r="L1012" s="3" t="s">
        <v>31</v>
      </c>
      <c r="M1012" s="4">
        <v>44881</v>
      </c>
      <c r="N1012" s="3" t="s">
        <v>79</v>
      </c>
      <c r="O1012" s="3" t="s">
        <v>33</v>
      </c>
      <c r="P1012" s="3" t="str">
        <f>IF(Table1[[#This Row],[Billing Amount]]&lt;5000,"Low",IF(Table1[[#This Row],[Billing Amount]]&lt;=15000,"Medium","High"))</f>
        <v>High</v>
      </c>
      <c r="Q1012" s="3" t="str">
        <f>IF(Table1[[#This Row],[Discharge Date]]="Yes","Discharged","Under Treatment")</f>
        <v>Under Treatment</v>
      </c>
      <c r="R1012" s="3" t="str">
        <f>IF(Table1[[#This Row],[Test Results]]&gt;120,"High Risk","Normal")</f>
        <v>High Risk</v>
      </c>
      <c r="S1012" s="3" t="str">
        <f>IF(Table1[[#This Row],[Age]]&lt;=18,"0-18",IF(Table1[[#This Row],[Age]]&lt;=35,"19-35",IF(Table1[[#This Row],[Age]]&lt;=50,"36-50",IF(Table1[[#This Row],[Age]]&lt;=65,"51-65","65+"))))</f>
        <v>51-65</v>
      </c>
    </row>
    <row r="1013" spans="1:19" x14ac:dyDescent="0.3">
      <c r="A1013" s="3" t="s">
        <v>3076</v>
      </c>
      <c r="B1013" s="3">
        <v>56</v>
      </c>
      <c r="C1013" s="3" t="s">
        <v>16</v>
      </c>
      <c r="D1013" s="3" t="s">
        <v>59</v>
      </c>
      <c r="E1013" s="3" t="s">
        <v>27</v>
      </c>
      <c r="F1013" s="4">
        <v>44134</v>
      </c>
      <c r="G1013" s="3" t="s">
        <v>3077</v>
      </c>
      <c r="H1013" s="3" t="s">
        <v>3078</v>
      </c>
      <c r="I1013" s="3" t="s">
        <v>39</v>
      </c>
      <c r="J1013" s="5">
        <v>45321.373457977497</v>
      </c>
      <c r="K1013" s="3">
        <v>254</v>
      </c>
      <c r="L1013" s="3" t="s">
        <v>22</v>
      </c>
      <c r="M1013" s="4">
        <v>44163</v>
      </c>
      <c r="N1013" s="3" t="s">
        <v>32</v>
      </c>
      <c r="O1013" s="3" t="s">
        <v>47</v>
      </c>
      <c r="P1013" s="3" t="str">
        <f>IF(Table1[[#This Row],[Billing Amount]]&lt;5000,"Low",IF(Table1[[#This Row],[Billing Amount]]&lt;=15000,"Medium","High"))</f>
        <v>High</v>
      </c>
      <c r="Q1013" s="3" t="str">
        <f>IF(Table1[[#This Row],[Discharge Date]]="Yes","Discharged","Under Treatment")</f>
        <v>Under Treatment</v>
      </c>
      <c r="R1013" s="3" t="str">
        <f>IF(Table1[[#This Row],[Test Results]]&gt;120,"High Risk","Normal")</f>
        <v>High Risk</v>
      </c>
      <c r="S1013" s="3" t="str">
        <f>IF(Table1[[#This Row],[Age]]&lt;=18,"0-18",IF(Table1[[#This Row],[Age]]&lt;=35,"19-35",IF(Table1[[#This Row],[Age]]&lt;=50,"36-50",IF(Table1[[#This Row],[Age]]&lt;=65,"51-65","65+"))))</f>
        <v>51-65</v>
      </c>
    </row>
    <row r="1014" spans="1:19" x14ac:dyDescent="0.3">
      <c r="A1014" s="3" t="s">
        <v>3079</v>
      </c>
      <c r="B1014" s="3">
        <v>59</v>
      </c>
      <c r="C1014" s="3" t="s">
        <v>35</v>
      </c>
      <c r="D1014" s="3" t="s">
        <v>49</v>
      </c>
      <c r="E1014" s="3" t="s">
        <v>27</v>
      </c>
      <c r="F1014" s="4">
        <v>45049</v>
      </c>
      <c r="G1014" s="3" t="s">
        <v>3080</v>
      </c>
      <c r="H1014" s="3" t="s">
        <v>3081</v>
      </c>
      <c r="I1014" s="3" t="s">
        <v>57</v>
      </c>
      <c r="J1014" s="5">
        <v>43545.519779661503</v>
      </c>
      <c r="K1014" s="3">
        <v>299</v>
      </c>
      <c r="L1014" s="3" t="s">
        <v>31</v>
      </c>
      <c r="M1014" s="4">
        <v>45051</v>
      </c>
      <c r="N1014" s="3" t="s">
        <v>40</v>
      </c>
      <c r="O1014" s="3" t="s">
        <v>33</v>
      </c>
      <c r="P1014" s="3" t="str">
        <f>IF(Table1[[#This Row],[Billing Amount]]&lt;5000,"Low",IF(Table1[[#This Row],[Billing Amount]]&lt;=15000,"Medium","High"))</f>
        <v>High</v>
      </c>
      <c r="Q1014" s="3" t="str">
        <f>IF(Table1[[#This Row],[Discharge Date]]="Yes","Discharged","Under Treatment")</f>
        <v>Under Treatment</v>
      </c>
      <c r="R1014" s="3" t="str">
        <f>IF(Table1[[#This Row],[Test Results]]&gt;120,"High Risk","Normal")</f>
        <v>High Risk</v>
      </c>
      <c r="S1014" s="3" t="str">
        <f>IF(Table1[[#This Row],[Age]]&lt;=18,"0-18",IF(Table1[[#This Row],[Age]]&lt;=35,"19-35",IF(Table1[[#This Row],[Age]]&lt;=50,"36-50",IF(Table1[[#This Row],[Age]]&lt;=65,"51-65","65+"))))</f>
        <v>51-65</v>
      </c>
    </row>
    <row r="1015" spans="1:19" x14ac:dyDescent="0.3">
      <c r="A1015" s="3" t="s">
        <v>3082</v>
      </c>
      <c r="B1015" s="3">
        <v>26</v>
      </c>
      <c r="C1015" s="3" t="s">
        <v>16</v>
      </c>
      <c r="D1015" s="3" t="s">
        <v>17</v>
      </c>
      <c r="E1015" s="3" t="s">
        <v>27</v>
      </c>
      <c r="F1015" s="4">
        <v>44183</v>
      </c>
      <c r="G1015" s="3" t="s">
        <v>3083</v>
      </c>
      <c r="H1015" s="3" t="s">
        <v>3084</v>
      </c>
      <c r="I1015" s="3" t="s">
        <v>30</v>
      </c>
      <c r="J1015" s="5">
        <v>39979.243892267099</v>
      </c>
      <c r="K1015" s="3">
        <v>217</v>
      </c>
      <c r="L1015" s="3" t="s">
        <v>22</v>
      </c>
      <c r="M1015" s="4">
        <v>44205</v>
      </c>
      <c r="N1015" s="3" t="s">
        <v>32</v>
      </c>
      <c r="O1015" s="3" t="s">
        <v>47</v>
      </c>
      <c r="P1015" s="3" t="str">
        <f>IF(Table1[[#This Row],[Billing Amount]]&lt;5000,"Low",IF(Table1[[#This Row],[Billing Amount]]&lt;=15000,"Medium","High"))</f>
        <v>High</v>
      </c>
      <c r="Q1015" s="3" t="str">
        <f>IF(Table1[[#This Row],[Discharge Date]]="Yes","Discharged","Under Treatment")</f>
        <v>Under Treatment</v>
      </c>
      <c r="R1015" s="3" t="str">
        <f>IF(Table1[[#This Row],[Test Results]]&gt;120,"High Risk","Normal")</f>
        <v>High Risk</v>
      </c>
      <c r="S1015" s="3" t="str">
        <f>IF(Table1[[#This Row],[Age]]&lt;=18,"0-18",IF(Table1[[#This Row],[Age]]&lt;=35,"19-35",IF(Table1[[#This Row],[Age]]&lt;=50,"36-50",IF(Table1[[#This Row],[Age]]&lt;=65,"51-65","65+"))))</f>
        <v>19-35</v>
      </c>
    </row>
    <row r="1016" spans="1:19" x14ac:dyDescent="0.3">
      <c r="A1016" s="3" t="s">
        <v>3085</v>
      </c>
      <c r="B1016" s="3">
        <v>68</v>
      </c>
      <c r="C1016" s="3" t="s">
        <v>16</v>
      </c>
      <c r="D1016" s="3" t="s">
        <v>122</v>
      </c>
      <c r="E1016" s="3" t="s">
        <v>18</v>
      </c>
      <c r="F1016" s="4">
        <v>45356</v>
      </c>
      <c r="G1016" s="3" t="s">
        <v>3086</v>
      </c>
      <c r="H1016" s="3" t="s">
        <v>3087</v>
      </c>
      <c r="I1016" s="3" t="s">
        <v>21</v>
      </c>
      <c r="J1016" s="5">
        <v>20909.853329325499</v>
      </c>
      <c r="K1016" s="3">
        <v>386</v>
      </c>
      <c r="L1016" s="3" t="s">
        <v>31</v>
      </c>
      <c r="M1016" s="4">
        <v>45386</v>
      </c>
      <c r="N1016" s="3" t="s">
        <v>23</v>
      </c>
      <c r="O1016" s="3" t="s">
        <v>33</v>
      </c>
      <c r="P1016" s="3" t="str">
        <f>IF(Table1[[#This Row],[Billing Amount]]&lt;5000,"Low",IF(Table1[[#This Row],[Billing Amount]]&lt;=15000,"Medium","High"))</f>
        <v>High</v>
      </c>
      <c r="Q1016" s="3" t="str">
        <f>IF(Table1[[#This Row],[Discharge Date]]="Yes","Discharged","Under Treatment")</f>
        <v>Under Treatment</v>
      </c>
      <c r="R1016" s="3" t="str">
        <f>IF(Table1[[#This Row],[Test Results]]&gt;120,"High Risk","Normal")</f>
        <v>High Risk</v>
      </c>
      <c r="S1016" s="3" t="str">
        <f>IF(Table1[[#This Row],[Age]]&lt;=18,"0-18",IF(Table1[[#This Row],[Age]]&lt;=35,"19-35",IF(Table1[[#This Row],[Age]]&lt;=50,"36-50",IF(Table1[[#This Row],[Age]]&lt;=65,"51-65","65+"))))</f>
        <v>65+</v>
      </c>
    </row>
    <row r="1017" spans="1:19" x14ac:dyDescent="0.3">
      <c r="A1017" s="3" t="s">
        <v>3088</v>
      </c>
      <c r="B1017" s="3">
        <v>54</v>
      </c>
      <c r="C1017" s="3" t="s">
        <v>35</v>
      </c>
      <c r="D1017" s="3" t="s">
        <v>59</v>
      </c>
      <c r="E1017" s="3" t="s">
        <v>76</v>
      </c>
      <c r="F1017" s="4">
        <v>44540</v>
      </c>
      <c r="G1017" s="3" t="s">
        <v>3089</v>
      </c>
      <c r="H1017" s="3" t="s">
        <v>3090</v>
      </c>
      <c r="I1017" s="3" t="s">
        <v>39</v>
      </c>
      <c r="J1017" s="5">
        <v>20964.488531360199</v>
      </c>
      <c r="K1017" s="3">
        <v>188</v>
      </c>
      <c r="L1017" s="3" t="s">
        <v>31</v>
      </c>
      <c r="M1017" s="4">
        <v>44542</v>
      </c>
      <c r="N1017" s="3" t="s">
        <v>40</v>
      </c>
      <c r="O1017" s="3" t="s">
        <v>47</v>
      </c>
      <c r="P1017" s="3" t="str">
        <f>IF(Table1[[#This Row],[Billing Amount]]&lt;5000,"Low",IF(Table1[[#This Row],[Billing Amount]]&lt;=15000,"Medium","High"))</f>
        <v>High</v>
      </c>
      <c r="Q1017" s="3" t="str">
        <f>IF(Table1[[#This Row],[Discharge Date]]="Yes","Discharged","Under Treatment")</f>
        <v>Under Treatment</v>
      </c>
      <c r="R1017" s="3" t="str">
        <f>IF(Table1[[#This Row],[Test Results]]&gt;120,"High Risk","Normal")</f>
        <v>High Risk</v>
      </c>
      <c r="S1017" s="3" t="str">
        <f>IF(Table1[[#This Row],[Age]]&lt;=18,"0-18",IF(Table1[[#This Row],[Age]]&lt;=35,"19-35",IF(Table1[[#This Row],[Age]]&lt;=50,"36-50",IF(Table1[[#This Row],[Age]]&lt;=65,"51-65","65+"))))</f>
        <v>51-65</v>
      </c>
    </row>
    <row r="1018" spans="1:19" x14ac:dyDescent="0.3">
      <c r="A1018" s="3" t="s">
        <v>3091</v>
      </c>
      <c r="B1018" s="3">
        <v>28</v>
      </c>
      <c r="C1018" s="3" t="s">
        <v>35</v>
      </c>
      <c r="D1018" s="3" t="s">
        <v>122</v>
      </c>
      <c r="E1018" s="3" t="s">
        <v>43</v>
      </c>
      <c r="F1018" s="4">
        <v>43659</v>
      </c>
      <c r="G1018" s="3" t="s">
        <v>3092</v>
      </c>
      <c r="H1018" s="3" t="s">
        <v>3093</v>
      </c>
      <c r="I1018" s="3" t="s">
        <v>65</v>
      </c>
      <c r="J1018" s="5">
        <v>48775.045688281403</v>
      </c>
      <c r="K1018" s="3">
        <v>117</v>
      </c>
      <c r="L1018" s="3" t="s">
        <v>31</v>
      </c>
      <c r="M1018" s="4">
        <v>43679</v>
      </c>
      <c r="N1018" s="3" t="s">
        <v>79</v>
      </c>
      <c r="O1018" s="3" t="s">
        <v>33</v>
      </c>
      <c r="P1018" s="3" t="str">
        <f>IF(Table1[[#This Row],[Billing Amount]]&lt;5000,"Low",IF(Table1[[#This Row],[Billing Amount]]&lt;=15000,"Medium","High"))</f>
        <v>High</v>
      </c>
      <c r="Q1018" s="3" t="str">
        <f>IF(Table1[[#This Row],[Discharge Date]]="Yes","Discharged","Under Treatment")</f>
        <v>Under Treatment</v>
      </c>
      <c r="R1018" s="3" t="str">
        <f>IF(Table1[[#This Row],[Test Results]]&gt;120,"High Risk","Normal")</f>
        <v>High Risk</v>
      </c>
      <c r="S1018" s="3" t="str">
        <f>IF(Table1[[#This Row],[Age]]&lt;=18,"0-18",IF(Table1[[#This Row],[Age]]&lt;=35,"19-35",IF(Table1[[#This Row],[Age]]&lt;=50,"36-50",IF(Table1[[#This Row],[Age]]&lt;=65,"51-65","65+"))))</f>
        <v>19-35</v>
      </c>
    </row>
    <row r="1019" spans="1:19" x14ac:dyDescent="0.3">
      <c r="A1019" s="3" t="s">
        <v>3094</v>
      </c>
      <c r="B1019" s="3">
        <v>79</v>
      </c>
      <c r="C1019" s="3" t="s">
        <v>16</v>
      </c>
      <c r="D1019" s="3" t="s">
        <v>42</v>
      </c>
      <c r="E1019" s="3" t="s">
        <v>43</v>
      </c>
      <c r="F1019" s="4">
        <v>44624</v>
      </c>
      <c r="G1019" s="3" t="s">
        <v>3095</v>
      </c>
      <c r="H1019" s="3" t="s">
        <v>3096</v>
      </c>
      <c r="I1019" s="3" t="s">
        <v>57</v>
      </c>
      <c r="J1019" s="5">
        <v>47964.498310335199</v>
      </c>
      <c r="K1019" s="3">
        <v>208</v>
      </c>
      <c r="L1019" s="3" t="s">
        <v>46</v>
      </c>
      <c r="M1019" s="4">
        <v>44644</v>
      </c>
      <c r="N1019" s="3" t="s">
        <v>32</v>
      </c>
      <c r="O1019" s="3" t="s">
        <v>47</v>
      </c>
      <c r="P1019" s="3" t="str">
        <f>IF(Table1[[#This Row],[Billing Amount]]&lt;5000,"Low",IF(Table1[[#This Row],[Billing Amount]]&lt;=15000,"Medium","High"))</f>
        <v>High</v>
      </c>
      <c r="Q1019" s="3" t="str">
        <f>IF(Table1[[#This Row],[Discharge Date]]="Yes","Discharged","Under Treatment")</f>
        <v>Under Treatment</v>
      </c>
      <c r="R1019" s="3" t="str">
        <f>IF(Table1[[#This Row],[Test Results]]&gt;120,"High Risk","Normal")</f>
        <v>High Risk</v>
      </c>
      <c r="S1019" s="3" t="str">
        <f>IF(Table1[[#This Row],[Age]]&lt;=18,"0-18",IF(Table1[[#This Row],[Age]]&lt;=35,"19-35",IF(Table1[[#This Row],[Age]]&lt;=50,"36-50",IF(Table1[[#This Row],[Age]]&lt;=65,"51-65","65+"))))</f>
        <v>65+</v>
      </c>
    </row>
    <row r="1020" spans="1:19" x14ac:dyDescent="0.3">
      <c r="A1020" s="3" t="s">
        <v>3097</v>
      </c>
      <c r="B1020" s="3">
        <v>33</v>
      </c>
      <c r="C1020" s="3" t="s">
        <v>16</v>
      </c>
      <c r="D1020" s="3" t="s">
        <v>36</v>
      </c>
      <c r="E1020" s="3" t="s">
        <v>76</v>
      </c>
      <c r="F1020" s="4">
        <v>43986</v>
      </c>
      <c r="G1020" s="3" t="s">
        <v>3098</v>
      </c>
      <c r="H1020" s="3" t="s">
        <v>3099</v>
      </c>
      <c r="I1020" s="3" t="s">
        <v>21</v>
      </c>
      <c r="J1020" s="5">
        <v>31820.015268554002</v>
      </c>
      <c r="K1020" s="3">
        <v>316</v>
      </c>
      <c r="L1020" s="3" t="s">
        <v>46</v>
      </c>
      <c r="M1020" s="4">
        <v>43996</v>
      </c>
      <c r="N1020" s="3" t="s">
        <v>79</v>
      </c>
      <c r="O1020" s="3" t="s">
        <v>47</v>
      </c>
      <c r="P1020" s="3" t="str">
        <f>IF(Table1[[#This Row],[Billing Amount]]&lt;5000,"Low",IF(Table1[[#This Row],[Billing Amount]]&lt;=15000,"Medium","High"))</f>
        <v>High</v>
      </c>
      <c r="Q1020" s="3" t="str">
        <f>IF(Table1[[#This Row],[Discharge Date]]="Yes","Discharged","Under Treatment")</f>
        <v>Under Treatment</v>
      </c>
      <c r="R1020" s="3" t="str">
        <f>IF(Table1[[#This Row],[Test Results]]&gt;120,"High Risk","Normal")</f>
        <v>High Risk</v>
      </c>
      <c r="S1020" s="3" t="str">
        <f>IF(Table1[[#This Row],[Age]]&lt;=18,"0-18",IF(Table1[[#This Row],[Age]]&lt;=35,"19-35",IF(Table1[[#This Row],[Age]]&lt;=50,"36-50",IF(Table1[[#This Row],[Age]]&lt;=65,"51-65","65+"))))</f>
        <v>19-35</v>
      </c>
    </row>
    <row r="1021" spans="1:19" x14ac:dyDescent="0.3">
      <c r="A1021" s="3" t="s">
        <v>3100</v>
      </c>
      <c r="B1021" s="3">
        <v>68</v>
      </c>
      <c r="C1021" s="3" t="s">
        <v>16</v>
      </c>
      <c r="D1021" s="3" t="s">
        <v>122</v>
      </c>
      <c r="E1021" s="3" t="s">
        <v>18</v>
      </c>
      <c r="F1021" s="4">
        <v>43759</v>
      </c>
      <c r="G1021" s="3" t="s">
        <v>3101</v>
      </c>
      <c r="H1021" s="3" t="s">
        <v>3102</v>
      </c>
      <c r="I1021" s="3" t="s">
        <v>39</v>
      </c>
      <c r="J1021" s="5">
        <v>29063.266189039099</v>
      </c>
      <c r="K1021" s="3">
        <v>175</v>
      </c>
      <c r="L1021" s="3" t="s">
        <v>22</v>
      </c>
      <c r="M1021" s="4">
        <v>43769</v>
      </c>
      <c r="N1021" s="3" t="s">
        <v>32</v>
      </c>
      <c r="O1021" s="3" t="s">
        <v>33</v>
      </c>
      <c r="P1021" s="3" t="str">
        <f>IF(Table1[[#This Row],[Billing Amount]]&lt;5000,"Low",IF(Table1[[#This Row],[Billing Amount]]&lt;=15000,"Medium","High"))</f>
        <v>High</v>
      </c>
      <c r="Q1021" s="3" t="str">
        <f>IF(Table1[[#This Row],[Discharge Date]]="Yes","Discharged","Under Treatment")</f>
        <v>Under Treatment</v>
      </c>
      <c r="R1021" s="3" t="str">
        <f>IF(Table1[[#This Row],[Test Results]]&gt;120,"High Risk","Normal")</f>
        <v>High Risk</v>
      </c>
      <c r="S1021" s="3" t="str">
        <f>IF(Table1[[#This Row],[Age]]&lt;=18,"0-18",IF(Table1[[#This Row],[Age]]&lt;=35,"19-35",IF(Table1[[#This Row],[Age]]&lt;=50,"36-50",IF(Table1[[#This Row],[Age]]&lt;=65,"51-65","65+"))))</f>
        <v>65+</v>
      </c>
    </row>
    <row r="1022" spans="1:19" x14ac:dyDescent="0.3">
      <c r="A1022" s="3" t="s">
        <v>3103</v>
      </c>
      <c r="B1022" s="3">
        <v>31</v>
      </c>
      <c r="C1022" s="3" t="s">
        <v>16</v>
      </c>
      <c r="D1022" s="3" t="s">
        <v>26</v>
      </c>
      <c r="E1022" s="3" t="s">
        <v>18</v>
      </c>
      <c r="F1022" s="4">
        <v>44351</v>
      </c>
      <c r="G1022" s="3" t="s">
        <v>3104</v>
      </c>
      <c r="H1022" s="3" t="s">
        <v>3105</v>
      </c>
      <c r="I1022" s="3" t="s">
        <v>21</v>
      </c>
      <c r="J1022" s="5">
        <v>18515.737926567901</v>
      </c>
      <c r="K1022" s="3">
        <v>243</v>
      </c>
      <c r="L1022" s="3" t="s">
        <v>31</v>
      </c>
      <c r="M1022" s="4">
        <v>44371</v>
      </c>
      <c r="N1022" s="3" t="s">
        <v>32</v>
      </c>
      <c r="O1022" s="3" t="s">
        <v>47</v>
      </c>
      <c r="P1022" s="3" t="str">
        <f>IF(Table1[[#This Row],[Billing Amount]]&lt;5000,"Low",IF(Table1[[#This Row],[Billing Amount]]&lt;=15000,"Medium","High"))</f>
        <v>High</v>
      </c>
      <c r="Q1022" s="3" t="str">
        <f>IF(Table1[[#This Row],[Discharge Date]]="Yes","Discharged","Under Treatment")</f>
        <v>Under Treatment</v>
      </c>
      <c r="R1022" s="3" t="str">
        <f>IF(Table1[[#This Row],[Test Results]]&gt;120,"High Risk","Normal")</f>
        <v>High Risk</v>
      </c>
      <c r="S1022" s="3" t="str">
        <f>IF(Table1[[#This Row],[Age]]&lt;=18,"0-18",IF(Table1[[#This Row],[Age]]&lt;=35,"19-35",IF(Table1[[#This Row],[Age]]&lt;=50,"36-50",IF(Table1[[#This Row],[Age]]&lt;=65,"51-65","65+"))))</f>
        <v>19-35</v>
      </c>
    </row>
    <row r="1023" spans="1:19" x14ac:dyDescent="0.3">
      <c r="A1023" s="3" t="s">
        <v>3106</v>
      </c>
      <c r="B1023" s="3">
        <v>44</v>
      </c>
      <c r="C1023" s="3" t="s">
        <v>16</v>
      </c>
      <c r="D1023" s="3" t="s">
        <v>122</v>
      </c>
      <c r="E1023" s="3" t="s">
        <v>43</v>
      </c>
      <c r="F1023" s="4">
        <v>44165</v>
      </c>
      <c r="G1023" s="3" t="s">
        <v>3107</v>
      </c>
      <c r="H1023" s="3" t="s">
        <v>3108</v>
      </c>
      <c r="I1023" s="3" t="s">
        <v>65</v>
      </c>
      <c r="J1023" s="5">
        <v>39445.070257936</v>
      </c>
      <c r="K1023" s="3">
        <v>163</v>
      </c>
      <c r="L1023" s="3" t="s">
        <v>46</v>
      </c>
      <c r="M1023" s="4">
        <v>44173</v>
      </c>
      <c r="N1023" s="3" t="s">
        <v>52</v>
      </c>
      <c r="O1023" s="3" t="s">
        <v>24</v>
      </c>
      <c r="P1023" s="3" t="str">
        <f>IF(Table1[[#This Row],[Billing Amount]]&lt;5000,"Low",IF(Table1[[#This Row],[Billing Amount]]&lt;=15000,"Medium","High"))</f>
        <v>High</v>
      </c>
      <c r="Q1023" s="3" t="str">
        <f>IF(Table1[[#This Row],[Discharge Date]]="Yes","Discharged","Under Treatment")</f>
        <v>Under Treatment</v>
      </c>
      <c r="R1023" s="3" t="str">
        <f>IF(Table1[[#This Row],[Test Results]]&gt;120,"High Risk","Normal")</f>
        <v>High Risk</v>
      </c>
      <c r="S1023" s="3" t="str">
        <f>IF(Table1[[#This Row],[Age]]&lt;=18,"0-18",IF(Table1[[#This Row],[Age]]&lt;=35,"19-35",IF(Table1[[#This Row],[Age]]&lt;=50,"36-50",IF(Table1[[#This Row],[Age]]&lt;=65,"51-65","65+"))))</f>
        <v>36-50</v>
      </c>
    </row>
    <row r="1024" spans="1:19" x14ac:dyDescent="0.3">
      <c r="A1024" s="3" t="s">
        <v>3109</v>
      </c>
      <c r="B1024" s="3">
        <v>56</v>
      </c>
      <c r="C1024" s="3" t="s">
        <v>35</v>
      </c>
      <c r="D1024" s="3" t="s">
        <v>26</v>
      </c>
      <c r="E1024" s="3" t="s">
        <v>27</v>
      </c>
      <c r="F1024" s="4">
        <v>45207</v>
      </c>
      <c r="G1024" s="3" t="s">
        <v>3110</v>
      </c>
      <c r="H1024" s="3" t="s">
        <v>3111</v>
      </c>
      <c r="I1024" s="3" t="s">
        <v>21</v>
      </c>
      <c r="J1024" s="5">
        <v>4754.2258796020697</v>
      </c>
      <c r="K1024" s="3">
        <v>168</v>
      </c>
      <c r="L1024" s="3" t="s">
        <v>31</v>
      </c>
      <c r="M1024" s="4">
        <v>45217</v>
      </c>
      <c r="N1024" s="3" t="s">
        <v>32</v>
      </c>
      <c r="O1024" s="3" t="s">
        <v>33</v>
      </c>
      <c r="P1024" s="3" t="str">
        <f>IF(Table1[[#This Row],[Billing Amount]]&lt;5000,"Low",IF(Table1[[#This Row],[Billing Amount]]&lt;=15000,"Medium","High"))</f>
        <v>Low</v>
      </c>
      <c r="Q1024" s="3" t="str">
        <f>IF(Table1[[#This Row],[Discharge Date]]="Yes","Discharged","Under Treatment")</f>
        <v>Under Treatment</v>
      </c>
      <c r="R1024" s="3" t="str">
        <f>IF(Table1[[#This Row],[Test Results]]&gt;120,"High Risk","Normal")</f>
        <v>High Risk</v>
      </c>
      <c r="S1024" s="3" t="str">
        <f>IF(Table1[[#This Row],[Age]]&lt;=18,"0-18",IF(Table1[[#This Row],[Age]]&lt;=35,"19-35",IF(Table1[[#This Row],[Age]]&lt;=50,"36-50",IF(Table1[[#This Row],[Age]]&lt;=65,"51-65","65+"))))</f>
        <v>51-65</v>
      </c>
    </row>
    <row r="1025" spans="1:19" x14ac:dyDescent="0.3">
      <c r="A1025" s="3" t="s">
        <v>3112</v>
      </c>
      <c r="B1025" s="3">
        <v>81</v>
      </c>
      <c r="C1025" s="3" t="s">
        <v>35</v>
      </c>
      <c r="D1025" s="3" t="s">
        <v>36</v>
      </c>
      <c r="E1025" s="3" t="s">
        <v>54</v>
      </c>
      <c r="F1025" s="4">
        <v>44761</v>
      </c>
      <c r="G1025" s="3" t="s">
        <v>3113</v>
      </c>
      <c r="H1025" s="3" t="s">
        <v>3114</v>
      </c>
      <c r="I1025" s="3" t="s">
        <v>57</v>
      </c>
      <c r="J1025" s="5">
        <v>18448.539671468101</v>
      </c>
      <c r="K1025" s="3">
        <v>191</v>
      </c>
      <c r="L1025" s="3" t="s">
        <v>46</v>
      </c>
      <c r="M1025" s="4">
        <v>44773</v>
      </c>
      <c r="N1025" s="3" t="s">
        <v>40</v>
      </c>
      <c r="O1025" s="3" t="s">
        <v>24</v>
      </c>
      <c r="P1025" s="3" t="str">
        <f>IF(Table1[[#This Row],[Billing Amount]]&lt;5000,"Low",IF(Table1[[#This Row],[Billing Amount]]&lt;=15000,"Medium","High"))</f>
        <v>High</v>
      </c>
      <c r="Q1025" s="3" t="str">
        <f>IF(Table1[[#This Row],[Discharge Date]]="Yes","Discharged","Under Treatment")</f>
        <v>Under Treatment</v>
      </c>
      <c r="R1025" s="3" t="str">
        <f>IF(Table1[[#This Row],[Test Results]]&gt;120,"High Risk","Normal")</f>
        <v>High Risk</v>
      </c>
      <c r="S1025" s="3" t="str">
        <f>IF(Table1[[#This Row],[Age]]&lt;=18,"0-18",IF(Table1[[#This Row],[Age]]&lt;=35,"19-35",IF(Table1[[#This Row],[Age]]&lt;=50,"36-50",IF(Table1[[#This Row],[Age]]&lt;=65,"51-65","65+"))))</f>
        <v>65+</v>
      </c>
    </row>
    <row r="1026" spans="1:19" x14ac:dyDescent="0.3">
      <c r="A1026" s="3" t="s">
        <v>3115</v>
      </c>
      <c r="B1026" s="3">
        <v>41</v>
      </c>
      <c r="C1026" s="3" t="s">
        <v>35</v>
      </c>
      <c r="D1026" s="3" t="s">
        <v>122</v>
      </c>
      <c r="E1026" s="3" t="s">
        <v>76</v>
      </c>
      <c r="F1026" s="4">
        <v>44024</v>
      </c>
      <c r="G1026" s="3" t="s">
        <v>3116</v>
      </c>
      <c r="H1026" s="3" t="s">
        <v>3117</v>
      </c>
      <c r="I1026" s="3" t="s">
        <v>21</v>
      </c>
      <c r="J1026" s="5">
        <v>33215.977759537498</v>
      </c>
      <c r="K1026" s="3">
        <v>275</v>
      </c>
      <c r="L1026" s="3" t="s">
        <v>31</v>
      </c>
      <c r="M1026" s="4">
        <v>44037</v>
      </c>
      <c r="N1026" s="3" t="s">
        <v>32</v>
      </c>
      <c r="O1026" s="3" t="s">
        <v>47</v>
      </c>
      <c r="P1026" s="3" t="str">
        <f>IF(Table1[[#This Row],[Billing Amount]]&lt;5000,"Low",IF(Table1[[#This Row],[Billing Amount]]&lt;=15000,"Medium","High"))</f>
        <v>High</v>
      </c>
      <c r="Q1026" s="3" t="str">
        <f>IF(Table1[[#This Row],[Discharge Date]]="Yes","Discharged","Under Treatment")</f>
        <v>Under Treatment</v>
      </c>
      <c r="R1026" s="3" t="str">
        <f>IF(Table1[[#This Row],[Test Results]]&gt;120,"High Risk","Normal")</f>
        <v>High Risk</v>
      </c>
      <c r="S1026" s="3" t="str">
        <f>IF(Table1[[#This Row],[Age]]&lt;=18,"0-18",IF(Table1[[#This Row],[Age]]&lt;=35,"19-35",IF(Table1[[#This Row],[Age]]&lt;=50,"36-50",IF(Table1[[#This Row],[Age]]&lt;=65,"51-65","65+"))))</f>
        <v>36-50</v>
      </c>
    </row>
    <row r="1027" spans="1:19" x14ac:dyDescent="0.3">
      <c r="A1027" s="3" t="s">
        <v>3118</v>
      </c>
      <c r="B1027" s="3">
        <v>77</v>
      </c>
      <c r="C1027" s="3" t="s">
        <v>35</v>
      </c>
      <c r="D1027" s="3" t="s">
        <v>42</v>
      </c>
      <c r="E1027" s="3" t="s">
        <v>27</v>
      </c>
      <c r="F1027" s="4">
        <v>45243</v>
      </c>
      <c r="G1027" s="3" t="s">
        <v>3119</v>
      </c>
      <c r="H1027" s="3" t="s">
        <v>3120</v>
      </c>
      <c r="I1027" s="3" t="s">
        <v>21</v>
      </c>
      <c r="J1027" s="5">
        <v>46504.818208661301</v>
      </c>
      <c r="K1027" s="3">
        <v>320</v>
      </c>
      <c r="L1027" s="3" t="s">
        <v>46</v>
      </c>
      <c r="M1027" s="4">
        <v>45258</v>
      </c>
      <c r="N1027" s="3" t="s">
        <v>40</v>
      </c>
      <c r="O1027" s="3" t="s">
        <v>24</v>
      </c>
      <c r="P1027" s="3" t="str">
        <f>IF(Table1[[#This Row],[Billing Amount]]&lt;5000,"Low",IF(Table1[[#This Row],[Billing Amount]]&lt;=15000,"Medium","High"))</f>
        <v>High</v>
      </c>
      <c r="Q1027" s="3" t="str">
        <f>IF(Table1[[#This Row],[Discharge Date]]="Yes","Discharged","Under Treatment")</f>
        <v>Under Treatment</v>
      </c>
      <c r="R1027" s="3" t="str">
        <f>IF(Table1[[#This Row],[Test Results]]&gt;120,"High Risk","Normal")</f>
        <v>High Risk</v>
      </c>
      <c r="S1027" s="3" t="str">
        <f>IF(Table1[[#This Row],[Age]]&lt;=18,"0-18",IF(Table1[[#This Row],[Age]]&lt;=35,"19-35",IF(Table1[[#This Row],[Age]]&lt;=50,"36-50",IF(Table1[[#This Row],[Age]]&lt;=65,"51-65","65+"))))</f>
        <v>65+</v>
      </c>
    </row>
    <row r="1028" spans="1:19" x14ac:dyDescent="0.3">
      <c r="A1028" s="3" t="s">
        <v>3121</v>
      </c>
      <c r="B1028" s="3">
        <v>34</v>
      </c>
      <c r="C1028" s="3" t="s">
        <v>35</v>
      </c>
      <c r="D1028" s="3" t="s">
        <v>36</v>
      </c>
      <c r="E1028" s="3" t="s">
        <v>18</v>
      </c>
      <c r="F1028" s="4">
        <v>43935</v>
      </c>
      <c r="G1028" s="3" t="s">
        <v>3122</v>
      </c>
      <c r="H1028" s="3" t="s">
        <v>3123</v>
      </c>
      <c r="I1028" s="3" t="s">
        <v>30</v>
      </c>
      <c r="J1028" s="5">
        <v>21622.593100480401</v>
      </c>
      <c r="K1028" s="3">
        <v>128</v>
      </c>
      <c r="L1028" s="3" t="s">
        <v>46</v>
      </c>
      <c r="M1028" s="4">
        <v>43963</v>
      </c>
      <c r="N1028" s="3" t="s">
        <v>32</v>
      </c>
      <c r="O1028" s="3" t="s">
        <v>33</v>
      </c>
      <c r="P1028" s="3" t="str">
        <f>IF(Table1[[#This Row],[Billing Amount]]&lt;5000,"Low",IF(Table1[[#This Row],[Billing Amount]]&lt;=15000,"Medium","High"))</f>
        <v>High</v>
      </c>
      <c r="Q1028" s="3" t="str">
        <f>IF(Table1[[#This Row],[Discharge Date]]="Yes","Discharged","Under Treatment")</f>
        <v>Under Treatment</v>
      </c>
      <c r="R1028" s="3" t="str">
        <f>IF(Table1[[#This Row],[Test Results]]&gt;120,"High Risk","Normal")</f>
        <v>High Risk</v>
      </c>
      <c r="S1028" s="3" t="str">
        <f>IF(Table1[[#This Row],[Age]]&lt;=18,"0-18",IF(Table1[[#This Row],[Age]]&lt;=35,"19-35",IF(Table1[[#This Row],[Age]]&lt;=50,"36-50",IF(Table1[[#This Row],[Age]]&lt;=65,"51-65","65+"))))</f>
        <v>19-35</v>
      </c>
    </row>
    <row r="1029" spans="1:19" x14ac:dyDescent="0.3">
      <c r="A1029" s="3" t="s">
        <v>3124</v>
      </c>
      <c r="B1029" s="3">
        <v>57</v>
      </c>
      <c r="C1029" s="3" t="s">
        <v>35</v>
      </c>
      <c r="D1029" s="3" t="s">
        <v>26</v>
      </c>
      <c r="E1029" s="3" t="s">
        <v>18</v>
      </c>
      <c r="F1029" s="4">
        <v>43624</v>
      </c>
      <c r="G1029" s="3" t="s">
        <v>3125</v>
      </c>
      <c r="H1029" s="3" t="s">
        <v>3126</v>
      </c>
      <c r="I1029" s="3" t="s">
        <v>21</v>
      </c>
      <c r="J1029" s="5">
        <v>11114.2046151543</v>
      </c>
      <c r="K1029" s="3">
        <v>336</v>
      </c>
      <c r="L1029" s="3" t="s">
        <v>22</v>
      </c>
      <c r="M1029" s="4">
        <v>43639</v>
      </c>
      <c r="N1029" s="3" t="s">
        <v>79</v>
      </c>
      <c r="O1029" s="3" t="s">
        <v>33</v>
      </c>
      <c r="P1029" s="3" t="str">
        <f>IF(Table1[[#This Row],[Billing Amount]]&lt;5000,"Low",IF(Table1[[#This Row],[Billing Amount]]&lt;=15000,"Medium","High"))</f>
        <v>Medium</v>
      </c>
      <c r="Q1029" s="3" t="str">
        <f>IF(Table1[[#This Row],[Discharge Date]]="Yes","Discharged","Under Treatment")</f>
        <v>Under Treatment</v>
      </c>
      <c r="R1029" s="3" t="str">
        <f>IF(Table1[[#This Row],[Test Results]]&gt;120,"High Risk","Normal")</f>
        <v>High Risk</v>
      </c>
      <c r="S1029" s="3" t="str">
        <f>IF(Table1[[#This Row],[Age]]&lt;=18,"0-18",IF(Table1[[#This Row],[Age]]&lt;=35,"19-35",IF(Table1[[#This Row],[Age]]&lt;=50,"36-50",IF(Table1[[#This Row],[Age]]&lt;=65,"51-65","65+"))))</f>
        <v>51-65</v>
      </c>
    </row>
    <row r="1030" spans="1:19" x14ac:dyDescent="0.3">
      <c r="A1030" s="3" t="s">
        <v>3127</v>
      </c>
      <c r="B1030" s="3">
        <v>29</v>
      </c>
      <c r="C1030" s="3" t="s">
        <v>16</v>
      </c>
      <c r="D1030" s="3" t="s">
        <v>103</v>
      </c>
      <c r="E1030" s="3" t="s">
        <v>18</v>
      </c>
      <c r="F1030" s="4">
        <v>45130</v>
      </c>
      <c r="G1030" s="3" t="s">
        <v>3128</v>
      </c>
      <c r="H1030" s="3" t="s">
        <v>3129</v>
      </c>
      <c r="I1030" s="3" t="s">
        <v>57</v>
      </c>
      <c r="J1030" s="5">
        <v>25804.5983415757</v>
      </c>
      <c r="K1030" s="3">
        <v>163</v>
      </c>
      <c r="L1030" s="3" t="s">
        <v>31</v>
      </c>
      <c r="M1030" s="4">
        <v>45146</v>
      </c>
      <c r="N1030" s="3" t="s">
        <v>40</v>
      </c>
      <c r="O1030" s="3" t="s">
        <v>24</v>
      </c>
      <c r="P1030" s="3" t="str">
        <f>IF(Table1[[#This Row],[Billing Amount]]&lt;5000,"Low",IF(Table1[[#This Row],[Billing Amount]]&lt;=15000,"Medium","High"))</f>
        <v>High</v>
      </c>
      <c r="Q1030" s="3" t="str">
        <f>IF(Table1[[#This Row],[Discharge Date]]="Yes","Discharged","Under Treatment")</f>
        <v>Under Treatment</v>
      </c>
      <c r="R1030" s="3" t="str">
        <f>IF(Table1[[#This Row],[Test Results]]&gt;120,"High Risk","Normal")</f>
        <v>High Risk</v>
      </c>
      <c r="S1030" s="3" t="str">
        <f>IF(Table1[[#This Row],[Age]]&lt;=18,"0-18",IF(Table1[[#This Row],[Age]]&lt;=35,"19-35",IF(Table1[[#This Row],[Age]]&lt;=50,"36-50",IF(Table1[[#This Row],[Age]]&lt;=65,"51-65","65+"))))</f>
        <v>19-35</v>
      </c>
    </row>
    <row r="1031" spans="1:19" x14ac:dyDescent="0.3">
      <c r="A1031" s="3" t="s">
        <v>3130</v>
      </c>
      <c r="B1031" s="3">
        <v>52</v>
      </c>
      <c r="C1031" s="3" t="s">
        <v>16</v>
      </c>
      <c r="D1031" s="3" t="s">
        <v>36</v>
      </c>
      <c r="E1031" s="3" t="s">
        <v>93</v>
      </c>
      <c r="F1031" s="4">
        <v>44420</v>
      </c>
      <c r="G1031" s="3" t="s">
        <v>3131</v>
      </c>
      <c r="H1031" s="3" t="s">
        <v>3132</v>
      </c>
      <c r="I1031" s="3" t="s">
        <v>65</v>
      </c>
      <c r="J1031" s="5">
        <v>13253.7568592885</v>
      </c>
      <c r="K1031" s="3">
        <v>303</v>
      </c>
      <c r="L1031" s="3" t="s">
        <v>22</v>
      </c>
      <c r="M1031" s="4">
        <v>44427</v>
      </c>
      <c r="N1031" s="3" t="s">
        <v>79</v>
      </c>
      <c r="O1031" s="3" t="s">
        <v>33</v>
      </c>
      <c r="P1031" s="3" t="str">
        <f>IF(Table1[[#This Row],[Billing Amount]]&lt;5000,"Low",IF(Table1[[#This Row],[Billing Amount]]&lt;=15000,"Medium","High"))</f>
        <v>Medium</v>
      </c>
      <c r="Q1031" s="3" t="str">
        <f>IF(Table1[[#This Row],[Discharge Date]]="Yes","Discharged","Under Treatment")</f>
        <v>Under Treatment</v>
      </c>
      <c r="R1031" s="3" t="str">
        <f>IF(Table1[[#This Row],[Test Results]]&gt;120,"High Risk","Normal")</f>
        <v>High Risk</v>
      </c>
      <c r="S1031" s="3" t="str">
        <f>IF(Table1[[#This Row],[Age]]&lt;=18,"0-18",IF(Table1[[#This Row],[Age]]&lt;=35,"19-35",IF(Table1[[#This Row],[Age]]&lt;=50,"36-50",IF(Table1[[#This Row],[Age]]&lt;=65,"51-65","65+"))))</f>
        <v>51-65</v>
      </c>
    </row>
    <row r="1032" spans="1:19" x14ac:dyDescent="0.3">
      <c r="A1032" s="3" t="s">
        <v>3133</v>
      </c>
      <c r="B1032" s="3">
        <v>72</v>
      </c>
      <c r="C1032" s="3" t="s">
        <v>35</v>
      </c>
      <c r="D1032" s="3" t="s">
        <v>26</v>
      </c>
      <c r="E1032" s="3" t="s">
        <v>27</v>
      </c>
      <c r="F1032" s="4">
        <v>44537</v>
      </c>
      <c r="G1032" s="3" t="s">
        <v>3134</v>
      </c>
      <c r="H1032" s="3" t="s">
        <v>3135</v>
      </c>
      <c r="I1032" s="3" t="s">
        <v>21</v>
      </c>
      <c r="J1032" s="5">
        <v>11820.110765465601</v>
      </c>
      <c r="K1032" s="3">
        <v>298</v>
      </c>
      <c r="L1032" s="3" t="s">
        <v>31</v>
      </c>
      <c r="M1032" s="4">
        <v>44543</v>
      </c>
      <c r="N1032" s="3" t="s">
        <v>32</v>
      </c>
      <c r="O1032" s="3" t="s">
        <v>33</v>
      </c>
      <c r="P1032" s="3" t="str">
        <f>IF(Table1[[#This Row],[Billing Amount]]&lt;5000,"Low",IF(Table1[[#This Row],[Billing Amount]]&lt;=15000,"Medium","High"))</f>
        <v>Medium</v>
      </c>
      <c r="Q1032" s="3" t="str">
        <f>IF(Table1[[#This Row],[Discharge Date]]="Yes","Discharged","Under Treatment")</f>
        <v>Under Treatment</v>
      </c>
      <c r="R1032" s="3" t="str">
        <f>IF(Table1[[#This Row],[Test Results]]&gt;120,"High Risk","Normal")</f>
        <v>High Risk</v>
      </c>
      <c r="S1032" s="3" t="str">
        <f>IF(Table1[[#This Row],[Age]]&lt;=18,"0-18",IF(Table1[[#This Row],[Age]]&lt;=35,"19-35",IF(Table1[[#This Row],[Age]]&lt;=50,"36-50",IF(Table1[[#This Row],[Age]]&lt;=65,"51-65","65+"))))</f>
        <v>65+</v>
      </c>
    </row>
    <row r="1033" spans="1:19" x14ac:dyDescent="0.3">
      <c r="A1033" s="3" t="s">
        <v>3136</v>
      </c>
      <c r="B1033" s="3">
        <v>34</v>
      </c>
      <c r="C1033" s="3" t="s">
        <v>35</v>
      </c>
      <c r="D1033" s="3" t="s">
        <v>42</v>
      </c>
      <c r="E1033" s="3" t="s">
        <v>76</v>
      </c>
      <c r="F1033" s="4">
        <v>44126</v>
      </c>
      <c r="G1033" s="3" t="s">
        <v>3137</v>
      </c>
      <c r="H1033" s="3" t="s">
        <v>3138</v>
      </c>
      <c r="I1033" s="3" t="s">
        <v>30</v>
      </c>
      <c r="J1033" s="5">
        <v>43262.894348200098</v>
      </c>
      <c r="K1033" s="3">
        <v>248</v>
      </c>
      <c r="L1033" s="3" t="s">
        <v>31</v>
      </c>
      <c r="M1033" s="4">
        <v>44145</v>
      </c>
      <c r="N1033" s="3" t="s">
        <v>40</v>
      </c>
      <c r="O1033" s="3" t="s">
        <v>24</v>
      </c>
      <c r="P1033" s="3" t="str">
        <f>IF(Table1[[#This Row],[Billing Amount]]&lt;5000,"Low",IF(Table1[[#This Row],[Billing Amount]]&lt;=15000,"Medium","High"))</f>
        <v>High</v>
      </c>
      <c r="Q1033" s="3" t="str">
        <f>IF(Table1[[#This Row],[Discharge Date]]="Yes","Discharged","Under Treatment")</f>
        <v>Under Treatment</v>
      </c>
      <c r="R1033" s="3" t="str">
        <f>IF(Table1[[#This Row],[Test Results]]&gt;120,"High Risk","Normal")</f>
        <v>High Risk</v>
      </c>
      <c r="S1033" s="3" t="str">
        <f>IF(Table1[[#This Row],[Age]]&lt;=18,"0-18",IF(Table1[[#This Row],[Age]]&lt;=35,"19-35",IF(Table1[[#This Row],[Age]]&lt;=50,"36-50",IF(Table1[[#This Row],[Age]]&lt;=65,"51-65","65+"))))</f>
        <v>19-35</v>
      </c>
    </row>
    <row r="1034" spans="1:19" x14ac:dyDescent="0.3">
      <c r="A1034" s="3" t="s">
        <v>3139</v>
      </c>
      <c r="B1034" s="3">
        <v>49</v>
      </c>
      <c r="C1034" s="3" t="s">
        <v>35</v>
      </c>
      <c r="D1034" s="3" t="s">
        <v>42</v>
      </c>
      <c r="E1034" s="3" t="s">
        <v>54</v>
      </c>
      <c r="F1034" s="4">
        <v>43843</v>
      </c>
      <c r="G1034" s="3" t="s">
        <v>3140</v>
      </c>
      <c r="H1034" s="3" t="s">
        <v>3141</v>
      </c>
      <c r="I1034" s="3" t="s">
        <v>21</v>
      </c>
      <c r="J1034" s="5">
        <v>42030.880979991503</v>
      </c>
      <c r="K1034" s="3">
        <v>112</v>
      </c>
      <c r="L1034" s="3" t="s">
        <v>46</v>
      </c>
      <c r="M1034" s="4">
        <v>43859</v>
      </c>
      <c r="N1034" s="3" t="s">
        <v>40</v>
      </c>
      <c r="O1034" s="3" t="s">
        <v>33</v>
      </c>
      <c r="P1034" s="3" t="str">
        <f>IF(Table1[[#This Row],[Billing Amount]]&lt;5000,"Low",IF(Table1[[#This Row],[Billing Amount]]&lt;=15000,"Medium","High"))</f>
        <v>High</v>
      </c>
      <c r="Q1034" s="3" t="str">
        <f>IF(Table1[[#This Row],[Discharge Date]]="Yes","Discharged","Under Treatment")</f>
        <v>Under Treatment</v>
      </c>
      <c r="R1034" s="3" t="str">
        <f>IF(Table1[[#This Row],[Test Results]]&gt;120,"High Risk","Normal")</f>
        <v>High Risk</v>
      </c>
      <c r="S1034" s="3" t="str">
        <f>IF(Table1[[#This Row],[Age]]&lt;=18,"0-18",IF(Table1[[#This Row],[Age]]&lt;=35,"19-35",IF(Table1[[#This Row],[Age]]&lt;=50,"36-50",IF(Table1[[#This Row],[Age]]&lt;=65,"51-65","65+"))))</f>
        <v>36-50</v>
      </c>
    </row>
    <row r="1035" spans="1:19" x14ac:dyDescent="0.3">
      <c r="A1035" s="3" t="s">
        <v>3142</v>
      </c>
      <c r="B1035" s="3">
        <v>22</v>
      </c>
      <c r="C1035" s="3" t="s">
        <v>16</v>
      </c>
      <c r="D1035" s="3" t="s">
        <v>59</v>
      </c>
      <c r="E1035" s="3" t="s">
        <v>76</v>
      </c>
      <c r="F1035" s="4">
        <v>45037</v>
      </c>
      <c r="G1035" s="3" t="s">
        <v>3143</v>
      </c>
      <c r="H1035" s="3" t="s">
        <v>3144</v>
      </c>
      <c r="I1035" s="3" t="s">
        <v>65</v>
      </c>
      <c r="J1035" s="5">
        <v>27081.574520700698</v>
      </c>
      <c r="K1035" s="3">
        <v>307</v>
      </c>
      <c r="L1035" s="3" t="s">
        <v>22</v>
      </c>
      <c r="M1035" s="4">
        <v>45057</v>
      </c>
      <c r="N1035" s="3" t="s">
        <v>40</v>
      </c>
      <c r="O1035" s="3" t="s">
        <v>47</v>
      </c>
      <c r="P1035" s="3" t="str">
        <f>IF(Table1[[#This Row],[Billing Amount]]&lt;5000,"Low",IF(Table1[[#This Row],[Billing Amount]]&lt;=15000,"Medium","High"))</f>
        <v>High</v>
      </c>
      <c r="Q1035" s="3" t="str">
        <f>IF(Table1[[#This Row],[Discharge Date]]="Yes","Discharged","Under Treatment")</f>
        <v>Under Treatment</v>
      </c>
      <c r="R1035" s="3" t="str">
        <f>IF(Table1[[#This Row],[Test Results]]&gt;120,"High Risk","Normal")</f>
        <v>High Risk</v>
      </c>
      <c r="S1035" s="3" t="str">
        <f>IF(Table1[[#This Row],[Age]]&lt;=18,"0-18",IF(Table1[[#This Row],[Age]]&lt;=35,"19-35",IF(Table1[[#This Row],[Age]]&lt;=50,"36-50",IF(Table1[[#This Row],[Age]]&lt;=65,"51-65","65+"))))</f>
        <v>19-35</v>
      </c>
    </row>
    <row r="1036" spans="1:19" x14ac:dyDescent="0.3">
      <c r="A1036" s="3" t="s">
        <v>3146</v>
      </c>
      <c r="B1036" s="3">
        <v>31</v>
      </c>
      <c r="C1036" s="3" t="s">
        <v>35</v>
      </c>
      <c r="D1036" s="3" t="s">
        <v>49</v>
      </c>
      <c r="E1036" s="3" t="s">
        <v>93</v>
      </c>
      <c r="F1036" s="4">
        <v>43754</v>
      </c>
      <c r="G1036" s="3" t="s">
        <v>3147</v>
      </c>
      <c r="H1036" s="3" t="s">
        <v>3148</v>
      </c>
      <c r="I1036" s="3" t="s">
        <v>65</v>
      </c>
      <c r="J1036" s="5">
        <v>44377.8605026734</v>
      </c>
      <c r="K1036" s="3">
        <v>444</v>
      </c>
      <c r="L1036" s="3" t="s">
        <v>31</v>
      </c>
      <c r="M1036" s="4">
        <v>43758</v>
      </c>
      <c r="N1036" s="3" t="s">
        <v>32</v>
      </c>
      <c r="O1036" s="3" t="s">
        <v>47</v>
      </c>
      <c r="P1036" s="3" t="str">
        <f>IF(Table1[[#This Row],[Billing Amount]]&lt;5000,"Low",IF(Table1[[#This Row],[Billing Amount]]&lt;=15000,"Medium","High"))</f>
        <v>High</v>
      </c>
      <c r="Q1036" s="3" t="str">
        <f>IF(Table1[[#This Row],[Discharge Date]]="Yes","Discharged","Under Treatment")</f>
        <v>Under Treatment</v>
      </c>
      <c r="R1036" s="3" t="str">
        <f>IF(Table1[[#This Row],[Test Results]]&gt;120,"High Risk","Normal")</f>
        <v>High Risk</v>
      </c>
      <c r="S1036" s="3" t="str">
        <f>IF(Table1[[#This Row],[Age]]&lt;=18,"0-18",IF(Table1[[#This Row],[Age]]&lt;=35,"19-35",IF(Table1[[#This Row],[Age]]&lt;=50,"36-50",IF(Table1[[#This Row],[Age]]&lt;=65,"51-65","65+"))))</f>
        <v>19-35</v>
      </c>
    </row>
    <row r="1037" spans="1:19" x14ac:dyDescent="0.3">
      <c r="A1037" s="3" t="s">
        <v>3149</v>
      </c>
      <c r="B1037" s="3">
        <v>82</v>
      </c>
      <c r="C1037" s="3" t="s">
        <v>16</v>
      </c>
      <c r="D1037" s="3" t="s">
        <v>42</v>
      </c>
      <c r="E1037" s="3" t="s">
        <v>27</v>
      </c>
      <c r="F1037" s="4">
        <v>43768</v>
      </c>
      <c r="G1037" s="3" t="s">
        <v>3150</v>
      </c>
      <c r="H1037" s="3" t="s">
        <v>3151</v>
      </c>
      <c r="I1037" s="3" t="s">
        <v>39</v>
      </c>
      <c r="J1037" s="5">
        <v>41646.051990245098</v>
      </c>
      <c r="K1037" s="3">
        <v>485</v>
      </c>
      <c r="L1037" s="3" t="s">
        <v>31</v>
      </c>
      <c r="M1037" s="4">
        <v>43773</v>
      </c>
      <c r="N1037" s="3" t="s">
        <v>23</v>
      </c>
      <c r="O1037" s="3" t="s">
        <v>24</v>
      </c>
      <c r="P1037" s="3" t="str">
        <f>IF(Table1[[#This Row],[Billing Amount]]&lt;5000,"Low",IF(Table1[[#This Row],[Billing Amount]]&lt;=15000,"Medium","High"))</f>
        <v>High</v>
      </c>
      <c r="Q1037" s="3" t="str">
        <f>IF(Table1[[#This Row],[Discharge Date]]="Yes","Discharged","Under Treatment")</f>
        <v>Under Treatment</v>
      </c>
      <c r="R1037" s="3" t="str">
        <f>IF(Table1[[#This Row],[Test Results]]&gt;120,"High Risk","Normal")</f>
        <v>High Risk</v>
      </c>
      <c r="S1037" s="3" t="str">
        <f>IF(Table1[[#This Row],[Age]]&lt;=18,"0-18",IF(Table1[[#This Row],[Age]]&lt;=35,"19-35",IF(Table1[[#This Row],[Age]]&lt;=50,"36-50",IF(Table1[[#This Row],[Age]]&lt;=65,"51-65","65+"))))</f>
        <v>65+</v>
      </c>
    </row>
    <row r="1038" spans="1:19" x14ac:dyDescent="0.3">
      <c r="A1038" s="3" t="s">
        <v>3152</v>
      </c>
      <c r="B1038" s="3">
        <v>53</v>
      </c>
      <c r="C1038" s="3" t="s">
        <v>16</v>
      </c>
      <c r="D1038" s="3" t="s">
        <v>49</v>
      </c>
      <c r="E1038" s="3" t="s">
        <v>54</v>
      </c>
      <c r="F1038" s="4">
        <v>44640</v>
      </c>
      <c r="G1038" s="3" t="s">
        <v>1702</v>
      </c>
      <c r="H1038" s="3" t="s">
        <v>3153</v>
      </c>
      <c r="I1038" s="3" t="s">
        <v>30</v>
      </c>
      <c r="J1038" s="5">
        <v>28858.720854859799</v>
      </c>
      <c r="K1038" s="3">
        <v>308</v>
      </c>
      <c r="L1038" s="3" t="s">
        <v>22</v>
      </c>
      <c r="M1038" s="4">
        <v>44655</v>
      </c>
      <c r="N1038" s="3" t="s">
        <v>52</v>
      </c>
      <c r="O1038" s="3" t="s">
        <v>47</v>
      </c>
      <c r="P1038" s="3" t="str">
        <f>IF(Table1[[#This Row],[Billing Amount]]&lt;5000,"Low",IF(Table1[[#This Row],[Billing Amount]]&lt;=15000,"Medium","High"))</f>
        <v>High</v>
      </c>
      <c r="Q1038" s="3" t="str">
        <f>IF(Table1[[#This Row],[Discharge Date]]="Yes","Discharged","Under Treatment")</f>
        <v>Under Treatment</v>
      </c>
      <c r="R1038" s="3" t="str">
        <f>IF(Table1[[#This Row],[Test Results]]&gt;120,"High Risk","Normal")</f>
        <v>High Risk</v>
      </c>
      <c r="S1038" s="3" t="str">
        <f>IF(Table1[[#This Row],[Age]]&lt;=18,"0-18",IF(Table1[[#This Row],[Age]]&lt;=35,"19-35",IF(Table1[[#This Row],[Age]]&lt;=50,"36-50",IF(Table1[[#This Row],[Age]]&lt;=65,"51-65","65+"))))</f>
        <v>51-65</v>
      </c>
    </row>
    <row r="1039" spans="1:19" x14ac:dyDescent="0.3">
      <c r="A1039" s="3" t="s">
        <v>3154</v>
      </c>
      <c r="B1039" s="3">
        <v>56</v>
      </c>
      <c r="C1039" s="3" t="s">
        <v>16</v>
      </c>
      <c r="D1039" s="3" t="s">
        <v>122</v>
      </c>
      <c r="E1039" s="3" t="s">
        <v>54</v>
      </c>
      <c r="F1039" s="4">
        <v>44559</v>
      </c>
      <c r="G1039" s="3" t="s">
        <v>3155</v>
      </c>
      <c r="H1039" s="3" t="s">
        <v>3156</v>
      </c>
      <c r="I1039" s="3" t="s">
        <v>65</v>
      </c>
      <c r="J1039" s="5">
        <v>8997.0323855535498</v>
      </c>
      <c r="K1039" s="3">
        <v>266</v>
      </c>
      <c r="L1039" s="3" t="s">
        <v>46</v>
      </c>
      <c r="M1039" s="4">
        <v>44560</v>
      </c>
      <c r="N1039" s="3" t="s">
        <v>23</v>
      </c>
      <c r="O1039" s="3" t="s">
        <v>47</v>
      </c>
      <c r="P1039" s="3" t="str">
        <f>IF(Table1[[#This Row],[Billing Amount]]&lt;5000,"Low",IF(Table1[[#This Row],[Billing Amount]]&lt;=15000,"Medium","High"))</f>
        <v>Medium</v>
      </c>
      <c r="Q1039" s="3" t="str">
        <f>IF(Table1[[#This Row],[Discharge Date]]="Yes","Discharged","Under Treatment")</f>
        <v>Under Treatment</v>
      </c>
      <c r="R1039" s="3" t="str">
        <f>IF(Table1[[#This Row],[Test Results]]&gt;120,"High Risk","Normal")</f>
        <v>High Risk</v>
      </c>
      <c r="S1039" s="3" t="str">
        <f>IF(Table1[[#This Row],[Age]]&lt;=18,"0-18",IF(Table1[[#This Row],[Age]]&lt;=35,"19-35",IF(Table1[[#This Row],[Age]]&lt;=50,"36-50",IF(Table1[[#This Row],[Age]]&lt;=65,"51-65","65+"))))</f>
        <v>51-65</v>
      </c>
    </row>
    <row r="1040" spans="1:19" x14ac:dyDescent="0.3">
      <c r="A1040" s="3" t="s">
        <v>3157</v>
      </c>
      <c r="B1040" s="3">
        <v>30</v>
      </c>
      <c r="C1040" s="3" t="s">
        <v>16</v>
      </c>
      <c r="D1040" s="3" t="s">
        <v>49</v>
      </c>
      <c r="E1040" s="3" t="s">
        <v>76</v>
      </c>
      <c r="F1040" s="4">
        <v>44822</v>
      </c>
      <c r="G1040" s="3" t="s">
        <v>3158</v>
      </c>
      <c r="H1040" s="3" t="s">
        <v>3159</v>
      </c>
      <c r="I1040" s="3" t="s">
        <v>39</v>
      </c>
      <c r="J1040" s="5">
        <v>32780.307691063703</v>
      </c>
      <c r="K1040" s="3">
        <v>288</v>
      </c>
      <c r="L1040" s="3" t="s">
        <v>31</v>
      </c>
      <c r="M1040" s="4">
        <v>44850</v>
      </c>
      <c r="N1040" s="3" t="s">
        <v>23</v>
      </c>
      <c r="O1040" s="3" t="s">
        <v>47</v>
      </c>
      <c r="P1040" s="3" t="str">
        <f>IF(Table1[[#This Row],[Billing Amount]]&lt;5000,"Low",IF(Table1[[#This Row],[Billing Amount]]&lt;=15000,"Medium","High"))</f>
        <v>High</v>
      </c>
      <c r="Q1040" s="3" t="str">
        <f>IF(Table1[[#This Row],[Discharge Date]]="Yes","Discharged","Under Treatment")</f>
        <v>Under Treatment</v>
      </c>
      <c r="R1040" s="3" t="str">
        <f>IF(Table1[[#This Row],[Test Results]]&gt;120,"High Risk","Normal")</f>
        <v>High Risk</v>
      </c>
      <c r="S1040" s="3" t="str">
        <f>IF(Table1[[#This Row],[Age]]&lt;=18,"0-18",IF(Table1[[#This Row],[Age]]&lt;=35,"19-35",IF(Table1[[#This Row],[Age]]&lt;=50,"36-50",IF(Table1[[#This Row],[Age]]&lt;=65,"51-65","65+"))))</f>
        <v>19-35</v>
      </c>
    </row>
    <row r="1041" spans="1:19" x14ac:dyDescent="0.3">
      <c r="A1041" s="3" t="s">
        <v>3160</v>
      </c>
      <c r="B1041" s="3">
        <v>61</v>
      </c>
      <c r="C1041" s="3" t="s">
        <v>16</v>
      </c>
      <c r="D1041" s="3" t="s">
        <v>42</v>
      </c>
      <c r="E1041" s="3" t="s">
        <v>18</v>
      </c>
      <c r="F1041" s="4">
        <v>43603</v>
      </c>
      <c r="G1041" s="3" t="s">
        <v>3161</v>
      </c>
      <c r="H1041" s="3" t="s">
        <v>3162</v>
      </c>
      <c r="I1041" s="3" t="s">
        <v>65</v>
      </c>
      <c r="J1041" s="5">
        <v>15289.1947436761</v>
      </c>
      <c r="K1041" s="3">
        <v>353</v>
      </c>
      <c r="L1041" s="3" t="s">
        <v>31</v>
      </c>
      <c r="M1041" s="4">
        <v>43607</v>
      </c>
      <c r="N1041" s="3" t="s">
        <v>40</v>
      </c>
      <c r="O1041" s="3" t="s">
        <v>24</v>
      </c>
      <c r="P1041" s="3" t="str">
        <f>IF(Table1[[#This Row],[Billing Amount]]&lt;5000,"Low",IF(Table1[[#This Row],[Billing Amount]]&lt;=15000,"Medium","High"))</f>
        <v>High</v>
      </c>
      <c r="Q1041" s="3" t="str">
        <f>IF(Table1[[#This Row],[Discharge Date]]="Yes","Discharged","Under Treatment")</f>
        <v>Under Treatment</v>
      </c>
      <c r="R1041" s="3" t="str">
        <f>IF(Table1[[#This Row],[Test Results]]&gt;120,"High Risk","Normal")</f>
        <v>High Risk</v>
      </c>
      <c r="S1041" s="3" t="str">
        <f>IF(Table1[[#This Row],[Age]]&lt;=18,"0-18",IF(Table1[[#This Row],[Age]]&lt;=35,"19-35",IF(Table1[[#This Row],[Age]]&lt;=50,"36-50",IF(Table1[[#This Row],[Age]]&lt;=65,"51-65","65+"))))</f>
        <v>51-65</v>
      </c>
    </row>
    <row r="1042" spans="1:19" x14ac:dyDescent="0.3">
      <c r="A1042" s="3" t="s">
        <v>3163</v>
      </c>
      <c r="B1042" s="3">
        <v>42</v>
      </c>
      <c r="C1042" s="3" t="s">
        <v>35</v>
      </c>
      <c r="D1042" s="3" t="s">
        <v>103</v>
      </c>
      <c r="E1042" s="3" t="s">
        <v>54</v>
      </c>
      <c r="F1042" s="4">
        <v>44510</v>
      </c>
      <c r="G1042" s="3" t="s">
        <v>3164</v>
      </c>
      <c r="H1042" s="3" t="s">
        <v>3165</v>
      </c>
      <c r="I1042" s="3" t="s">
        <v>39</v>
      </c>
      <c r="J1042" s="5">
        <v>52181.837792398997</v>
      </c>
      <c r="K1042" s="3">
        <v>140</v>
      </c>
      <c r="L1042" s="3" t="s">
        <v>31</v>
      </c>
      <c r="M1042" s="4">
        <v>44517</v>
      </c>
      <c r="N1042" s="3" t="s">
        <v>52</v>
      </c>
      <c r="O1042" s="3" t="s">
        <v>33</v>
      </c>
      <c r="P1042" s="3" t="str">
        <f>IF(Table1[[#This Row],[Billing Amount]]&lt;5000,"Low",IF(Table1[[#This Row],[Billing Amount]]&lt;=15000,"Medium","High"))</f>
        <v>High</v>
      </c>
      <c r="Q1042" s="3" t="str">
        <f>IF(Table1[[#This Row],[Discharge Date]]="Yes","Discharged","Under Treatment")</f>
        <v>Under Treatment</v>
      </c>
      <c r="R1042" s="3" t="str">
        <f>IF(Table1[[#This Row],[Test Results]]&gt;120,"High Risk","Normal")</f>
        <v>High Risk</v>
      </c>
      <c r="S1042" s="3" t="str">
        <f>IF(Table1[[#This Row],[Age]]&lt;=18,"0-18",IF(Table1[[#This Row],[Age]]&lt;=35,"19-35",IF(Table1[[#This Row],[Age]]&lt;=50,"36-50",IF(Table1[[#This Row],[Age]]&lt;=65,"51-65","65+"))))</f>
        <v>36-50</v>
      </c>
    </row>
    <row r="1043" spans="1:19" x14ac:dyDescent="0.3">
      <c r="A1043" s="3" t="s">
        <v>3166</v>
      </c>
      <c r="B1043" s="3">
        <v>46</v>
      </c>
      <c r="C1043" s="3" t="s">
        <v>35</v>
      </c>
      <c r="D1043" s="3" t="s">
        <v>122</v>
      </c>
      <c r="E1043" s="3" t="s">
        <v>54</v>
      </c>
      <c r="F1043" s="4">
        <v>44872</v>
      </c>
      <c r="G1043" s="3" t="s">
        <v>3167</v>
      </c>
      <c r="H1043" s="3" t="s">
        <v>3168</v>
      </c>
      <c r="I1043" s="3" t="s">
        <v>57</v>
      </c>
      <c r="J1043" s="5">
        <v>8047.7980351214701</v>
      </c>
      <c r="K1043" s="3">
        <v>451</v>
      </c>
      <c r="L1043" s="3" t="s">
        <v>31</v>
      </c>
      <c r="M1043" s="4">
        <v>44889</v>
      </c>
      <c r="N1043" s="3" t="s">
        <v>79</v>
      </c>
      <c r="O1043" s="3" t="s">
        <v>47</v>
      </c>
      <c r="P1043" s="3" t="str">
        <f>IF(Table1[[#This Row],[Billing Amount]]&lt;5000,"Low",IF(Table1[[#This Row],[Billing Amount]]&lt;=15000,"Medium","High"))</f>
        <v>Medium</v>
      </c>
      <c r="Q1043" s="3" t="str">
        <f>IF(Table1[[#This Row],[Discharge Date]]="Yes","Discharged","Under Treatment")</f>
        <v>Under Treatment</v>
      </c>
      <c r="R1043" s="3" t="str">
        <f>IF(Table1[[#This Row],[Test Results]]&gt;120,"High Risk","Normal")</f>
        <v>High Risk</v>
      </c>
      <c r="S1043" s="3" t="str">
        <f>IF(Table1[[#This Row],[Age]]&lt;=18,"0-18",IF(Table1[[#This Row],[Age]]&lt;=35,"19-35",IF(Table1[[#This Row],[Age]]&lt;=50,"36-50",IF(Table1[[#This Row],[Age]]&lt;=65,"51-65","65+"))))</f>
        <v>36-50</v>
      </c>
    </row>
    <row r="1044" spans="1:19" x14ac:dyDescent="0.3">
      <c r="A1044" s="3" t="s">
        <v>3169</v>
      </c>
      <c r="B1044" s="3">
        <v>54</v>
      </c>
      <c r="C1044" s="3" t="s">
        <v>35</v>
      </c>
      <c r="D1044" s="3" t="s">
        <v>103</v>
      </c>
      <c r="E1044" s="3" t="s">
        <v>43</v>
      </c>
      <c r="F1044" s="4">
        <v>44985</v>
      </c>
      <c r="G1044" s="3" t="s">
        <v>3170</v>
      </c>
      <c r="H1044" s="3" t="s">
        <v>3171</v>
      </c>
      <c r="I1044" s="3" t="s">
        <v>39</v>
      </c>
      <c r="J1044" s="5">
        <v>27661.244126682701</v>
      </c>
      <c r="K1044" s="3">
        <v>451</v>
      </c>
      <c r="L1044" s="3" t="s">
        <v>22</v>
      </c>
      <c r="M1044" s="4">
        <v>44996</v>
      </c>
      <c r="N1044" s="3" t="s">
        <v>23</v>
      </c>
      <c r="O1044" s="3" t="s">
        <v>33</v>
      </c>
      <c r="P1044" s="3" t="str">
        <f>IF(Table1[[#This Row],[Billing Amount]]&lt;5000,"Low",IF(Table1[[#This Row],[Billing Amount]]&lt;=15000,"Medium","High"))</f>
        <v>High</v>
      </c>
      <c r="Q1044" s="3" t="str">
        <f>IF(Table1[[#This Row],[Discharge Date]]="Yes","Discharged","Under Treatment")</f>
        <v>Under Treatment</v>
      </c>
      <c r="R1044" s="3" t="str">
        <f>IF(Table1[[#This Row],[Test Results]]&gt;120,"High Risk","Normal")</f>
        <v>High Risk</v>
      </c>
      <c r="S1044" s="3" t="str">
        <f>IF(Table1[[#This Row],[Age]]&lt;=18,"0-18",IF(Table1[[#This Row],[Age]]&lt;=35,"19-35",IF(Table1[[#This Row],[Age]]&lt;=50,"36-50",IF(Table1[[#This Row],[Age]]&lt;=65,"51-65","65+"))))</f>
        <v>51-65</v>
      </c>
    </row>
    <row r="1045" spans="1:19" x14ac:dyDescent="0.3">
      <c r="A1045" s="3" t="s">
        <v>3172</v>
      </c>
      <c r="B1045" s="3">
        <v>47</v>
      </c>
      <c r="C1045" s="3" t="s">
        <v>16</v>
      </c>
      <c r="D1045" s="3" t="s">
        <v>42</v>
      </c>
      <c r="E1045" s="3" t="s">
        <v>27</v>
      </c>
      <c r="F1045" s="4">
        <v>45400</v>
      </c>
      <c r="G1045" s="3" t="s">
        <v>3173</v>
      </c>
      <c r="H1045" s="3" t="s">
        <v>3174</v>
      </c>
      <c r="I1045" s="3" t="s">
        <v>21</v>
      </c>
      <c r="J1045" s="5">
        <v>34153.150575449399</v>
      </c>
      <c r="K1045" s="3">
        <v>403</v>
      </c>
      <c r="L1045" s="3" t="s">
        <v>22</v>
      </c>
      <c r="M1045" s="4">
        <v>45406</v>
      </c>
      <c r="N1045" s="3" t="s">
        <v>23</v>
      </c>
      <c r="O1045" s="3" t="s">
        <v>47</v>
      </c>
      <c r="P1045" s="3" t="str">
        <f>IF(Table1[[#This Row],[Billing Amount]]&lt;5000,"Low",IF(Table1[[#This Row],[Billing Amount]]&lt;=15000,"Medium","High"))</f>
        <v>High</v>
      </c>
      <c r="Q1045" s="3" t="str">
        <f>IF(Table1[[#This Row],[Discharge Date]]="Yes","Discharged","Under Treatment")</f>
        <v>Under Treatment</v>
      </c>
      <c r="R1045" s="3" t="str">
        <f>IF(Table1[[#This Row],[Test Results]]&gt;120,"High Risk","Normal")</f>
        <v>High Risk</v>
      </c>
      <c r="S1045" s="3" t="str">
        <f>IF(Table1[[#This Row],[Age]]&lt;=18,"0-18",IF(Table1[[#This Row],[Age]]&lt;=35,"19-35",IF(Table1[[#This Row],[Age]]&lt;=50,"36-50",IF(Table1[[#This Row],[Age]]&lt;=65,"51-65","65+"))))</f>
        <v>36-50</v>
      </c>
    </row>
    <row r="1046" spans="1:19" x14ac:dyDescent="0.3">
      <c r="A1046" s="3" t="s">
        <v>3175</v>
      </c>
      <c r="B1046" s="3">
        <v>80</v>
      </c>
      <c r="C1046" s="3" t="s">
        <v>35</v>
      </c>
      <c r="D1046" s="3" t="s">
        <v>17</v>
      </c>
      <c r="E1046" s="3" t="s">
        <v>27</v>
      </c>
      <c r="F1046" s="4">
        <v>44222</v>
      </c>
      <c r="G1046" s="3" t="s">
        <v>3176</v>
      </c>
      <c r="H1046" s="3" t="s">
        <v>3177</v>
      </c>
      <c r="I1046" s="3" t="s">
        <v>39</v>
      </c>
      <c r="J1046" s="5">
        <v>6649.0035044248598</v>
      </c>
      <c r="K1046" s="3">
        <v>469</v>
      </c>
      <c r="L1046" s="3" t="s">
        <v>31</v>
      </c>
      <c r="M1046" s="4">
        <v>44247</v>
      </c>
      <c r="N1046" s="3" t="s">
        <v>23</v>
      </c>
      <c r="O1046" s="3" t="s">
        <v>24</v>
      </c>
      <c r="P1046" s="3" t="str">
        <f>IF(Table1[[#This Row],[Billing Amount]]&lt;5000,"Low",IF(Table1[[#This Row],[Billing Amount]]&lt;=15000,"Medium","High"))</f>
        <v>Medium</v>
      </c>
      <c r="Q1046" s="3" t="str">
        <f>IF(Table1[[#This Row],[Discharge Date]]="Yes","Discharged","Under Treatment")</f>
        <v>Under Treatment</v>
      </c>
      <c r="R1046" s="3" t="str">
        <f>IF(Table1[[#This Row],[Test Results]]&gt;120,"High Risk","Normal")</f>
        <v>High Risk</v>
      </c>
      <c r="S1046" s="3" t="str">
        <f>IF(Table1[[#This Row],[Age]]&lt;=18,"0-18",IF(Table1[[#This Row],[Age]]&lt;=35,"19-35",IF(Table1[[#This Row],[Age]]&lt;=50,"36-50",IF(Table1[[#This Row],[Age]]&lt;=65,"51-65","65+"))))</f>
        <v>65+</v>
      </c>
    </row>
    <row r="1047" spans="1:19" x14ac:dyDescent="0.3">
      <c r="A1047" s="3" t="s">
        <v>3178</v>
      </c>
      <c r="B1047" s="3">
        <v>53</v>
      </c>
      <c r="C1047" s="3" t="s">
        <v>16</v>
      </c>
      <c r="D1047" s="3" t="s">
        <v>49</v>
      </c>
      <c r="E1047" s="3" t="s">
        <v>93</v>
      </c>
      <c r="F1047" s="4">
        <v>44897</v>
      </c>
      <c r="G1047" s="3" t="s">
        <v>3179</v>
      </c>
      <c r="H1047" s="3" t="s">
        <v>3180</v>
      </c>
      <c r="I1047" s="3" t="s">
        <v>21</v>
      </c>
      <c r="J1047" s="5">
        <v>43923.040310611599</v>
      </c>
      <c r="K1047" s="3">
        <v>321</v>
      </c>
      <c r="L1047" s="3" t="s">
        <v>22</v>
      </c>
      <c r="M1047" s="4">
        <v>44906</v>
      </c>
      <c r="N1047" s="3" t="s">
        <v>32</v>
      </c>
      <c r="O1047" s="3" t="s">
        <v>47</v>
      </c>
      <c r="P1047" s="3" t="str">
        <f>IF(Table1[[#This Row],[Billing Amount]]&lt;5000,"Low",IF(Table1[[#This Row],[Billing Amount]]&lt;=15000,"Medium","High"))</f>
        <v>High</v>
      </c>
      <c r="Q1047" s="3" t="str">
        <f>IF(Table1[[#This Row],[Discharge Date]]="Yes","Discharged","Under Treatment")</f>
        <v>Under Treatment</v>
      </c>
      <c r="R1047" s="3" t="str">
        <f>IF(Table1[[#This Row],[Test Results]]&gt;120,"High Risk","Normal")</f>
        <v>High Risk</v>
      </c>
      <c r="S1047" s="3" t="str">
        <f>IF(Table1[[#This Row],[Age]]&lt;=18,"0-18",IF(Table1[[#This Row],[Age]]&lt;=35,"19-35",IF(Table1[[#This Row],[Age]]&lt;=50,"36-50",IF(Table1[[#This Row],[Age]]&lt;=65,"51-65","65+"))))</f>
        <v>51-65</v>
      </c>
    </row>
    <row r="1048" spans="1:19" x14ac:dyDescent="0.3">
      <c r="A1048" s="3" t="s">
        <v>3181</v>
      </c>
      <c r="B1048" s="3">
        <v>50</v>
      </c>
      <c r="C1048" s="3" t="s">
        <v>35</v>
      </c>
      <c r="D1048" s="3" t="s">
        <v>42</v>
      </c>
      <c r="E1048" s="3" t="s">
        <v>76</v>
      </c>
      <c r="F1048" s="4">
        <v>44181</v>
      </c>
      <c r="G1048" s="3" t="s">
        <v>3182</v>
      </c>
      <c r="H1048" s="3" t="s">
        <v>3183</v>
      </c>
      <c r="I1048" s="3" t="s">
        <v>21</v>
      </c>
      <c r="J1048" s="5">
        <v>31774.7836621405</v>
      </c>
      <c r="K1048" s="3">
        <v>139</v>
      </c>
      <c r="L1048" s="3" t="s">
        <v>22</v>
      </c>
      <c r="M1048" s="4">
        <v>44204</v>
      </c>
      <c r="N1048" s="3" t="s">
        <v>32</v>
      </c>
      <c r="O1048" s="3" t="s">
        <v>47</v>
      </c>
      <c r="P1048" s="3" t="str">
        <f>IF(Table1[[#This Row],[Billing Amount]]&lt;5000,"Low",IF(Table1[[#This Row],[Billing Amount]]&lt;=15000,"Medium","High"))</f>
        <v>High</v>
      </c>
      <c r="Q1048" s="3" t="str">
        <f>IF(Table1[[#This Row],[Discharge Date]]="Yes","Discharged","Under Treatment")</f>
        <v>Under Treatment</v>
      </c>
      <c r="R1048" s="3" t="str">
        <f>IF(Table1[[#This Row],[Test Results]]&gt;120,"High Risk","Normal")</f>
        <v>High Risk</v>
      </c>
      <c r="S1048" s="3" t="str">
        <f>IF(Table1[[#This Row],[Age]]&lt;=18,"0-18",IF(Table1[[#This Row],[Age]]&lt;=35,"19-35",IF(Table1[[#This Row],[Age]]&lt;=50,"36-50",IF(Table1[[#This Row],[Age]]&lt;=65,"51-65","65+"))))</f>
        <v>36-50</v>
      </c>
    </row>
    <row r="1049" spans="1:19" x14ac:dyDescent="0.3">
      <c r="A1049" s="3" t="s">
        <v>3184</v>
      </c>
      <c r="B1049" s="3">
        <v>72</v>
      </c>
      <c r="C1049" s="3" t="s">
        <v>35</v>
      </c>
      <c r="D1049" s="3" t="s">
        <v>17</v>
      </c>
      <c r="E1049" s="3" t="s">
        <v>27</v>
      </c>
      <c r="F1049" s="4">
        <v>44427</v>
      </c>
      <c r="G1049" s="3" t="s">
        <v>3185</v>
      </c>
      <c r="H1049" s="3" t="s">
        <v>1554</v>
      </c>
      <c r="I1049" s="3" t="s">
        <v>30</v>
      </c>
      <c r="J1049" s="5">
        <v>48195.830248945203</v>
      </c>
      <c r="K1049" s="3">
        <v>213</v>
      </c>
      <c r="L1049" s="3" t="s">
        <v>22</v>
      </c>
      <c r="M1049" s="4">
        <v>44444</v>
      </c>
      <c r="N1049" s="3" t="s">
        <v>23</v>
      </c>
      <c r="O1049" s="3" t="s">
        <v>33</v>
      </c>
      <c r="P1049" s="3" t="str">
        <f>IF(Table1[[#This Row],[Billing Amount]]&lt;5000,"Low",IF(Table1[[#This Row],[Billing Amount]]&lt;=15000,"Medium","High"))</f>
        <v>High</v>
      </c>
      <c r="Q1049" s="3" t="str">
        <f>IF(Table1[[#This Row],[Discharge Date]]="Yes","Discharged","Under Treatment")</f>
        <v>Under Treatment</v>
      </c>
      <c r="R1049" s="3" t="str">
        <f>IF(Table1[[#This Row],[Test Results]]&gt;120,"High Risk","Normal")</f>
        <v>High Risk</v>
      </c>
      <c r="S1049" s="3" t="str">
        <f>IF(Table1[[#This Row],[Age]]&lt;=18,"0-18",IF(Table1[[#This Row],[Age]]&lt;=35,"19-35",IF(Table1[[#This Row],[Age]]&lt;=50,"36-50",IF(Table1[[#This Row],[Age]]&lt;=65,"51-65","65+"))))</f>
        <v>65+</v>
      </c>
    </row>
    <row r="1050" spans="1:19" x14ac:dyDescent="0.3">
      <c r="A1050" s="3" t="s">
        <v>3186</v>
      </c>
      <c r="B1050" s="3">
        <v>73</v>
      </c>
      <c r="C1050" s="3" t="s">
        <v>35</v>
      </c>
      <c r="D1050" s="3" t="s">
        <v>59</v>
      </c>
      <c r="E1050" s="3" t="s">
        <v>43</v>
      </c>
      <c r="F1050" s="4">
        <v>44114</v>
      </c>
      <c r="G1050" s="3" t="s">
        <v>3187</v>
      </c>
      <c r="H1050" s="3" t="s">
        <v>3188</v>
      </c>
      <c r="I1050" s="3" t="s">
        <v>21</v>
      </c>
      <c r="J1050" s="5">
        <v>11496.3314179918</v>
      </c>
      <c r="K1050" s="3">
        <v>205</v>
      </c>
      <c r="L1050" s="3" t="s">
        <v>46</v>
      </c>
      <c r="M1050" s="4">
        <v>44138</v>
      </c>
      <c r="N1050" s="3" t="s">
        <v>32</v>
      </c>
      <c r="O1050" s="3" t="s">
        <v>33</v>
      </c>
      <c r="P1050" s="3" t="str">
        <f>IF(Table1[[#This Row],[Billing Amount]]&lt;5000,"Low",IF(Table1[[#This Row],[Billing Amount]]&lt;=15000,"Medium","High"))</f>
        <v>Medium</v>
      </c>
      <c r="Q1050" s="3" t="str">
        <f>IF(Table1[[#This Row],[Discharge Date]]="Yes","Discharged","Under Treatment")</f>
        <v>Under Treatment</v>
      </c>
      <c r="R1050" s="3" t="str">
        <f>IF(Table1[[#This Row],[Test Results]]&gt;120,"High Risk","Normal")</f>
        <v>High Risk</v>
      </c>
      <c r="S1050" s="3" t="str">
        <f>IF(Table1[[#This Row],[Age]]&lt;=18,"0-18",IF(Table1[[#This Row],[Age]]&lt;=35,"19-35",IF(Table1[[#This Row],[Age]]&lt;=50,"36-50",IF(Table1[[#This Row],[Age]]&lt;=65,"51-65","65+"))))</f>
        <v>65+</v>
      </c>
    </row>
    <row r="1051" spans="1:19" x14ac:dyDescent="0.3">
      <c r="A1051" s="3" t="s">
        <v>3189</v>
      </c>
      <c r="B1051" s="3">
        <v>20</v>
      </c>
      <c r="C1051" s="3" t="s">
        <v>16</v>
      </c>
      <c r="D1051" s="3" t="s">
        <v>122</v>
      </c>
      <c r="E1051" s="3" t="s">
        <v>93</v>
      </c>
      <c r="F1051" s="4">
        <v>44781</v>
      </c>
      <c r="G1051" s="3" t="s">
        <v>3190</v>
      </c>
      <c r="H1051" s="3" t="s">
        <v>3191</v>
      </c>
      <c r="I1051" s="3" t="s">
        <v>65</v>
      </c>
      <c r="J1051" s="5">
        <v>23167.8597607753</v>
      </c>
      <c r="K1051" s="3">
        <v>175</v>
      </c>
      <c r="L1051" s="3" t="s">
        <v>31</v>
      </c>
      <c r="M1051" s="4">
        <v>44807</v>
      </c>
      <c r="N1051" s="3" t="s">
        <v>32</v>
      </c>
      <c r="O1051" s="3" t="s">
        <v>24</v>
      </c>
      <c r="P1051" s="3" t="str">
        <f>IF(Table1[[#This Row],[Billing Amount]]&lt;5000,"Low",IF(Table1[[#This Row],[Billing Amount]]&lt;=15000,"Medium","High"))</f>
        <v>High</v>
      </c>
      <c r="Q1051" s="3" t="str">
        <f>IF(Table1[[#This Row],[Discharge Date]]="Yes","Discharged","Under Treatment")</f>
        <v>Under Treatment</v>
      </c>
      <c r="R1051" s="3" t="str">
        <f>IF(Table1[[#This Row],[Test Results]]&gt;120,"High Risk","Normal")</f>
        <v>High Risk</v>
      </c>
      <c r="S1051" s="3" t="str">
        <f>IF(Table1[[#This Row],[Age]]&lt;=18,"0-18",IF(Table1[[#This Row],[Age]]&lt;=35,"19-35",IF(Table1[[#This Row],[Age]]&lt;=50,"36-50",IF(Table1[[#This Row],[Age]]&lt;=65,"51-65","65+"))))</f>
        <v>19-35</v>
      </c>
    </row>
    <row r="1052" spans="1:19" x14ac:dyDescent="0.3">
      <c r="A1052" s="3" t="s">
        <v>3192</v>
      </c>
      <c r="B1052" s="3">
        <v>82</v>
      </c>
      <c r="C1052" s="3" t="s">
        <v>16</v>
      </c>
      <c r="D1052" s="3" t="s">
        <v>26</v>
      </c>
      <c r="E1052" s="3" t="s">
        <v>76</v>
      </c>
      <c r="F1052" s="4">
        <v>44752</v>
      </c>
      <c r="G1052" s="3" t="s">
        <v>3193</v>
      </c>
      <c r="H1052" s="3" t="s">
        <v>3194</v>
      </c>
      <c r="I1052" s="3" t="s">
        <v>65</v>
      </c>
      <c r="J1052" s="5">
        <v>22387.924303605101</v>
      </c>
      <c r="K1052" s="3">
        <v>312</v>
      </c>
      <c r="L1052" s="3" t="s">
        <v>31</v>
      </c>
      <c r="M1052" s="4">
        <v>44773</v>
      </c>
      <c r="N1052" s="3" t="s">
        <v>52</v>
      </c>
      <c r="O1052" s="3" t="s">
        <v>33</v>
      </c>
      <c r="P1052" s="3" t="str">
        <f>IF(Table1[[#This Row],[Billing Amount]]&lt;5000,"Low",IF(Table1[[#This Row],[Billing Amount]]&lt;=15000,"Medium","High"))</f>
        <v>High</v>
      </c>
      <c r="Q1052" s="3" t="str">
        <f>IF(Table1[[#This Row],[Discharge Date]]="Yes","Discharged","Under Treatment")</f>
        <v>Under Treatment</v>
      </c>
      <c r="R1052" s="3" t="str">
        <f>IF(Table1[[#This Row],[Test Results]]&gt;120,"High Risk","Normal")</f>
        <v>High Risk</v>
      </c>
      <c r="S1052" s="3" t="str">
        <f>IF(Table1[[#This Row],[Age]]&lt;=18,"0-18",IF(Table1[[#This Row],[Age]]&lt;=35,"19-35",IF(Table1[[#This Row],[Age]]&lt;=50,"36-50",IF(Table1[[#This Row],[Age]]&lt;=65,"51-65","65+"))))</f>
        <v>65+</v>
      </c>
    </row>
    <row r="1053" spans="1:19" x14ac:dyDescent="0.3">
      <c r="A1053" s="3" t="s">
        <v>3195</v>
      </c>
      <c r="B1053" s="3">
        <v>20</v>
      </c>
      <c r="C1053" s="3" t="s">
        <v>35</v>
      </c>
      <c r="D1053" s="3" t="s">
        <v>42</v>
      </c>
      <c r="E1053" s="3" t="s">
        <v>27</v>
      </c>
      <c r="F1053" s="4">
        <v>43920</v>
      </c>
      <c r="G1053" s="3" t="s">
        <v>3196</v>
      </c>
      <c r="H1053" s="3" t="s">
        <v>3197</v>
      </c>
      <c r="I1053" s="3" t="s">
        <v>65</v>
      </c>
      <c r="J1053" s="5">
        <v>44577.895738991399</v>
      </c>
      <c r="K1053" s="3">
        <v>249</v>
      </c>
      <c r="L1053" s="3" t="s">
        <v>22</v>
      </c>
      <c r="M1053" s="4">
        <v>43936</v>
      </c>
      <c r="N1053" s="3" t="s">
        <v>40</v>
      </c>
      <c r="O1053" s="3" t="s">
        <v>33</v>
      </c>
      <c r="P1053" s="3" t="str">
        <f>IF(Table1[[#This Row],[Billing Amount]]&lt;5000,"Low",IF(Table1[[#This Row],[Billing Amount]]&lt;=15000,"Medium","High"))</f>
        <v>High</v>
      </c>
      <c r="Q1053" s="3" t="str">
        <f>IF(Table1[[#This Row],[Discharge Date]]="Yes","Discharged","Under Treatment")</f>
        <v>Under Treatment</v>
      </c>
      <c r="R1053" s="3" t="str">
        <f>IF(Table1[[#This Row],[Test Results]]&gt;120,"High Risk","Normal")</f>
        <v>High Risk</v>
      </c>
      <c r="S1053" s="3" t="str">
        <f>IF(Table1[[#This Row],[Age]]&lt;=18,"0-18",IF(Table1[[#This Row],[Age]]&lt;=35,"19-35",IF(Table1[[#This Row],[Age]]&lt;=50,"36-50",IF(Table1[[#This Row],[Age]]&lt;=65,"51-65","65+"))))</f>
        <v>19-35</v>
      </c>
    </row>
    <row r="1054" spans="1:19" x14ac:dyDescent="0.3">
      <c r="A1054" s="3" t="s">
        <v>3198</v>
      </c>
      <c r="B1054" s="3">
        <v>75</v>
      </c>
      <c r="C1054" s="3" t="s">
        <v>35</v>
      </c>
      <c r="D1054" s="3" t="s">
        <v>26</v>
      </c>
      <c r="E1054" s="3" t="s">
        <v>43</v>
      </c>
      <c r="F1054" s="4">
        <v>45196</v>
      </c>
      <c r="G1054" s="3" t="s">
        <v>3199</v>
      </c>
      <c r="H1054" s="3" t="s">
        <v>3200</v>
      </c>
      <c r="I1054" s="3" t="s">
        <v>21</v>
      </c>
      <c r="J1054" s="5">
        <v>12662.9061518036</v>
      </c>
      <c r="K1054" s="3">
        <v>459</v>
      </c>
      <c r="L1054" s="3" t="s">
        <v>31</v>
      </c>
      <c r="M1054" s="4">
        <v>45214</v>
      </c>
      <c r="N1054" s="3" t="s">
        <v>52</v>
      </c>
      <c r="O1054" s="3" t="s">
        <v>33</v>
      </c>
      <c r="P1054" s="3" t="str">
        <f>IF(Table1[[#This Row],[Billing Amount]]&lt;5000,"Low",IF(Table1[[#This Row],[Billing Amount]]&lt;=15000,"Medium","High"))</f>
        <v>Medium</v>
      </c>
      <c r="Q1054" s="3" t="str">
        <f>IF(Table1[[#This Row],[Discharge Date]]="Yes","Discharged","Under Treatment")</f>
        <v>Under Treatment</v>
      </c>
      <c r="R1054" s="3" t="str">
        <f>IF(Table1[[#This Row],[Test Results]]&gt;120,"High Risk","Normal")</f>
        <v>High Risk</v>
      </c>
      <c r="S1054" s="3" t="str">
        <f>IF(Table1[[#This Row],[Age]]&lt;=18,"0-18",IF(Table1[[#This Row],[Age]]&lt;=35,"19-35",IF(Table1[[#This Row],[Age]]&lt;=50,"36-50",IF(Table1[[#This Row],[Age]]&lt;=65,"51-65","65+"))))</f>
        <v>65+</v>
      </c>
    </row>
    <row r="1055" spans="1:19" x14ac:dyDescent="0.3">
      <c r="A1055" s="3" t="s">
        <v>3201</v>
      </c>
      <c r="B1055" s="3">
        <v>67</v>
      </c>
      <c r="C1055" s="3" t="s">
        <v>16</v>
      </c>
      <c r="D1055" s="3" t="s">
        <v>36</v>
      </c>
      <c r="E1055" s="3" t="s">
        <v>93</v>
      </c>
      <c r="F1055" s="4">
        <v>44647</v>
      </c>
      <c r="G1055" s="3" t="s">
        <v>3202</v>
      </c>
      <c r="H1055" s="3" t="s">
        <v>3203</v>
      </c>
      <c r="I1055" s="3" t="s">
        <v>30</v>
      </c>
      <c r="J1055" s="5">
        <v>22214.3624389344</v>
      </c>
      <c r="K1055" s="3">
        <v>342</v>
      </c>
      <c r="L1055" s="3" t="s">
        <v>22</v>
      </c>
      <c r="M1055" s="4">
        <v>44650</v>
      </c>
      <c r="N1055" s="3" t="s">
        <v>23</v>
      </c>
      <c r="O1055" s="3" t="s">
        <v>24</v>
      </c>
      <c r="P1055" s="3" t="str">
        <f>IF(Table1[[#This Row],[Billing Amount]]&lt;5000,"Low",IF(Table1[[#This Row],[Billing Amount]]&lt;=15000,"Medium","High"))</f>
        <v>High</v>
      </c>
      <c r="Q1055" s="3" t="str">
        <f>IF(Table1[[#This Row],[Discharge Date]]="Yes","Discharged","Under Treatment")</f>
        <v>Under Treatment</v>
      </c>
      <c r="R1055" s="3" t="str">
        <f>IF(Table1[[#This Row],[Test Results]]&gt;120,"High Risk","Normal")</f>
        <v>High Risk</v>
      </c>
      <c r="S1055" s="3" t="str">
        <f>IF(Table1[[#This Row],[Age]]&lt;=18,"0-18",IF(Table1[[#This Row],[Age]]&lt;=35,"19-35",IF(Table1[[#This Row],[Age]]&lt;=50,"36-50",IF(Table1[[#This Row],[Age]]&lt;=65,"51-65","65+"))))</f>
        <v>65+</v>
      </c>
    </row>
    <row r="1056" spans="1:19" x14ac:dyDescent="0.3">
      <c r="A1056" s="3" t="s">
        <v>3204</v>
      </c>
      <c r="B1056" s="3">
        <v>28</v>
      </c>
      <c r="C1056" s="3" t="s">
        <v>35</v>
      </c>
      <c r="D1056" s="3" t="s">
        <v>59</v>
      </c>
      <c r="E1056" s="3" t="s">
        <v>43</v>
      </c>
      <c r="F1056" s="4">
        <v>45349</v>
      </c>
      <c r="G1056" s="3" t="s">
        <v>3205</v>
      </c>
      <c r="H1056" s="3" t="s">
        <v>3206</v>
      </c>
      <c r="I1056" s="3" t="s">
        <v>57</v>
      </c>
      <c r="J1056" s="5">
        <v>32713.342494279001</v>
      </c>
      <c r="K1056" s="3">
        <v>296</v>
      </c>
      <c r="L1056" s="3" t="s">
        <v>31</v>
      </c>
      <c r="M1056" s="4">
        <v>45355</v>
      </c>
      <c r="N1056" s="3" t="s">
        <v>32</v>
      </c>
      <c r="O1056" s="3" t="s">
        <v>47</v>
      </c>
      <c r="P1056" s="3" t="str">
        <f>IF(Table1[[#This Row],[Billing Amount]]&lt;5000,"Low",IF(Table1[[#This Row],[Billing Amount]]&lt;=15000,"Medium","High"))</f>
        <v>High</v>
      </c>
      <c r="Q1056" s="3" t="str">
        <f>IF(Table1[[#This Row],[Discharge Date]]="Yes","Discharged","Under Treatment")</f>
        <v>Under Treatment</v>
      </c>
      <c r="R1056" s="3" t="str">
        <f>IF(Table1[[#This Row],[Test Results]]&gt;120,"High Risk","Normal")</f>
        <v>High Risk</v>
      </c>
      <c r="S1056" s="3" t="str">
        <f>IF(Table1[[#This Row],[Age]]&lt;=18,"0-18",IF(Table1[[#This Row],[Age]]&lt;=35,"19-35",IF(Table1[[#This Row],[Age]]&lt;=50,"36-50",IF(Table1[[#This Row],[Age]]&lt;=65,"51-65","65+"))))</f>
        <v>19-35</v>
      </c>
    </row>
    <row r="1057" spans="1:19" x14ac:dyDescent="0.3">
      <c r="A1057" s="3" t="s">
        <v>3207</v>
      </c>
      <c r="B1057" s="3">
        <v>32</v>
      </c>
      <c r="C1057" s="3" t="s">
        <v>35</v>
      </c>
      <c r="D1057" s="3" t="s">
        <v>17</v>
      </c>
      <c r="E1057" s="3" t="s">
        <v>76</v>
      </c>
      <c r="F1057" s="4">
        <v>45007</v>
      </c>
      <c r="G1057" s="3" t="s">
        <v>3208</v>
      </c>
      <c r="H1057" s="3" t="s">
        <v>3209</v>
      </c>
      <c r="I1057" s="3" t="s">
        <v>65</v>
      </c>
      <c r="J1057" s="5">
        <v>12962.3120591801</v>
      </c>
      <c r="K1057" s="3">
        <v>434</v>
      </c>
      <c r="L1057" s="3" t="s">
        <v>22</v>
      </c>
      <c r="M1057" s="4">
        <v>45019</v>
      </c>
      <c r="N1057" s="3" t="s">
        <v>23</v>
      </c>
      <c r="O1057" s="3" t="s">
        <v>33</v>
      </c>
      <c r="P1057" s="3" t="str">
        <f>IF(Table1[[#This Row],[Billing Amount]]&lt;5000,"Low",IF(Table1[[#This Row],[Billing Amount]]&lt;=15000,"Medium","High"))</f>
        <v>Medium</v>
      </c>
      <c r="Q1057" s="3" t="str">
        <f>IF(Table1[[#This Row],[Discharge Date]]="Yes","Discharged","Under Treatment")</f>
        <v>Under Treatment</v>
      </c>
      <c r="R1057" s="3" t="str">
        <f>IF(Table1[[#This Row],[Test Results]]&gt;120,"High Risk","Normal")</f>
        <v>High Risk</v>
      </c>
      <c r="S1057" s="3" t="str">
        <f>IF(Table1[[#This Row],[Age]]&lt;=18,"0-18",IF(Table1[[#This Row],[Age]]&lt;=35,"19-35",IF(Table1[[#This Row],[Age]]&lt;=50,"36-50",IF(Table1[[#This Row],[Age]]&lt;=65,"51-65","65+"))))</f>
        <v>19-35</v>
      </c>
    </row>
    <row r="1058" spans="1:19" x14ac:dyDescent="0.3">
      <c r="A1058" s="3" t="s">
        <v>3210</v>
      </c>
      <c r="B1058" s="3">
        <v>76</v>
      </c>
      <c r="C1058" s="3" t="s">
        <v>35</v>
      </c>
      <c r="D1058" s="3" t="s">
        <v>103</v>
      </c>
      <c r="E1058" s="3" t="s">
        <v>27</v>
      </c>
      <c r="F1058" s="4">
        <v>45227</v>
      </c>
      <c r="G1058" s="3" t="s">
        <v>3211</v>
      </c>
      <c r="H1058" s="3" t="s">
        <v>3212</v>
      </c>
      <c r="I1058" s="3" t="s">
        <v>30</v>
      </c>
      <c r="J1058" s="5">
        <v>41422.913973156297</v>
      </c>
      <c r="K1058" s="3">
        <v>292</v>
      </c>
      <c r="L1058" s="3" t="s">
        <v>46</v>
      </c>
      <c r="M1058" s="4">
        <v>45251</v>
      </c>
      <c r="N1058" s="3" t="s">
        <v>23</v>
      </c>
      <c r="O1058" s="3" t="s">
        <v>24</v>
      </c>
      <c r="P1058" s="3" t="str">
        <f>IF(Table1[[#This Row],[Billing Amount]]&lt;5000,"Low",IF(Table1[[#This Row],[Billing Amount]]&lt;=15000,"Medium","High"))</f>
        <v>High</v>
      </c>
      <c r="Q1058" s="3" t="str">
        <f>IF(Table1[[#This Row],[Discharge Date]]="Yes","Discharged","Under Treatment")</f>
        <v>Under Treatment</v>
      </c>
      <c r="R1058" s="3" t="str">
        <f>IF(Table1[[#This Row],[Test Results]]&gt;120,"High Risk","Normal")</f>
        <v>High Risk</v>
      </c>
      <c r="S1058" s="3" t="str">
        <f>IF(Table1[[#This Row],[Age]]&lt;=18,"0-18",IF(Table1[[#This Row],[Age]]&lt;=35,"19-35",IF(Table1[[#This Row],[Age]]&lt;=50,"36-50",IF(Table1[[#This Row],[Age]]&lt;=65,"51-65","65+"))))</f>
        <v>65+</v>
      </c>
    </row>
    <row r="1059" spans="1:19" x14ac:dyDescent="0.3">
      <c r="A1059" s="3" t="s">
        <v>3213</v>
      </c>
      <c r="B1059" s="3">
        <v>19</v>
      </c>
      <c r="C1059" s="3" t="s">
        <v>16</v>
      </c>
      <c r="D1059" s="3" t="s">
        <v>103</v>
      </c>
      <c r="E1059" s="3" t="s">
        <v>54</v>
      </c>
      <c r="F1059" s="4">
        <v>45388</v>
      </c>
      <c r="G1059" s="3" t="s">
        <v>3214</v>
      </c>
      <c r="H1059" s="3" t="s">
        <v>3215</v>
      </c>
      <c r="I1059" s="3" t="s">
        <v>39</v>
      </c>
      <c r="J1059" s="5">
        <v>26239.298377359901</v>
      </c>
      <c r="K1059" s="3">
        <v>224</v>
      </c>
      <c r="L1059" s="3" t="s">
        <v>22</v>
      </c>
      <c r="M1059" s="4">
        <v>45402</v>
      </c>
      <c r="N1059" s="3" t="s">
        <v>32</v>
      </c>
      <c r="O1059" s="3" t="s">
        <v>47</v>
      </c>
      <c r="P1059" s="3" t="str">
        <f>IF(Table1[[#This Row],[Billing Amount]]&lt;5000,"Low",IF(Table1[[#This Row],[Billing Amount]]&lt;=15000,"Medium","High"))</f>
        <v>High</v>
      </c>
      <c r="Q1059" s="3" t="str">
        <f>IF(Table1[[#This Row],[Discharge Date]]="Yes","Discharged","Under Treatment")</f>
        <v>Under Treatment</v>
      </c>
      <c r="R1059" s="3" t="str">
        <f>IF(Table1[[#This Row],[Test Results]]&gt;120,"High Risk","Normal")</f>
        <v>High Risk</v>
      </c>
      <c r="S1059" s="3" t="str">
        <f>IF(Table1[[#This Row],[Age]]&lt;=18,"0-18",IF(Table1[[#This Row],[Age]]&lt;=35,"19-35",IF(Table1[[#This Row],[Age]]&lt;=50,"36-50",IF(Table1[[#This Row],[Age]]&lt;=65,"51-65","65+"))))</f>
        <v>19-35</v>
      </c>
    </row>
    <row r="1060" spans="1:19" x14ac:dyDescent="0.3">
      <c r="A1060" s="3" t="s">
        <v>3216</v>
      </c>
      <c r="B1060" s="3">
        <v>50</v>
      </c>
      <c r="C1060" s="3" t="s">
        <v>16</v>
      </c>
      <c r="D1060" s="3" t="s">
        <v>26</v>
      </c>
      <c r="E1060" s="3" t="s">
        <v>76</v>
      </c>
      <c r="F1060" s="4">
        <v>44119</v>
      </c>
      <c r="G1060" s="3" t="s">
        <v>3217</v>
      </c>
      <c r="H1060" s="3" t="s">
        <v>3218</v>
      </c>
      <c r="I1060" s="3" t="s">
        <v>57</v>
      </c>
      <c r="J1060" s="5">
        <v>47836.817642600603</v>
      </c>
      <c r="K1060" s="3">
        <v>402</v>
      </c>
      <c r="L1060" s="3" t="s">
        <v>22</v>
      </c>
      <c r="M1060" s="4">
        <v>44120</v>
      </c>
      <c r="N1060" s="3" t="s">
        <v>52</v>
      </c>
      <c r="O1060" s="3" t="s">
        <v>47</v>
      </c>
      <c r="P1060" s="3" t="str">
        <f>IF(Table1[[#This Row],[Billing Amount]]&lt;5000,"Low",IF(Table1[[#This Row],[Billing Amount]]&lt;=15000,"Medium","High"))</f>
        <v>High</v>
      </c>
      <c r="Q1060" s="3" t="str">
        <f>IF(Table1[[#This Row],[Discharge Date]]="Yes","Discharged","Under Treatment")</f>
        <v>Under Treatment</v>
      </c>
      <c r="R1060" s="3" t="str">
        <f>IF(Table1[[#This Row],[Test Results]]&gt;120,"High Risk","Normal")</f>
        <v>High Risk</v>
      </c>
      <c r="S1060" s="3" t="str">
        <f>IF(Table1[[#This Row],[Age]]&lt;=18,"0-18",IF(Table1[[#This Row],[Age]]&lt;=35,"19-35",IF(Table1[[#This Row],[Age]]&lt;=50,"36-50",IF(Table1[[#This Row],[Age]]&lt;=65,"51-65","65+"))))</f>
        <v>36-50</v>
      </c>
    </row>
    <row r="1061" spans="1:19" x14ac:dyDescent="0.3">
      <c r="A1061" s="3" t="s">
        <v>3219</v>
      </c>
      <c r="B1061" s="3">
        <v>42</v>
      </c>
      <c r="C1061" s="3" t="s">
        <v>16</v>
      </c>
      <c r="D1061" s="3" t="s">
        <v>49</v>
      </c>
      <c r="E1061" s="3" t="s">
        <v>43</v>
      </c>
      <c r="F1061" s="4">
        <v>45298</v>
      </c>
      <c r="G1061" s="3" t="s">
        <v>3220</v>
      </c>
      <c r="H1061" s="3" t="s">
        <v>3221</v>
      </c>
      <c r="I1061" s="3" t="s">
        <v>65</v>
      </c>
      <c r="J1061" s="5">
        <v>23890.5599413116</v>
      </c>
      <c r="K1061" s="3">
        <v>493</v>
      </c>
      <c r="L1061" s="3" t="s">
        <v>31</v>
      </c>
      <c r="M1061" s="4">
        <v>45316</v>
      </c>
      <c r="N1061" s="3" t="s">
        <v>32</v>
      </c>
      <c r="O1061" s="3" t="s">
        <v>33</v>
      </c>
      <c r="P1061" s="3" t="str">
        <f>IF(Table1[[#This Row],[Billing Amount]]&lt;5000,"Low",IF(Table1[[#This Row],[Billing Amount]]&lt;=15000,"Medium","High"))</f>
        <v>High</v>
      </c>
      <c r="Q1061" s="3" t="str">
        <f>IF(Table1[[#This Row],[Discharge Date]]="Yes","Discharged","Under Treatment")</f>
        <v>Under Treatment</v>
      </c>
      <c r="R1061" s="3" t="str">
        <f>IF(Table1[[#This Row],[Test Results]]&gt;120,"High Risk","Normal")</f>
        <v>High Risk</v>
      </c>
      <c r="S1061" s="3" t="str">
        <f>IF(Table1[[#This Row],[Age]]&lt;=18,"0-18",IF(Table1[[#This Row],[Age]]&lt;=35,"19-35",IF(Table1[[#This Row],[Age]]&lt;=50,"36-50",IF(Table1[[#This Row],[Age]]&lt;=65,"51-65","65+"))))</f>
        <v>36-50</v>
      </c>
    </row>
    <row r="1062" spans="1:19" x14ac:dyDescent="0.3">
      <c r="A1062" s="3" t="s">
        <v>3222</v>
      </c>
      <c r="B1062" s="3">
        <v>18</v>
      </c>
      <c r="C1062" s="3" t="s">
        <v>16</v>
      </c>
      <c r="D1062" s="3" t="s">
        <v>49</v>
      </c>
      <c r="E1062" s="3" t="s">
        <v>18</v>
      </c>
      <c r="F1062" s="4">
        <v>43984</v>
      </c>
      <c r="G1062" s="3" t="s">
        <v>3223</v>
      </c>
      <c r="H1062" s="3" t="s">
        <v>3224</v>
      </c>
      <c r="I1062" s="3" t="s">
        <v>57</v>
      </c>
      <c r="J1062" s="5">
        <v>19267.2861863994</v>
      </c>
      <c r="K1062" s="3">
        <v>408</v>
      </c>
      <c r="L1062" s="3" t="s">
        <v>46</v>
      </c>
      <c r="M1062" s="4">
        <v>44014</v>
      </c>
      <c r="N1062" s="3" t="s">
        <v>32</v>
      </c>
      <c r="O1062" s="3" t="s">
        <v>47</v>
      </c>
      <c r="P1062" s="3" t="str">
        <f>IF(Table1[[#This Row],[Billing Amount]]&lt;5000,"Low",IF(Table1[[#This Row],[Billing Amount]]&lt;=15000,"Medium","High"))</f>
        <v>High</v>
      </c>
      <c r="Q1062" s="3" t="str">
        <f>IF(Table1[[#This Row],[Discharge Date]]="Yes","Discharged","Under Treatment")</f>
        <v>Under Treatment</v>
      </c>
      <c r="R1062" s="3" t="str">
        <f>IF(Table1[[#This Row],[Test Results]]&gt;120,"High Risk","Normal")</f>
        <v>High Risk</v>
      </c>
      <c r="S1062" s="3" t="str">
        <f>IF(Table1[[#This Row],[Age]]&lt;=18,"0-18",IF(Table1[[#This Row],[Age]]&lt;=35,"19-35",IF(Table1[[#This Row],[Age]]&lt;=50,"36-50",IF(Table1[[#This Row],[Age]]&lt;=65,"51-65","65+"))))</f>
        <v>0-18</v>
      </c>
    </row>
    <row r="1063" spans="1:19" x14ac:dyDescent="0.3">
      <c r="A1063" s="3" t="s">
        <v>3225</v>
      </c>
      <c r="B1063" s="3">
        <v>43</v>
      </c>
      <c r="C1063" s="3" t="s">
        <v>35</v>
      </c>
      <c r="D1063" s="3" t="s">
        <v>59</v>
      </c>
      <c r="E1063" s="3" t="s">
        <v>54</v>
      </c>
      <c r="F1063" s="4">
        <v>45173</v>
      </c>
      <c r="G1063" s="3" t="s">
        <v>3226</v>
      </c>
      <c r="H1063" s="3" t="s">
        <v>3227</v>
      </c>
      <c r="I1063" s="3" t="s">
        <v>39</v>
      </c>
      <c r="J1063" s="5">
        <v>8063.3022073370103</v>
      </c>
      <c r="K1063" s="3">
        <v>201</v>
      </c>
      <c r="L1063" s="3" t="s">
        <v>31</v>
      </c>
      <c r="M1063" s="4">
        <v>45188</v>
      </c>
      <c r="N1063" s="3" t="s">
        <v>23</v>
      </c>
      <c r="O1063" s="3" t="s">
        <v>24</v>
      </c>
      <c r="P1063" s="3" t="str">
        <f>IF(Table1[[#This Row],[Billing Amount]]&lt;5000,"Low",IF(Table1[[#This Row],[Billing Amount]]&lt;=15000,"Medium","High"))</f>
        <v>Medium</v>
      </c>
      <c r="Q1063" s="3" t="str">
        <f>IF(Table1[[#This Row],[Discharge Date]]="Yes","Discharged","Under Treatment")</f>
        <v>Under Treatment</v>
      </c>
      <c r="R1063" s="3" t="str">
        <f>IF(Table1[[#This Row],[Test Results]]&gt;120,"High Risk","Normal")</f>
        <v>High Risk</v>
      </c>
      <c r="S1063" s="3" t="str">
        <f>IF(Table1[[#This Row],[Age]]&lt;=18,"0-18",IF(Table1[[#This Row],[Age]]&lt;=35,"19-35",IF(Table1[[#This Row],[Age]]&lt;=50,"36-50",IF(Table1[[#This Row],[Age]]&lt;=65,"51-65","65+"))))</f>
        <v>36-50</v>
      </c>
    </row>
    <row r="1064" spans="1:19" x14ac:dyDescent="0.3">
      <c r="A1064" s="3" t="s">
        <v>3228</v>
      </c>
      <c r="B1064" s="3">
        <v>30</v>
      </c>
      <c r="C1064" s="3" t="s">
        <v>35</v>
      </c>
      <c r="D1064" s="3" t="s">
        <v>122</v>
      </c>
      <c r="E1064" s="3" t="s">
        <v>76</v>
      </c>
      <c r="F1064" s="4">
        <v>44941</v>
      </c>
      <c r="G1064" s="3" t="s">
        <v>3229</v>
      </c>
      <c r="H1064" s="3" t="s">
        <v>3230</v>
      </c>
      <c r="I1064" s="3" t="s">
        <v>30</v>
      </c>
      <c r="J1064" s="5">
        <v>40623.262035928703</v>
      </c>
      <c r="K1064" s="3">
        <v>163</v>
      </c>
      <c r="L1064" s="3" t="s">
        <v>31</v>
      </c>
      <c r="M1064" s="4">
        <v>44956</v>
      </c>
      <c r="N1064" s="3" t="s">
        <v>79</v>
      </c>
      <c r="O1064" s="3" t="s">
        <v>47</v>
      </c>
      <c r="P1064" s="3" t="str">
        <f>IF(Table1[[#This Row],[Billing Amount]]&lt;5000,"Low",IF(Table1[[#This Row],[Billing Amount]]&lt;=15000,"Medium","High"))</f>
        <v>High</v>
      </c>
      <c r="Q1064" s="3" t="str">
        <f>IF(Table1[[#This Row],[Discharge Date]]="Yes","Discharged","Under Treatment")</f>
        <v>Under Treatment</v>
      </c>
      <c r="R1064" s="3" t="str">
        <f>IF(Table1[[#This Row],[Test Results]]&gt;120,"High Risk","Normal")</f>
        <v>High Risk</v>
      </c>
      <c r="S1064" s="3" t="str">
        <f>IF(Table1[[#This Row],[Age]]&lt;=18,"0-18",IF(Table1[[#This Row],[Age]]&lt;=35,"19-35",IF(Table1[[#This Row],[Age]]&lt;=50,"36-50",IF(Table1[[#This Row],[Age]]&lt;=65,"51-65","65+"))))</f>
        <v>19-35</v>
      </c>
    </row>
    <row r="1065" spans="1:19" x14ac:dyDescent="0.3">
      <c r="A1065" s="3" t="s">
        <v>3231</v>
      </c>
      <c r="B1065" s="3">
        <v>73</v>
      </c>
      <c r="C1065" s="3" t="s">
        <v>35</v>
      </c>
      <c r="D1065" s="3" t="s">
        <v>59</v>
      </c>
      <c r="E1065" s="3" t="s">
        <v>76</v>
      </c>
      <c r="F1065" s="4">
        <v>44843</v>
      </c>
      <c r="G1065" s="3" t="s">
        <v>3232</v>
      </c>
      <c r="H1065" s="3" t="s">
        <v>3233</v>
      </c>
      <c r="I1065" s="3" t="s">
        <v>30</v>
      </c>
      <c r="J1065" s="5">
        <v>23805.106139800399</v>
      </c>
      <c r="K1065" s="3">
        <v>116</v>
      </c>
      <c r="L1065" s="3" t="s">
        <v>46</v>
      </c>
      <c r="M1065" s="4">
        <v>44854</v>
      </c>
      <c r="N1065" s="3" t="s">
        <v>32</v>
      </c>
      <c r="O1065" s="3" t="s">
        <v>24</v>
      </c>
      <c r="P1065" s="3" t="str">
        <f>IF(Table1[[#This Row],[Billing Amount]]&lt;5000,"Low",IF(Table1[[#This Row],[Billing Amount]]&lt;=15000,"Medium","High"))</f>
        <v>High</v>
      </c>
      <c r="Q1065" s="3" t="str">
        <f>IF(Table1[[#This Row],[Discharge Date]]="Yes","Discharged","Under Treatment")</f>
        <v>Under Treatment</v>
      </c>
      <c r="R1065" s="3" t="str">
        <f>IF(Table1[[#This Row],[Test Results]]&gt;120,"High Risk","Normal")</f>
        <v>High Risk</v>
      </c>
      <c r="S1065" s="3" t="str">
        <f>IF(Table1[[#This Row],[Age]]&lt;=18,"0-18",IF(Table1[[#This Row],[Age]]&lt;=35,"19-35",IF(Table1[[#This Row],[Age]]&lt;=50,"36-50",IF(Table1[[#This Row],[Age]]&lt;=65,"51-65","65+"))))</f>
        <v>65+</v>
      </c>
    </row>
    <row r="1066" spans="1:19" x14ac:dyDescent="0.3">
      <c r="A1066" s="3" t="s">
        <v>3234</v>
      </c>
      <c r="B1066" s="3">
        <v>41</v>
      </c>
      <c r="C1066" s="3" t="s">
        <v>16</v>
      </c>
      <c r="D1066" s="3" t="s">
        <v>103</v>
      </c>
      <c r="E1066" s="3" t="s">
        <v>93</v>
      </c>
      <c r="F1066" s="4">
        <v>44096</v>
      </c>
      <c r="G1066" s="3" t="s">
        <v>3235</v>
      </c>
      <c r="H1066" s="3" t="s">
        <v>3236</v>
      </c>
      <c r="I1066" s="3" t="s">
        <v>30</v>
      </c>
      <c r="J1066" s="5">
        <v>44801.8907561409</v>
      </c>
      <c r="K1066" s="3">
        <v>477</v>
      </c>
      <c r="L1066" s="3" t="s">
        <v>22</v>
      </c>
      <c r="M1066" s="4">
        <v>44100</v>
      </c>
      <c r="N1066" s="3" t="s">
        <v>79</v>
      </c>
      <c r="O1066" s="3" t="s">
        <v>33</v>
      </c>
      <c r="P1066" s="3" t="str">
        <f>IF(Table1[[#This Row],[Billing Amount]]&lt;5000,"Low",IF(Table1[[#This Row],[Billing Amount]]&lt;=15000,"Medium","High"))</f>
        <v>High</v>
      </c>
      <c r="Q1066" s="3" t="str">
        <f>IF(Table1[[#This Row],[Discharge Date]]="Yes","Discharged","Under Treatment")</f>
        <v>Under Treatment</v>
      </c>
      <c r="R1066" s="3" t="str">
        <f>IF(Table1[[#This Row],[Test Results]]&gt;120,"High Risk","Normal")</f>
        <v>High Risk</v>
      </c>
      <c r="S1066" s="3" t="str">
        <f>IF(Table1[[#This Row],[Age]]&lt;=18,"0-18",IF(Table1[[#This Row],[Age]]&lt;=35,"19-35",IF(Table1[[#This Row],[Age]]&lt;=50,"36-50",IF(Table1[[#This Row],[Age]]&lt;=65,"51-65","65+"))))</f>
        <v>36-50</v>
      </c>
    </row>
    <row r="1067" spans="1:19" x14ac:dyDescent="0.3">
      <c r="A1067" s="3" t="s">
        <v>3237</v>
      </c>
      <c r="B1067" s="3">
        <v>55</v>
      </c>
      <c r="C1067" s="3" t="s">
        <v>16</v>
      </c>
      <c r="D1067" s="3" t="s">
        <v>49</v>
      </c>
      <c r="E1067" s="3" t="s">
        <v>54</v>
      </c>
      <c r="F1067" s="4">
        <v>45027</v>
      </c>
      <c r="G1067" s="3" t="s">
        <v>3238</v>
      </c>
      <c r="H1067" s="3" t="s">
        <v>3239</v>
      </c>
      <c r="I1067" s="3" t="s">
        <v>30</v>
      </c>
      <c r="J1067" s="5">
        <v>42868.120139748702</v>
      </c>
      <c r="K1067" s="3">
        <v>485</v>
      </c>
      <c r="L1067" s="3" t="s">
        <v>22</v>
      </c>
      <c r="M1067" s="4">
        <v>45033</v>
      </c>
      <c r="N1067" s="3" t="s">
        <v>79</v>
      </c>
      <c r="O1067" s="3" t="s">
        <v>47</v>
      </c>
      <c r="P1067" s="3" t="str">
        <f>IF(Table1[[#This Row],[Billing Amount]]&lt;5000,"Low",IF(Table1[[#This Row],[Billing Amount]]&lt;=15000,"Medium","High"))</f>
        <v>High</v>
      </c>
      <c r="Q1067" s="3" t="str">
        <f>IF(Table1[[#This Row],[Discharge Date]]="Yes","Discharged","Under Treatment")</f>
        <v>Under Treatment</v>
      </c>
      <c r="R1067" s="3" t="str">
        <f>IF(Table1[[#This Row],[Test Results]]&gt;120,"High Risk","Normal")</f>
        <v>High Risk</v>
      </c>
      <c r="S1067" s="3" t="str">
        <f>IF(Table1[[#This Row],[Age]]&lt;=18,"0-18",IF(Table1[[#This Row],[Age]]&lt;=35,"19-35",IF(Table1[[#This Row],[Age]]&lt;=50,"36-50",IF(Table1[[#This Row],[Age]]&lt;=65,"51-65","65+"))))</f>
        <v>51-65</v>
      </c>
    </row>
    <row r="1068" spans="1:19" x14ac:dyDescent="0.3">
      <c r="A1068" s="3" t="s">
        <v>3240</v>
      </c>
      <c r="B1068" s="3">
        <v>38</v>
      </c>
      <c r="C1068" s="3" t="s">
        <v>16</v>
      </c>
      <c r="D1068" s="3" t="s">
        <v>49</v>
      </c>
      <c r="E1068" s="3" t="s">
        <v>27</v>
      </c>
      <c r="F1068" s="4">
        <v>44324</v>
      </c>
      <c r="G1068" s="3" t="s">
        <v>3241</v>
      </c>
      <c r="H1068" s="3" t="s">
        <v>3242</v>
      </c>
      <c r="I1068" s="3" t="s">
        <v>30</v>
      </c>
      <c r="J1068" s="5">
        <v>10514.1802125421</v>
      </c>
      <c r="K1068" s="3">
        <v>337</v>
      </c>
      <c r="L1068" s="3" t="s">
        <v>22</v>
      </c>
      <c r="M1068" s="4">
        <v>44350</v>
      </c>
      <c r="N1068" s="3" t="s">
        <v>32</v>
      </c>
      <c r="O1068" s="3" t="s">
        <v>33</v>
      </c>
      <c r="P1068" s="3" t="str">
        <f>IF(Table1[[#This Row],[Billing Amount]]&lt;5000,"Low",IF(Table1[[#This Row],[Billing Amount]]&lt;=15000,"Medium","High"))</f>
        <v>Medium</v>
      </c>
      <c r="Q1068" s="3" t="str">
        <f>IF(Table1[[#This Row],[Discharge Date]]="Yes","Discharged","Under Treatment")</f>
        <v>Under Treatment</v>
      </c>
      <c r="R1068" s="3" t="str">
        <f>IF(Table1[[#This Row],[Test Results]]&gt;120,"High Risk","Normal")</f>
        <v>High Risk</v>
      </c>
      <c r="S1068" s="3" t="str">
        <f>IF(Table1[[#This Row],[Age]]&lt;=18,"0-18",IF(Table1[[#This Row],[Age]]&lt;=35,"19-35",IF(Table1[[#This Row],[Age]]&lt;=50,"36-50",IF(Table1[[#This Row],[Age]]&lt;=65,"51-65","65+"))))</f>
        <v>36-50</v>
      </c>
    </row>
    <row r="1069" spans="1:19" x14ac:dyDescent="0.3">
      <c r="A1069" s="3" t="s">
        <v>3243</v>
      </c>
      <c r="B1069" s="3">
        <v>54</v>
      </c>
      <c r="C1069" s="3" t="s">
        <v>16</v>
      </c>
      <c r="D1069" s="3" t="s">
        <v>17</v>
      </c>
      <c r="E1069" s="3" t="s">
        <v>27</v>
      </c>
      <c r="F1069" s="4">
        <v>43815</v>
      </c>
      <c r="G1069" s="3" t="s">
        <v>3244</v>
      </c>
      <c r="H1069" s="3" t="s">
        <v>3245</v>
      </c>
      <c r="I1069" s="3" t="s">
        <v>65</v>
      </c>
      <c r="J1069" s="5">
        <v>7249.7079236522604</v>
      </c>
      <c r="K1069" s="3">
        <v>476</v>
      </c>
      <c r="L1069" s="3" t="s">
        <v>22</v>
      </c>
      <c r="M1069" s="4">
        <v>43843</v>
      </c>
      <c r="N1069" s="3" t="s">
        <v>23</v>
      </c>
      <c r="O1069" s="3" t="s">
        <v>47</v>
      </c>
      <c r="P1069" s="3" t="str">
        <f>IF(Table1[[#This Row],[Billing Amount]]&lt;5000,"Low",IF(Table1[[#This Row],[Billing Amount]]&lt;=15000,"Medium","High"))</f>
        <v>Medium</v>
      </c>
      <c r="Q1069" s="3" t="str">
        <f>IF(Table1[[#This Row],[Discharge Date]]="Yes","Discharged","Under Treatment")</f>
        <v>Under Treatment</v>
      </c>
      <c r="R1069" s="3" t="str">
        <f>IF(Table1[[#This Row],[Test Results]]&gt;120,"High Risk","Normal")</f>
        <v>High Risk</v>
      </c>
      <c r="S1069" s="3" t="str">
        <f>IF(Table1[[#This Row],[Age]]&lt;=18,"0-18",IF(Table1[[#This Row],[Age]]&lt;=35,"19-35",IF(Table1[[#This Row],[Age]]&lt;=50,"36-50",IF(Table1[[#This Row],[Age]]&lt;=65,"51-65","65+"))))</f>
        <v>51-65</v>
      </c>
    </row>
    <row r="1070" spans="1:19" x14ac:dyDescent="0.3">
      <c r="A1070" s="3" t="s">
        <v>3246</v>
      </c>
      <c r="B1070" s="3">
        <v>53</v>
      </c>
      <c r="C1070" s="3" t="s">
        <v>35</v>
      </c>
      <c r="D1070" s="3" t="s">
        <v>59</v>
      </c>
      <c r="E1070" s="3" t="s">
        <v>43</v>
      </c>
      <c r="F1070" s="4">
        <v>45287</v>
      </c>
      <c r="G1070" s="3" t="s">
        <v>3247</v>
      </c>
      <c r="H1070" s="3" t="s">
        <v>3248</v>
      </c>
      <c r="I1070" s="3" t="s">
        <v>65</v>
      </c>
      <c r="J1070" s="5">
        <v>2690.4563664287898</v>
      </c>
      <c r="K1070" s="3">
        <v>175</v>
      </c>
      <c r="L1070" s="3" t="s">
        <v>31</v>
      </c>
      <c r="M1070" s="4">
        <v>45288</v>
      </c>
      <c r="N1070" s="3" t="s">
        <v>52</v>
      </c>
      <c r="O1070" s="3" t="s">
        <v>47</v>
      </c>
      <c r="P1070" s="3" t="str">
        <f>IF(Table1[[#This Row],[Billing Amount]]&lt;5000,"Low",IF(Table1[[#This Row],[Billing Amount]]&lt;=15000,"Medium","High"))</f>
        <v>Low</v>
      </c>
      <c r="Q1070" s="3" t="str">
        <f>IF(Table1[[#This Row],[Discharge Date]]="Yes","Discharged","Under Treatment")</f>
        <v>Under Treatment</v>
      </c>
      <c r="R1070" s="3" t="str">
        <f>IF(Table1[[#This Row],[Test Results]]&gt;120,"High Risk","Normal")</f>
        <v>High Risk</v>
      </c>
      <c r="S1070" s="3" t="str">
        <f>IF(Table1[[#This Row],[Age]]&lt;=18,"0-18",IF(Table1[[#This Row],[Age]]&lt;=35,"19-35",IF(Table1[[#This Row],[Age]]&lt;=50,"36-50",IF(Table1[[#This Row],[Age]]&lt;=65,"51-65","65+"))))</f>
        <v>51-65</v>
      </c>
    </row>
    <row r="1071" spans="1:19" x14ac:dyDescent="0.3">
      <c r="A1071" s="3" t="s">
        <v>3249</v>
      </c>
      <c r="B1071" s="3">
        <v>66</v>
      </c>
      <c r="C1071" s="3" t="s">
        <v>35</v>
      </c>
      <c r="D1071" s="3" t="s">
        <v>59</v>
      </c>
      <c r="E1071" s="3" t="s">
        <v>76</v>
      </c>
      <c r="F1071" s="4">
        <v>44620</v>
      </c>
      <c r="G1071" s="3" t="s">
        <v>3250</v>
      </c>
      <c r="H1071" s="3" t="s">
        <v>3251</v>
      </c>
      <c r="I1071" s="3" t="s">
        <v>30</v>
      </c>
      <c r="J1071" s="5">
        <v>40671.873292719298</v>
      </c>
      <c r="K1071" s="3">
        <v>123</v>
      </c>
      <c r="L1071" s="3" t="s">
        <v>22</v>
      </c>
      <c r="M1071" s="4">
        <v>44636</v>
      </c>
      <c r="N1071" s="3" t="s">
        <v>40</v>
      </c>
      <c r="O1071" s="3" t="s">
        <v>24</v>
      </c>
      <c r="P1071" s="3" t="str">
        <f>IF(Table1[[#This Row],[Billing Amount]]&lt;5000,"Low",IF(Table1[[#This Row],[Billing Amount]]&lt;=15000,"Medium","High"))</f>
        <v>High</v>
      </c>
      <c r="Q1071" s="3" t="str">
        <f>IF(Table1[[#This Row],[Discharge Date]]="Yes","Discharged","Under Treatment")</f>
        <v>Under Treatment</v>
      </c>
      <c r="R1071" s="3" t="str">
        <f>IF(Table1[[#This Row],[Test Results]]&gt;120,"High Risk","Normal")</f>
        <v>High Risk</v>
      </c>
      <c r="S1071" s="3" t="str">
        <f>IF(Table1[[#This Row],[Age]]&lt;=18,"0-18",IF(Table1[[#This Row],[Age]]&lt;=35,"19-35",IF(Table1[[#This Row],[Age]]&lt;=50,"36-50",IF(Table1[[#This Row],[Age]]&lt;=65,"51-65","65+"))))</f>
        <v>65+</v>
      </c>
    </row>
    <row r="1072" spans="1:19" x14ac:dyDescent="0.3">
      <c r="A1072" s="3" t="s">
        <v>3252</v>
      </c>
      <c r="B1072" s="3">
        <v>24</v>
      </c>
      <c r="C1072" s="3" t="s">
        <v>35</v>
      </c>
      <c r="D1072" s="3" t="s">
        <v>42</v>
      </c>
      <c r="E1072" s="3" t="s">
        <v>18</v>
      </c>
      <c r="F1072" s="4">
        <v>44672</v>
      </c>
      <c r="G1072" s="3" t="s">
        <v>3253</v>
      </c>
      <c r="H1072" s="3" t="s">
        <v>3254</v>
      </c>
      <c r="I1072" s="3" t="s">
        <v>57</v>
      </c>
      <c r="J1072" s="5">
        <v>9160.7903040186993</v>
      </c>
      <c r="K1072" s="3">
        <v>277</v>
      </c>
      <c r="L1072" s="3" t="s">
        <v>46</v>
      </c>
      <c r="M1072" s="4">
        <v>44673</v>
      </c>
      <c r="N1072" s="3" t="s">
        <v>52</v>
      </c>
      <c r="O1072" s="3" t="s">
        <v>47</v>
      </c>
      <c r="P1072" s="3" t="str">
        <f>IF(Table1[[#This Row],[Billing Amount]]&lt;5000,"Low",IF(Table1[[#This Row],[Billing Amount]]&lt;=15000,"Medium","High"))</f>
        <v>Medium</v>
      </c>
      <c r="Q1072" s="3" t="str">
        <f>IF(Table1[[#This Row],[Discharge Date]]="Yes","Discharged","Under Treatment")</f>
        <v>Under Treatment</v>
      </c>
      <c r="R1072" s="3" t="str">
        <f>IF(Table1[[#This Row],[Test Results]]&gt;120,"High Risk","Normal")</f>
        <v>High Risk</v>
      </c>
      <c r="S1072" s="3" t="str">
        <f>IF(Table1[[#This Row],[Age]]&lt;=18,"0-18",IF(Table1[[#This Row],[Age]]&lt;=35,"19-35",IF(Table1[[#This Row],[Age]]&lt;=50,"36-50",IF(Table1[[#This Row],[Age]]&lt;=65,"51-65","65+"))))</f>
        <v>19-35</v>
      </c>
    </row>
    <row r="1073" spans="1:19" x14ac:dyDescent="0.3">
      <c r="A1073" s="3" t="s">
        <v>3255</v>
      </c>
      <c r="B1073" s="3">
        <v>77</v>
      </c>
      <c r="C1073" s="3" t="s">
        <v>35</v>
      </c>
      <c r="D1073" s="3" t="s">
        <v>122</v>
      </c>
      <c r="E1073" s="3" t="s">
        <v>76</v>
      </c>
      <c r="F1073" s="4">
        <v>44949</v>
      </c>
      <c r="G1073" s="3" t="s">
        <v>3256</v>
      </c>
      <c r="H1073" s="3" t="s">
        <v>3257</v>
      </c>
      <c r="I1073" s="3" t="s">
        <v>39</v>
      </c>
      <c r="J1073" s="5">
        <v>18358.654877770699</v>
      </c>
      <c r="K1073" s="3">
        <v>478</v>
      </c>
      <c r="L1073" s="3" t="s">
        <v>46</v>
      </c>
      <c r="M1073" s="4">
        <v>44956</v>
      </c>
      <c r="N1073" s="3" t="s">
        <v>52</v>
      </c>
      <c r="O1073" s="3" t="s">
        <v>47</v>
      </c>
      <c r="P1073" s="3" t="str">
        <f>IF(Table1[[#This Row],[Billing Amount]]&lt;5000,"Low",IF(Table1[[#This Row],[Billing Amount]]&lt;=15000,"Medium","High"))</f>
        <v>High</v>
      </c>
      <c r="Q1073" s="3" t="str">
        <f>IF(Table1[[#This Row],[Discharge Date]]="Yes","Discharged","Under Treatment")</f>
        <v>Under Treatment</v>
      </c>
      <c r="R1073" s="3" t="str">
        <f>IF(Table1[[#This Row],[Test Results]]&gt;120,"High Risk","Normal")</f>
        <v>High Risk</v>
      </c>
      <c r="S1073" s="3" t="str">
        <f>IF(Table1[[#This Row],[Age]]&lt;=18,"0-18",IF(Table1[[#This Row],[Age]]&lt;=35,"19-35",IF(Table1[[#This Row],[Age]]&lt;=50,"36-50",IF(Table1[[#This Row],[Age]]&lt;=65,"51-65","65+"))))</f>
        <v>65+</v>
      </c>
    </row>
    <row r="1074" spans="1:19" x14ac:dyDescent="0.3">
      <c r="A1074" s="3" t="s">
        <v>3258</v>
      </c>
      <c r="B1074" s="3">
        <v>68</v>
      </c>
      <c r="C1074" s="3" t="s">
        <v>16</v>
      </c>
      <c r="D1074" s="3" t="s">
        <v>122</v>
      </c>
      <c r="E1074" s="3" t="s">
        <v>18</v>
      </c>
      <c r="F1074" s="4">
        <v>43777</v>
      </c>
      <c r="G1074" s="3" t="s">
        <v>3259</v>
      </c>
      <c r="H1074" s="3" t="s">
        <v>3260</v>
      </c>
      <c r="I1074" s="3" t="s">
        <v>30</v>
      </c>
      <c r="J1074" s="5">
        <v>43296.339676877098</v>
      </c>
      <c r="K1074" s="3">
        <v>207</v>
      </c>
      <c r="L1074" s="3" t="s">
        <v>22</v>
      </c>
      <c r="M1074" s="4">
        <v>43798</v>
      </c>
      <c r="N1074" s="3" t="s">
        <v>32</v>
      </c>
      <c r="O1074" s="3" t="s">
        <v>24</v>
      </c>
      <c r="P1074" s="3" t="str">
        <f>IF(Table1[[#This Row],[Billing Amount]]&lt;5000,"Low",IF(Table1[[#This Row],[Billing Amount]]&lt;=15000,"Medium","High"))</f>
        <v>High</v>
      </c>
      <c r="Q1074" s="3" t="str">
        <f>IF(Table1[[#This Row],[Discharge Date]]="Yes","Discharged","Under Treatment")</f>
        <v>Under Treatment</v>
      </c>
      <c r="R1074" s="3" t="str">
        <f>IF(Table1[[#This Row],[Test Results]]&gt;120,"High Risk","Normal")</f>
        <v>High Risk</v>
      </c>
      <c r="S1074" s="3" t="str">
        <f>IF(Table1[[#This Row],[Age]]&lt;=18,"0-18",IF(Table1[[#This Row],[Age]]&lt;=35,"19-35",IF(Table1[[#This Row],[Age]]&lt;=50,"36-50",IF(Table1[[#This Row],[Age]]&lt;=65,"51-65","65+"))))</f>
        <v>65+</v>
      </c>
    </row>
    <row r="1075" spans="1:19" x14ac:dyDescent="0.3">
      <c r="A1075" s="3" t="s">
        <v>3261</v>
      </c>
      <c r="B1075" s="3">
        <v>67</v>
      </c>
      <c r="C1075" s="3" t="s">
        <v>16</v>
      </c>
      <c r="D1075" s="3" t="s">
        <v>26</v>
      </c>
      <c r="E1075" s="3" t="s">
        <v>76</v>
      </c>
      <c r="F1075" s="4">
        <v>44188</v>
      </c>
      <c r="G1075" s="3" t="s">
        <v>3262</v>
      </c>
      <c r="H1075" s="3" t="s">
        <v>3263</v>
      </c>
      <c r="I1075" s="3" t="s">
        <v>21</v>
      </c>
      <c r="J1075" s="5">
        <v>36816.347104319299</v>
      </c>
      <c r="K1075" s="3">
        <v>116</v>
      </c>
      <c r="L1075" s="3" t="s">
        <v>46</v>
      </c>
      <c r="M1075" s="4">
        <v>44201</v>
      </c>
      <c r="N1075" s="3" t="s">
        <v>79</v>
      </c>
      <c r="O1075" s="3" t="s">
        <v>47</v>
      </c>
      <c r="P1075" s="3" t="str">
        <f>IF(Table1[[#This Row],[Billing Amount]]&lt;5000,"Low",IF(Table1[[#This Row],[Billing Amount]]&lt;=15000,"Medium","High"))</f>
        <v>High</v>
      </c>
      <c r="Q1075" s="3" t="str">
        <f>IF(Table1[[#This Row],[Discharge Date]]="Yes","Discharged","Under Treatment")</f>
        <v>Under Treatment</v>
      </c>
      <c r="R1075" s="3" t="str">
        <f>IF(Table1[[#This Row],[Test Results]]&gt;120,"High Risk","Normal")</f>
        <v>High Risk</v>
      </c>
      <c r="S1075" s="3" t="str">
        <f>IF(Table1[[#This Row],[Age]]&lt;=18,"0-18",IF(Table1[[#This Row],[Age]]&lt;=35,"19-35",IF(Table1[[#This Row],[Age]]&lt;=50,"36-50",IF(Table1[[#This Row],[Age]]&lt;=65,"51-65","65+"))))</f>
        <v>65+</v>
      </c>
    </row>
    <row r="1076" spans="1:19" x14ac:dyDescent="0.3">
      <c r="A1076" s="3" t="s">
        <v>3264</v>
      </c>
      <c r="B1076" s="3">
        <v>57</v>
      </c>
      <c r="C1076" s="3" t="s">
        <v>16</v>
      </c>
      <c r="D1076" s="3" t="s">
        <v>49</v>
      </c>
      <c r="E1076" s="3" t="s">
        <v>27</v>
      </c>
      <c r="F1076" s="4">
        <v>44223</v>
      </c>
      <c r="G1076" s="3" t="s">
        <v>3265</v>
      </c>
      <c r="H1076" s="3" t="s">
        <v>3266</v>
      </c>
      <c r="I1076" s="3" t="s">
        <v>39</v>
      </c>
      <c r="J1076" s="5">
        <v>43147.691637148302</v>
      </c>
      <c r="K1076" s="3">
        <v>317</v>
      </c>
      <c r="L1076" s="3" t="s">
        <v>31</v>
      </c>
      <c r="M1076" s="4">
        <v>44247</v>
      </c>
      <c r="N1076" s="3" t="s">
        <v>52</v>
      </c>
      <c r="O1076" s="3" t="s">
        <v>33</v>
      </c>
      <c r="P1076" s="3" t="str">
        <f>IF(Table1[[#This Row],[Billing Amount]]&lt;5000,"Low",IF(Table1[[#This Row],[Billing Amount]]&lt;=15000,"Medium","High"))</f>
        <v>High</v>
      </c>
      <c r="Q1076" s="3" t="str">
        <f>IF(Table1[[#This Row],[Discharge Date]]="Yes","Discharged","Under Treatment")</f>
        <v>Under Treatment</v>
      </c>
      <c r="R1076" s="3" t="str">
        <f>IF(Table1[[#This Row],[Test Results]]&gt;120,"High Risk","Normal")</f>
        <v>High Risk</v>
      </c>
      <c r="S1076" s="3" t="str">
        <f>IF(Table1[[#This Row],[Age]]&lt;=18,"0-18",IF(Table1[[#This Row],[Age]]&lt;=35,"19-35",IF(Table1[[#This Row],[Age]]&lt;=50,"36-50",IF(Table1[[#This Row],[Age]]&lt;=65,"51-65","65+"))))</f>
        <v>51-65</v>
      </c>
    </row>
    <row r="1077" spans="1:19" x14ac:dyDescent="0.3">
      <c r="A1077" s="3" t="s">
        <v>3267</v>
      </c>
      <c r="B1077" s="3">
        <v>54</v>
      </c>
      <c r="C1077" s="3" t="s">
        <v>35</v>
      </c>
      <c r="D1077" s="3" t="s">
        <v>42</v>
      </c>
      <c r="E1077" s="3" t="s">
        <v>93</v>
      </c>
      <c r="F1077" s="4">
        <v>44314</v>
      </c>
      <c r="G1077" s="3" t="s">
        <v>3268</v>
      </c>
      <c r="H1077" s="3" t="s">
        <v>3269</v>
      </c>
      <c r="I1077" s="3" t="s">
        <v>65</v>
      </c>
      <c r="J1077" s="5">
        <v>8152.6993861941</v>
      </c>
      <c r="K1077" s="3">
        <v>464</v>
      </c>
      <c r="L1077" s="3" t="s">
        <v>46</v>
      </c>
      <c r="M1077" s="4">
        <v>44324</v>
      </c>
      <c r="N1077" s="3" t="s">
        <v>23</v>
      </c>
      <c r="O1077" s="3" t="s">
        <v>24</v>
      </c>
      <c r="P1077" s="3" t="str">
        <f>IF(Table1[[#This Row],[Billing Amount]]&lt;5000,"Low",IF(Table1[[#This Row],[Billing Amount]]&lt;=15000,"Medium","High"))</f>
        <v>Medium</v>
      </c>
      <c r="Q1077" s="3" t="str">
        <f>IF(Table1[[#This Row],[Discharge Date]]="Yes","Discharged","Under Treatment")</f>
        <v>Under Treatment</v>
      </c>
      <c r="R1077" s="3" t="str">
        <f>IF(Table1[[#This Row],[Test Results]]&gt;120,"High Risk","Normal")</f>
        <v>High Risk</v>
      </c>
      <c r="S1077" s="3" t="str">
        <f>IF(Table1[[#This Row],[Age]]&lt;=18,"0-18",IF(Table1[[#This Row],[Age]]&lt;=35,"19-35",IF(Table1[[#This Row],[Age]]&lt;=50,"36-50",IF(Table1[[#This Row],[Age]]&lt;=65,"51-65","65+"))))</f>
        <v>51-65</v>
      </c>
    </row>
    <row r="1078" spans="1:19" x14ac:dyDescent="0.3">
      <c r="A1078" s="3" t="s">
        <v>3270</v>
      </c>
      <c r="B1078" s="3">
        <v>80</v>
      </c>
      <c r="C1078" s="3" t="s">
        <v>35</v>
      </c>
      <c r="D1078" s="3" t="s">
        <v>122</v>
      </c>
      <c r="E1078" s="3" t="s">
        <v>18</v>
      </c>
      <c r="F1078" s="4">
        <v>44743</v>
      </c>
      <c r="G1078" s="3" t="s">
        <v>3271</v>
      </c>
      <c r="H1078" s="3" t="s">
        <v>3272</v>
      </c>
      <c r="I1078" s="3" t="s">
        <v>30</v>
      </c>
      <c r="J1078" s="5">
        <v>9659.1992681273005</v>
      </c>
      <c r="K1078" s="3">
        <v>200</v>
      </c>
      <c r="L1078" s="3" t="s">
        <v>31</v>
      </c>
      <c r="M1078" s="4">
        <v>44762</v>
      </c>
      <c r="N1078" s="3" t="s">
        <v>79</v>
      </c>
      <c r="O1078" s="3" t="s">
        <v>47</v>
      </c>
      <c r="P1078" s="3" t="str">
        <f>IF(Table1[[#This Row],[Billing Amount]]&lt;5000,"Low",IF(Table1[[#This Row],[Billing Amount]]&lt;=15000,"Medium","High"))</f>
        <v>Medium</v>
      </c>
      <c r="Q1078" s="3" t="str">
        <f>IF(Table1[[#This Row],[Discharge Date]]="Yes","Discharged","Under Treatment")</f>
        <v>Under Treatment</v>
      </c>
      <c r="R1078" s="3" t="str">
        <f>IF(Table1[[#This Row],[Test Results]]&gt;120,"High Risk","Normal")</f>
        <v>High Risk</v>
      </c>
      <c r="S1078" s="3" t="str">
        <f>IF(Table1[[#This Row],[Age]]&lt;=18,"0-18",IF(Table1[[#This Row],[Age]]&lt;=35,"19-35",IF(Table1[[#This Row],[Age]]&lt;=50,"36-50",IF(Table1[[#This Row],[Age]]&lt;=65,"51-65","65+"))))</f>
        <v>65+</v>
      </c>
    </row>
    <row r="1079" spans="1:19" x14ac:dyDescent="0.3">
      <c r="A1079" s="3" t="s">
        <v>3273</v>
      </c>
      <c r="B1079" s="3">
        <v>73</v>
      </c>
      <c r="C1079" s="3" t="s">
        <v>35</v>
      </c>
      <c r="D1079" s="3" t="s">
        <v>59</v>
      </c>
      <c r="E1079" s="3" t="s">
        <v>27</v>
      </c>
      <c r="F1079" s="4">
        <v>45275</v>
      </c>
      <c r="G1079" s="3" t="s">
        <v>3274</v>
      </c>
      <c r="H1079" s="3" t="s">
        <v>3275</v>
      </c>
      <c r="I1079" s="3" t="s">
        <v>39</v>
      </c>
      <c r="J1079" s="5">
        <v>37787.639768609602</v>
      </c>
      <c r="K1079" s="3">
        <v>168</v>
      </c>
      <c r="L1079" s="3" t="s">
        <v>31</v>
      </c>
      <c r="M1079" s="4">
        <v>45302</v>
      </c>
      <c r="N1079" s="3" t="s">
        <v>52</v>
      </c>
      <c r="O1079" s="3" t="s">
        <v>47</v>
      </c>
      <c r="P1079" s="3" t="str">
        <f>IF(Table1[[#This Row],[Billing Amount]]&lt;5000,"Low",IF(Table1[[#This Row],[Billing Amount]]&lt;=15000,"Medium","High"))</f>
        <v>High</v>
      </c>
      <c r="Q1079" s="3" t="str">
        <f>IF(Table1[[#This Row],[Discharge Date]]="Yes","Discharged","Under Treatment")</f>
        <v>Under Treatment</v>
      </c>
      <c r="R1079" s="3" t="str">
        <f>IF(Table1[[#This Row],[Test Results]]&gt;120,"High Risk","Normal")</f>
        <v>High Risk</v>
      </c>
      <c r="S1079" s="3" t="str">
        <f>IF(Table1[[#This Row],[Age]]&lt;=18,"0-18",IF(Table1[[#This Row],[Age]]&lt;=35,"19-35",IF(Table1[[#This Row],[Age]]&lt;=50,"36-50",IF(Table1[[#This Row],[Age]]&lt;=65,"51-65","65+"))))</f>
        <v>65+</v>
      </c>
    </row>
    <row r="1080" spans="1:19" x14ac:dyDescent="0.3">
      <c r="A1080" s="3" t="s">
        <v>3276</v>
      </c>
      <c r="B1080" s="3">
        <v>84</v>
      </c>
      <c r="C1080" s="3" t="s">
        <v>16</v>
      </c>
      <c r="D1080" s="3" t="s">
        <v>103</v>
      </c>
      <c r="E1080" s="3" t="s">
        <v>93</v>
      </c>
      <c r="F1080" s="4">
        <v>44959</v>
      </c>
      <c r="G1080" s="3" t="s">
        <v>3277</v>
      </c>
      <c r="H1080" s="3" t="s">
        <v>3278</v>
      </c>
      <c r="I1080" s="3" t="s">
        <v>21</v>
      </c>
      <c r="J1080" s="5">
        <v>15849.6727365521</v>
      </c>
      <c r="K1080" s="3">
        <v>341</v>
      </c>
      <c r="L1080" s="3" t="s">
        <v>31</v>
      </c>
      <c r="M1080" s="4">
        <v>44962</v>
      </c>
      <c r="N1080" s="3" t="s">
        <v>79</v>
      </c>
      <c r="O1080" s="3" t="s">
        <v>47</v>
      </c>
      <c r="P1080" s="3" t="str">
        <f>IF(Table1[[#This Row],[Billing Amount]]&lt;5000,"Low",IF(Table1[[#This Row],[Billing Amount]]&lt;=15000,"Medium","High"))</f>
        <v>High</v>
      </c>
      <c r="Q1080" s="3" t="str">
        <f>IF(Table1[[#This Row],[Discharge Date]]="Yes","Discharged","Under Treatment")</f>
        <v>Under Treatment</v>
      </c>
      <c r="R1080" s="3" t="str">
        <f>IF(Table1[[#This Row],[Test Results]]&gt;120,"High Risk","Normal")</f>
        <v>High Risk</v>
      </c>
      <c r="S1080" s="3" t="str">
        <f>IF(Table1[[#This Row],[Age]]&lt;=18,"0-18",IF(Table1[[#This Row],[Age]]&lt;=35,"19-35",IF(Table1[[#This Row],[Age]]&lt;=50,"36-50",IF(Table1[[#This Row],[Age]]&lt;=65,"51-65","65+"))))</f>
        <v>65+</v>
      </c>
    </row>
    <row r="1081" spans="1:19" x14ac:dyDescent="0.3">
      <c r="A1081" s="3" t="s">
        <v>3279</v>
      </c>
      <c r="B1081" s="3">
        <v>61</v>
      </c>
      <c r="C1081" s="3" t="s">
        <v>35</v>
      </c>
      <c r="D1081" s="3" t="s">
        <v>17</v>
      </c>
      <c r="E1081" s="3" t="s">
        <v>93</v>
      </c>
      <c r="F1081" s="4">
        <v>44862</v>
      </c>
      <c r="G1081" s="3" t="s">
        <v>3280</v>
      </c>
      <c r="H1081" s="3" t="s">
        <v>3281</v>
      </c>
      <c r="I1081" s="3" t="s">
        <v>21</v>
      </c>
      <c r="J1081" s="5">
        <v>23797.903866963599</v>
      </c>
      <c r="K1081" s="3">
        <v>457</v>
      </c>
      <c r="L1081" s="3" t="s">
        <v>46</v>
      </c>
      <c r="M1081" s="4">
        <v>44871</v>
      </c>
      <c r="N1081" s="3" t="s">
        <v>52</v>
      </c>
      <c r="O1081" s="3" t="s">
        <v>47</v>
      </c>
      <c r="P1081" s="3" t="str">
        <f>IF(Table1[[#This Row],[Billing Amount]]&lt;5000,"Low",IF(Table1[[#This Row],[Billing Amount]]&lt;=15000,"Medium","High"))</f>
        <v>High</v>
      </c>
      <c r="Q1081" s="3" t="str">
        <f>IF(Table1[[#This Row],[Discharge Date]]="Yes","Discharged","Under Treatment")</f>
        <v>Under Treatment</v>
      </c>
      <c r="R1081" s="3" t="str">
        <f>IF(Table1[[#This Row],[Test Results]]&gt;120,"High Risk","Normal")</f>
        <v>High Risk</v>
      </c>
      <c r="S1081" s="3" t="str">
        <f>IF(Table1[[#This Row],[Age]]&lt;=18,"0-18",IF(Table1[[#This Row],[Age]]&lt;=35,"19-35",IF(Table1[[#This Row],[Age]]&lt;=50,"36-50",IF(Table1[[#This Row],[Age]]&lt;=65,"51-65","65+"))))</f>
        <v>51-65</v>
      </c>
    </row>
    <row r="1082" spans="1:19" x14ac:dyDescent="0.3">
      <c r="A1082" s="3" t="s">
        <v>3282</v>
      </c>
      <c r="B1082" s="3">
        <v>56</v>
      </c>
      <c r="C1082" s="3" t="s">
        <v>35</v>
      </c>
      <c r="D1082" s="3" t="s">
        <v>103</v>
      </c>
      <c r="E1082" s="3" t="s">
        <v>18</v>
      </c>
      <c r="F1082" s="4">
        <v>45124</v>
      </c>
      <c r="G1082" s="3" t="s">
        <v>3283</v>
      </c>
      <c r="H1082" s="3" t="s">
        <v>3284</v>
      </c>
      <c r="I1082" s="3" t="s">
        <v>30</v>
      </c>
      <c r="J1082" s="5">
        <v>16790.704825598201</v>
      </c>
      <c r="K1082" s="3">
        <v>480</v>
      </c>
      <c r="L1082" s="3" t="s">
        <v>46</v>
      </c>
      <c r="M1082" s="4">
        <v>45147</v>
      </c>
      <c r="N1082" s="3" t="s">
        <v>32</v>
      </c>
      <c r="O1082" s="3" t="s">
        <v>47</v>
      </c>
      <c r="P1082" s="3" t="str">
        <f>IF(Table1[[#This Row],[Billing Amount]]&lt;5000,"Low",IF(Table1[[#This Row],[Billing Amount]]&lt;=15000,"Medium","High"))</f>
        <v>High</v>
      </c>
      <c r="Q1082" s="3" t="str">
        <f>IF(Table1[[#This Row],[Discharge Date]]="Yes","Discharged","Under Treatment")</f>
        <v>Under Treatment</v>
      </c>
      <c r="R1082" s="3" t="str">
        <f>IF(Table1[[#This Row],[Test Results]]&gt;120,"High Risk","Normal")</f>
        <v>High Risk</v>
      </c>
      <c r="S1082" s="3" t="str">
        <f>IF(Table1[[#This Row],[Age]]&lt;=18,"0-18",IF(Table1[[#This Row],[Age]]&lt;=35,"19-35",IF(Table1[[#This Row],[Age]]&lt;=50,"36-50",IF(Table1[[#This Row],[Age]]&lt;=65,"51-65","65+"))))</f>
        <v>51-65</v>
      </c>
    </row>
    <row r="1083" spans="1:19" x14ac:dyDescent="0.3">
      <c r="A1083" s="3" t="s">
        <v>3285</v>
      </c>
      <c r="B1083" s="3">
        <v>82</v>
      </c>
      <c r="C1083" s="3" t="s">
        <v>16</v>
      </c>
      <c r="D1083" s="3" t="s">
        <v>103</v>
      </c>
      <c r="E1083" s="3" t="s">
        <v>18</v>
      </c>
      <c r="F1083" s="4">
        <v>43980</v>
      </c>
      <c r="G1083" s="3" t="s">
        <v>3286</v>
      </c>
      <c r="H1083" s="3" t="s">
        <v>3287</v>
      </c>
      <c r="I1083" s="3" t="s">
        <v>39</v>
      </c>
      <c r="J1083" s="5">
        <v>12592.652914812999</v>
      </c>
      <c r="K1083" s="3">
        <v>204</v>
      </c>
      <c r="L1083" s="3" t="s">
        <v>31</v>
      </c>
      <c r="M1083" s="4">
        <v>43992</v>
      </c>
      <c r="N1083" s="3" t="s">
        <v>79</v>
      </c>
      <c r="O1083" s="3" t="s">
        <v>47</v>
      </c>
      <c r="P1083" s="3" t="str">
        <f>IF(Table1[[#This Row],[Billing Amount]]&lt;5000,"Low",IF(Table1[[#This Row],[Billing Amount]]&lt;=15000,"Medium","High"))</f>
        <v>Medium</v>
      </c>
      <c r="Q1083" s="3" t="str">
        <f>IF(Table1[[#This Row],[Discharge Date]]="Yes","Discharged","Under Treatment")</f>
        <v>Under Treatment</v>
      </c>
      <c r="R1083" s="3" t="str">
        <f>IF(Table1[[#This Row],[Test Results]]&gt;120,"High Risk","Normal")</f>
        <v>High Risk</v>
      </c>
      <c r="S1083" s="3" t="str">
        <f>IF(Table1[[#This Row],[Age]]&lt;=18,"0-18",IF(Table1[[#This Row],[Age]]&lt;=35,"19-35",IF(Table1[[#This Row],[Age]]&lt;=50,"36-50",IF(Table1[[#This Row],[Age]]&lt;=65,"51-65","65+"))))</f>
        <v>65+</v>
      </c>
    </row>
    <row r="1084" spans="1:19" x14ac:dyDescent="0.3">
      <c r="A1084" s="3" t="s">
        <v>3288</v>
      </c>
      <c r="B1084" s="3">
        <v>71</v>
      </c>
      <c r="C1084" s="3" t="s">
        <v>35</v>
      </c>
      <c r="D1084" s="3" t="s">
        <v>26</v>
      </c>
      <c r="E1084" s="3" t="s">
        <v>43</v>
      </c>
      <c r="F1084" s="4">
        <v>43797</v>
      </c>
      <c r="G1084" s="3" t="s">
        <v>3289</v>
      </c>
      <c r="H1084" s="3" t="s">
        <v>3290</v>
      </c>
      <c r="I1084" s="3" t="s">
        <v>30</v>
      </c>
      <c r="J1084" s="5">
        <v>20609.662235466501</v>
      </c>
      <c r="K1084" s="3">
        <v>145</v>
      </c>
      <c r="L1084" s="3" t="s">
        <v>31</v>
      </c>
      <c r="M1084" s="4">
        <v>43806</v>
      </c>
      <c r="N1084" s="3" t="s">
        <v>40</v>
      </c>
      <c r="O1084" s="3" t="s">
        <v>33</v>
      </c>
      <c r="P1084" s="3" t="str">
        <f>IF(Table1[[#This Row],[Billing Amount]]&lt;5000,"Low",IF(Table1[[#This Row],[Billing Amount]]&lt;=15000,"Medium","High"))</f>
        <v>High</v>
      </c>
      <c r="Q1084" s="3" t="str">
        <f>IF(Table1[[#This Row],[Discharge Date]]="Yes","Discharged","Under Treatment")</f>
        <v>Under Treatment</v>
      </c>
      <c r="R1084" s="3" t="str">
        <f>IF(Table1[[#This Row],[Test Results]]&gt;120,"High Risk","Normal")</f>
        <v>High Risk</v>
      </c>
      <c r="S1084" s="3" t="str">
        <f>IF(Table1[[#This Row],[Age]]&lt;=18,"0-18",IF(Table1[[#This Row],[Age]]&lt;=35,"19-35",IF(Table1[[#This Row],[Age]]&lt;=50,"36-50",IF(Table1[[#This Row],[Age]]&lt;=65,"51-65","65+"))))</f>
        <v>65+</v>
      </c>
    </row>
    <row r="1085" spans="1:19" x14ac:dyDescent="0.3">
      <c r="A1085" s="3" t="s">
        <v>3291</v>
      </c>
      <c r="B1085" s="3">
        <v>80</v>
      </c>
      <c r="C1085" s="3" t="s">
        <v>35</v>
      </c>
      <c r="D1085" s="3" t="s">
        <v>26</v>
      </c>
      <c r="E1085" s="3" t="s">
        <v>27</v>
      </c>
      <c r="F1085" s="4">
        <v>45321</v>
      </c>
      <c r="G1085" s="3" t="s">
        <v>3292</v>
      </c>
      <c r="H1085" s="3" t="s">
        <v>3293</v>
      </c>
      <c r="I1085" s="3" t="s">
        <v>39</v>
      </c>
      <c r="J1085" s="5">
        <v>8602.0589836377294</v>
      </c>
      <c r="K1085" s="3">
        <v>131</v>
      </c>
      <c r="L1085" s="3" t="s">
        <v>31</v>
      </c>
      <c r="M1085" s="4">
        <v>45341</v>
      </c>
      <c r="N1085" s="3" t="s">
        <v>40</v>
      </c>
      <c r="O1085" s="3" t="s">
        <v>24</v>
      </c>
      <c r="P1085" s="3" t="str">
        <f>IF(Table1[[#This Row],[Billing Amount]]&lt;5000,"Low",IF(Table1[[#This Row],[Billing Amount]]&lt;=15000,"Medium","High"))</f>
        <v>Medium</v>
      </c>
      <c r="Q1085" s="3" t="str">
        <f>IF(Table1[[#This Row],[Discharge Date]]="Yes","Discharged","Under Treatment")</f>
        <v>Under Treatment</v>
      </c>
      <c r="R1085" s="3" t="str">
        <f>IF(Table1[[#This Row],[Test Results]]&gt;120,"High Risk","Normal")</f>
        <v>High Risk</v>
      </c>
      <c r="S1085" s="3" t="str">
        <f>IF(Table1[[#This Row],[Age]]&lt;=18,"0-18",IF(Table1[[#This Row],[Age]]&lt;=35,"19-35",IF(Table1[[#This Row],[Age]]&lt;=50,"36-50",IF(Table1[[#This Row],[Age]]&lt;=65,"51-65","65+"))))</f>
        <v>65+</v>
      </c>
    </row>
    <row r="1086" spans="1:19" x14ac:dyDescent="0.3">
      <c r="A1086" s="3" t="s">
        <v>3294</v>
      </c>
      <c r="B1086" s="3">
        <v>21</v>
      </c>
      <c r="C1086" s="3" t="s">
        <v>16</v>
      </c>
      <c r="D1086" s="3" t="s">
        <v>49</v>
      </c>
      <c r="E1086" s="3" t="s">
        <v>18</v>
      </c>
      <c r="F1086" s="4">
        <v>44928</v>
      </c>
      <c r="G1086" s="3" t="s">
        <v>3295</v>
      </c>
      <c r="H1086" s="3" t="s">
        <v>3296</v>
      </c>
      <c r="I1086" s="3" t="s">
        <v>57</v>
      </c>
      <c r="J1086" s="5">
        <v>41128.721195275401</v>
      </c>
      <c r="K1086" s="3">
        <v>499</v>
      </c>
      <c r="L1086" s="3" t="s">
        <v>31</v>
      </c>
      <c r="M1086" s="4">
        <v>44936</v>
      </c>
      <c r="N1086" s="3" t="s">
        <v>79</v>
      </c>
      <c r="O1086" s="3" t="s">
        <v>33</v>
      </c>
      <c r="P1086" s="3" t="str">
        <f>IF(Table1[[#This Row],[Billing Amount]]&lt;5000,"Low",IF(Table1[[#This Row],[Billing Amount]]&lt;=15000,"Medium","High"))</f>
        <v>High</v>
      </c>
      <c r="Q1086" s="3" t="str">
        <f>IF(Table1[[#This Row],[Discharge Date]]="Yes","Discharged","Under Treatment")</f>
        <v>Under Treatment</v>
      </c>
      <c r="R1086" s="3" t="str">
        <f>IF(Table1[[#This Row],[Test Results]]&gt;120,"High Risk","Normal")</f>
        <v>High Risk</v>
      </c>
      <c r="S1086" s="3" t="str">
        <f>IF(Table1[[#This Row],[Age]]&lt;=18,"0-18",IF(Table1[[#This Row],[Age]]&lt;=35,"19-35",IF(Table1[[#This Row],[Age]]&lt;=50,"36-50",IF(Table1[[#This Row],[Age]]&lt;=65,"51-65","65+"))))</f>
        <v>19-35</v>
      </c>
    </row>
    <row r="1087" spans="1:19" x14ac:dyDescent="0.3">
      <c r="A1087" s="3" t="s">
        <v>3297</v>
      </c>
      <c r="B1087" s="3">
        <v>58</v>
      </c>
      <c r="C1087" s="3" t="s">
        <v>35</v>
      </c>
      <c r="D1087" s="3" t="s">
        <v>103</v>
      </c>
      <c r="E1087" s="3" t="s">
        <v>43</v>
      </c>
      <c r="F1087" s="4">
        <v>44805</v>
      </c>
      <c r="G1087" s="3" t="s">
        <v>3298</v>
      </c>
      <c r="H1087" s="3" t="s">
        <v>3299</v>
      </c>
      <c r="I1087" s="3" t="s">
        <v>30</v>
      </c>
      <c r="J1087" s="5">
        <v>23673.9289373295</v>
      </c>
      <c r="K1087" s="3">
        <v>414</v>
      </c>
      <c r="L1087" s="3" t="s">
        <v>46</v>
      </c>
      <c r="M1087" s="4">
        <v>44825</v>
      </c>
      <c r="N1087" s="3" t="s">
        <v>23</v>
      </c>
      <c r="O1087" s="3" t="s">
        <v>24</v>
      </c>
      <c r="P1087" s="3" t="str">
        <f>IF(Table1[[#This Row],[Billing Amount]]&lt;5000,"Low",IF(Table1[[#This Row],[Billing Amount]]&lt;=15000,"Medium","High"))</f>
        <v>High</v>
      </c>
      <c r="Q1087" s="3" t="str">
        <f>IF(Table1[[#This Row],[Discharge Date]]="Yes","Discharged","Under Treatment")</f>
        <v>Under Treatment</v>
      </c>
      <c r="R1087" s="3" t="str">
        <f>IF(Table1[[#This Row],[Test Results]]&gt;120,"High Risk","Normal")</f>
        <v>High Risk</v>
      </c>
      <c r="S1087" s="3" t="str">
        <f>IF(Table1[[#This Row],[Age]]&lt;=18,"0-18",IF(Table1[[#This Row],[Age]]&lt;=35,"19-35",IF(Table1[[#This Row],[Age]]&lt;=50,"36-50",IF(Table1[[#This Row],[Age]]&lt;=65,"51-65","65+"))))</f>
        <v>51-65</v>
      </c>
    </row>
    <row r="1088" spans="1:19" x14ac:dyDescent="0.3">
      <c r="A1088" s="3" t="s">
        <v>3301</v>
      </c>
      <c r="B1088" s="3">
        <v>60</v>
      </c>
      <c r="C1088" s="3" t="s">
        <v>35</v>
      </c>
      <c r="D1088" s="3" t="s">
        <v>36</v>
      </c>
      <c r="E1088" s="3" t="s">
        <v>18</v>
      </c>
      <c r="F1088" s="4">
        <v>44479</v>
      </c>
      <c r="G1088" s="3" t="s">
        <v>3302</v>
      </c>
      <c r="H1088" s="3" t="s">
        <v>3303</v>
      </c>
      <c r="I1088" s="3" t="s">
        <v>30</v>
      </c>
      <c r="J1088" s="5">
        <v>49701.856977793999</v>
      </c>
      <c r="K1088" s="3">
        <v>358</v>
      </c>
      <c r="L1088" s="3" t="s">
        <v>46</v>
      </c>
      <c r="M1088" s="4">
        <v>44481</v>
      </c>
      <c r="N1088" s="3" t="s">
        <v>32</v>
      </c>
      <c r="O1088" s="3" t="s">
        <v>24</v>
      </c>
      <c r="P1088" s="3" t="str">
        <f>IF(Table1[[#This Row],[Billing Amount]]&lt;5000,"Low",IF(Table1[[#This Row],[Billing Amount]]&lt;=15000,"Medium","High"))</f>
        <v>High</v>
      </c>
      <c r="Q1088" s="3" t="str">
        <f>IF(Table1[[#This Row],[Discharge Date]]="Yes","Discharged","Under Treatment")</f>
        <v>Under Treatment</v>
      </c>
      <c r="R1088" s="3" t="str">
        <f>IF(Table1[[#This Row],[Test Results]]&gt;120,"High Risk","Normal")</f>
        <v>High Risk</v>
      </c>
      <c r="S1088" s="3" t="str">
        <f>IF(Table1[[#This Row],[Age]]&lt;=18,"0-18",IF(Table1[[#This Row],[Age]]&lt;=35,"19-35",IF(Table1[[#This Row],[Age]]&lt;=50,"36-50",IF(Table1[[#This Row],[Age]]&lt;=65,"51-65","65+"))))</f>
        <v>51-65</v>
      </c>
    </row>
    <row r="1089" spans="1:19" x14ac:dyDescent="0.3">
      <c r="A1089" s="3" t="s">
        <v>3304</v>
      </c>
      <c r="B1089" s="3">
        <v>50</v>
      </c>
      <c r="C1089" s="3" t="s">
        <v>16</v>
      </c>
      <c r="D1089" s="3" t="s">
        <v>59</v>
      </c>
      <c r="E1089" s="3" t="s">
        <v>54</v>
      </c>
      <c r="F1089" s="4">
        <v>44329</v>
      </c>
      <c r="G1089" s="3" t="s">
        <v>3027</v>
      </c>
      <c r="H1089" s="3" t="s">
        <v>3305</v>
      </c>
      <c r="I1089" s="3" t="s">
        <v>21</v>
      </c>
      <c r="J1089" s="5">
        <v>19554.0080489584</v>
      </c>
      <c r="K1089" s="3">
        <v>204</v>
      </c>
      <c r="L1089" s="3" t="s">
        <v>31</v>
      </c>
      <c r="M1089" s="4">
        <v>44359</v>
      </c>
      <c r="N1089" s="3" t="s">
        <v>32</v>
      </c>
      <c r="O1089" s="3" t="s">
        <v>24</v>
      </c>
      <c r="P1089" s="3" t="str">
        <f>IF(Table1[[#This Row],[Billing Amount]]&lt;5000,"Low",IF(Table1[[#This Row],[Billing Amount]]&lt;=15000,"Medium","High"))</f>
        <v>High</v>
      </c>
      <c r="Q1089" s="3" t="str">
        <f>IF(Table1[[#This Row],[Discharge Date]]="Yes","Discharged","Under Treatment")</f>
        <v>Under Treatment</v>
      </c>
      <c r="R1089" s="3" t="str">
        <f>IF(Table1[[#This Row],[Test Results]]&gt;120,"High Risk","Normal")</f>
        <v>High Risk</v>
      </c>
      <c r="S1089" s="3" t="str">
        <f>IF(Table1[[#This Row],[Age]]&lt;=18,"0-18",IF(Table1[[#This Row],[Age]]&lt;=35,"19-35",IF(Table1[[#This Row],[Age]]&lt;=50,"36-50",IF(Table1[[#This Row],[Age]]&lt;=65,"51-65","65+"))))</f>
        <v>36-50</v>
      </c>
    </row>
    <row r="1090" spans="1:19" x14ac:dyDescent="0.3">
      <c r="A1090" s="3" t="s">
        <v>3306</v>
      </c>
      <c r="B1090" s="3">
        <v>47</v>
      </c>
      <c r="C1090" s="3" t="s">
        <v>16</v>
      </c>
      <c r="D1090" s="3" t="s">
        <v>122</v>
      </c>
      <c r="E1090" s="3" t="s">
        <v>27</v>
      </c>
      <c r="F1090" s="4">
        <v>44508</v>
      </c>
      <c r="G1090" s="3" t="s">
        <v>3307</v>
      </c>
      <c r="H1090" s="3" t="s">
        <v>3308</v>
      </c>
      <c r="I1090" s="3" t="s">
        <v>30</v>
      </c>
      <c r="J1090" s="5">
        <v>4537.4757041229695</v>
      </c>
      <c r="K1090" s="3">
        <v>225</v>
      </c>
      <c r="L1090" s="3" t="s">
        <v>22</v>
      </c>
      <c r="M1090" s="4">
        <v>44523</v>
      </c>
      <c r="N1090" s="3" t="s">
        <v>32</v>
      </c>
      <c r="O1090" s="3" t="s">
        <v>33</v>
      </c>
      <c r="P1090" s="3" t="str">
        <f>IF(Table1[[#This Row],[Billing Amount]]&lt;5000,"Low",IF(Table1[[#This Row],[Billing Amount]]&lt;=15000,"Medium","High"))</f>
        <v>Low</v>
      </c>
      <c r="Q1090" s="3" t="str">
        <f>IF(Table1[[#This Row],[Discharge Date]]="Yes","Discharged","Under Treatment")</f>
        <v>Under Treatment</v>
      </c>
      <c r="R1090" s="3" t="str">
        <f>IF(Table1[[#This Row],[Test Results]]&gt;120,"High Risk","Normal")</f>
        <v>High Risk</v>
      </c>
      <c r="S1090" s="3" t="str">
        <f>IF(Table1[[#This Row],[Age]]&lt;=18,"0-18",IF(Table1[[#This Row],[Age]]&lt;=35,"19-35",IF(Table1[[#This Row],[Age]]&lt;=50,"36-50",IF(Table1[[#This Row],[Age]]&lt;=65,"51-65","65+"))))</f>
        <v>36-50</v>
      </c>
    </row>
    <row r="1091" spans="1:19" x14ac:dyDescent="0.3">
      <c r="A1091" s="3" t="s">
        <v>3309</v>
      </c>
      <c r="B1091" s="3">
        <v>22</v>
      </c>
      <c r="C1091" s="3" t="s">
        <v>16</v>
      </c>
      <c r="D1091" s="3" t="s">
        <v>59</v>
      </c>
      <c r="E1091" s="3" t="s">
        <v>76</v>
      </c>
      <c r="F1091" s="4">
        <v>45162</v>
      </c>
      <c r="G1091" s="3" t="s">
        <v>3310</v>
      </c>
      <c r="H1091" s="3" t="s">
        <v>3311</v>
      </c>
      <c r="I1091" s="3" t="s">
        <v>57</v>
      </c>
      <c r="J1091" s="5">
        <v>42159.558895751499</v>
      </c>
      <c r="K1091" s="3">
        <v>435</v>
      </c>
      <c r="L1091" s="3" t="s">
        <v>31</v>
      </c>
      <c r="M1091" s="4">
        <v>45182</v>
      </c>
      <c r="N1091" s="3" t="s">
        <v>52</v>
      </c>
      <c r="O1091" s="3" t="s">
        <v>24</v>
      </c>
      <c r="P1091" s="3" t="str">
        <f>IF(Table1[[#This Row],[Billing Amount]]&lt;5000,"Low",IF(Table1[[#This Row],[Billing Amount]]&lt;=15000,"Medium","High"))</f>
        <v>High</v>
      </c>
      <c r="Q1091" s="3" t="str">
        <f>IF(Table1[[#This Row],[Discharge Date]]="Yes","Discharged","Under Treatment")</f>
        <v>Under Treatment</v>
      </c>
      <c r="R1091" s="3" t="str">
        <f>IF(Table1[[#This Row],[Test Results]]&gt;120,"High Risk","Normal")</f>
        <v>High Risk</v>
      </c>
      <c r="S1091" s="3" t="str">
        <f>IF(Table1[[#This Row],[Age]]&lt;=18,"0-18",IF(Table1[[#This Row],[Age]]&lt;=35,"19-35",IF(Table1[[#This Row],[Age]]&lt;=50,"36-50",IF(Table1[[#This Row],[Age]]&lt;=65,"51-65","65+"))))</f>
        <v>19-35</v>
      </c>
    </row>
    <row r="1092" spans="1:19" x14ac:dyDescent="0.3">
      <c r="A1092" s="3" t="s">
        <v>3312</v>
      </c>
      <c r="B1092" s="3">
        <v>71</v>
      </c>
      <c r="C1092" s="3" t="s">
        <v>16</v>
      </c>
      <c r="D1092" s="3" t="s">
        <v>59</v>
      </c>
      <c r="E1092" s="3" t="s">
        <v>76</v>
      </c>
      <c r="F1092" s="4">
        <v>44090</v>
      </c>
      <c r="G1092" s="3" t="s">
        <v>3313</v>
      </c>
      <c r="H1092" s="3" t="s">
        <v>3314</v>
      </c>
      <c r="I1092" s="3" t="s">
        <v>39</v>
      </c>
      <c r="J1092" s="5">
        <v>3470.7600334611002</v>
      </c>
      <c r="K1092" s="3">
        <v>442</v>
      </c>
      <c r="L1092" s="3" t="s">
        <v>31</v>
      </c>
      <c r="M1092" s="4">
        <v>44107</v>
      </c>
      <c r="N1092" s="3" t="s">
        <v>79</v>
      </c>
      <c r="O1092" s="3" t="s">
        <v>47</v>
      </c>
      <c r="P1092" s="3" t="str">
        <f>IF(Table1[[#This Row],[Billing Amount]]&lt;5000,"Low",IF(Table1[[#This Row],[Billing Amount]]&lt;=15000,"Medium","High"))</f>
        <v>Low</v>
      </c>
      <c r="Q1092" s="3" t="str">
        <f>IF(Table1[[#This Row],[Discharge Date]]="Yes","Discharged","Under Treatment")</f>
        <v>Under Treatment</v>
      </c>
      <c r="R1092" s="3" t="str">
        <f>IF(Table1[[#This Row],[Test Results]]&gt;120,"High Risk","Normal")</f>
        <v>High Risk</v>
      </c>
      <c r="S1092" s="3" t="str">
        <f>IF(Table1[[#This Row],[Age]]&lt;=18,"0-18",IF(Table1[[#This Row],[Age]]&lt;=35,"19-35",IF(Table1[[#This Row],[Age]]&lt;=50,"36-50",IF(Table1[[#This Row],[Age]]&lt;=65,"51-65","65+"))))</f>
        <v>65+</v>
      </c>
    </row>
    <row r="1093" spans="1:19" x14ac:dyDescent="0.3">
      <c r="A1093" s="3" t="s">
        <v>3317</v>
      </c>
      <c r="B1093" s="3">
        <v>63</v>
      </c>
      <c r="C1093" s="3" t="s">
        <v>16</v>
      </c>
      <c r="D1093" s="3" t="s">
        <v>103</v>
      </c>
      <c r="E1093" s="3" t="s">
        <v>54</v>
      </c>
      <c r="F1093" s="4">
        <v>44648</v>
      </c>
      <c r="G1093" s="3" t="s">
        <v>3318</v>
      </c>
      <c r="H1093" s="3" t="s">
        <v>3319</v>
      </c>
      <c r="I1093" s="3" t="s">
        <v>65</v>
      </c>
      <c r="J1093" s="5">
        <v>33812.097985222201</v>
      </c>
      <c r="K1093" s="3">
        <v>181</v>
      </c>
      <c r="L1093" s="3" t="s">
        <v>22</v>
      </c>
      <c r="M1093" s="4">
        <v>44650</v>
      </c>
      <c r="N1093" s="3" t="s">
        <v>52</v>
      </c>
      <c r="O1093" s="3" t="s">
        <v>47</v>
      </c>
      <c r="P1093" s="3" t="str">
        <f>IF(Table1[[#This Row],[Billing Amount]]&lt;5000,"Low",IF(Table1[[#This Row],[Billing Amount]]&lt;=15000,"Medium","High"))</f>
        <v>High</v>
      </c>
      <c r="Q1093" s="3" t="str">
        <f>IF(Table1[[#This Row],[Discharge Date]]="Yes","Discharged","Under Treatment")</f>
        <v>Under Treatment</v>
      </c>
      <c r="R1093" s="3" t="str">
        <f>IF(Table1[[#This Row],[Test Results]]&gt;120,"High Risk","Normal")</f>
        <v>High Risk</v>
      </c>
      <c r="S1093" s="3" t="str">
        <f>IF(Table1[[#This Row],[Age]]&lt;=18,"0-18",IF(Table1[[#This Row],[Age]]&lt;=35,"19-35",IF(Table1[[#This Row],[Age]]&lt;=50,"36-50",IF(Table1[[#This Row],[Age]]&lt;=65,"51-65","65+"))))</f>
        <v>51-65</v>
      </c>
    </row>
    <row r="1094" spans="1:19" x14ac:dyDescent="0.3">
      <c r="A1094" s="3" t="s">
        <v>3320</v>
      </c>
      <c r="B1094" s="3">
        <v>52</v>
      </c>
      <c r="C1094" s="3" t="s">
        <v>35</v>
      </c>
      <c r="D1094" s="3" t="s">
        <v>122</v>
      </c>
      <c r="E1094" s="3" t="s">
        <v>27</v>
      </c>
      <c r="F1094" s="4">
        <v>43593</v>
      </c>
      <c r="G1094" s="3" t="s">
        <v>3321</v>
      </c>
      <c r="H1094" s="3" t="s">
        <v>3322</v>
      </c>
      <c r="I1094" s="3" t="s">
        <v>65</v>
      </c>
      <c r="J1094" s="5">
        <v>26451.7511459464</v>
      </c>
      <c r="K1094" s="3">
        <v>169</v>
      </c>
      <c r="L1094" s="3" t="s">
        <v>31</v>
      </c>
      <c r="M1094" s="4">
        <v>43598</v>
      </c>
      <c r="N1094" s="3" t="s">
        <v>32</v>
      </c>
      <c r="O1094" s="3" t="s">
        <v>47</v>
      </c>
      <c r="P1094" s="3" t="str">
        <f>IF(Table1[[#This Row],[Billing Amount]]&lt;5000,"Low",IF(Table1[[#This Row],[Billing Amount]]&lt;=15000,"Medium","High"))</f>
        <v>High</v>
      </c>
      <c r="Q1094" s="3" t="str">
        <f>IF(Table1[[#This Row],[Discharge Date]]="Yes","Discharged","Under Treatment")</f>
        <v>Under Treatment</v>
      </c>
      <c r="R1094" s="3" t="str">
        <f>IF(Table1[[#This Row],[Test Results]]&gt;120,"High Risk","Normal")</f>
        <v>High Risk</v>
      </c>
      <c r="S1094" s="3" t="str">
        <f>IF(Table1[[#This Row],[Age]]&lt;=18,"0-18",IF(Table1[[#This Row],[Age]]&lt;=35,"19-35",IF(Table1[[#This Row],[Age]]&lt;=50,"36-50",IF(Table1[[#This Row],[Age]]&lt;=65,"51-65","65+"))))</f>
        <v>51-65</v>
      </c>
    </row>
    <row r="1095" spans="1:19" x14ac:dyDescent="0.3">
      <c r="A1095" s="3" t="s">
        <v>3323</v>
      </c>
      <c r="B1095" s="3">
        <v>50</v>
      </c>
      <c r="C1095" s="3" t="s">
        <v>35</v>
      </c>
      <c r="D1095" s="3" t="s">
        <v>26</v>
      </c>
      <c r="E1095" s="3" t="s">
        <v>43</v>
      </c>
      <c r="F1095" s="4">
        <v>43756</v>
      </c>
      <c r="G1095" s="3" t="s">
        <v>3324</v>
      </c>
      <c r="H1095" s="3" t="s">
        <v>3300</v>
      </c>
      <c r="I1095" s="3" t="s">
        <v>57</v>
      </c>
      <c r="J1095" s="5">
        <v>40619.358945045598</v>
      </c>
      <c r="K1095" s="3">
        <v>440</v>
      </c>
      <c r="L1095" s="3" t="s">
        <v>46</v>
      </c>
      <c r="M1095" s="4">
        <v>43777</v>
      </c>
      <c r="N1095" s="3" t="s">
        <v>32</v>
      </c>
      <c r="O1095" s="3" t="s">
        <v>33</v>
      </c>
      <c r="P1095" s="3" t="str">
        <f>IF(Table1[[#This Row],[Billing Amount]]&lt;5000,"Low",IF(Table1[[#This Row],[Billing Amount]]&lt;=15000,"Medium","High"))</f>
        <v>High</v>
      </c>
      <c r="Q1095" s="3" t="str">
        <f>IF(Table1[[#This Row],[Discharge Date]]="Yes","Discharged","Under Treatment")</f>
        <v>Under Treatment</v>
      </c>
      <c r="R1095" s="3" t="str">
        <f>IF(Table1[[#This Row],[Test Results]]&gt;120,"High Risk","Normal")</f>
        <v>High Risk</v>
      </c>
      <c r="S1095" s="3" t="str">
        <f>IF(Table1[[#This Row],[Age]]&lt;=18,"0-18",IF(Table1[[#This Row],[Age]]&lt;=35,"19-35",IF(Table1[[#This Row],[Age]]&lt;=50,"36-50",IF(Table1[[#This Row],[Age]]&lt;=65,"51-65","65+"))))</f>
        <v>36-50</v>
      </c>
    </row>
    <row r="1096" spans="1:19" x14ac:dyDescent="0.3">
      <c r="A1096" s="3" t="s">
        <v>3325</v>
      </c>
      <c r="B1096" s="3">
        <v>41</v>
      </c>
      <c r="C1096" s="3" t="s">
        <v>16</v>
      </c>
      <c r="D1096" s="3" t="s">
        <v>122</v>
      </c>
      <c r="E1096" s="3" t="s">
        <v>18</v>
      </c>
      <c r="F1096" s="4">
        <v>44036</v>
      </c>
      <c r="G1096" s="3" t="s">
        <v>3326</v>
      </c>
      <c r="H1096" s="3" t="s">
        <v>3327</v>
      </c>
      <c r="I1096" s="3" t="s">
        <v>65</v>
      </c>
      <c r="J1096" s="5">
        <v>38405.3490271517</v>
      </c>
      <c r="K1096" s="3">
        <v>201</v>
      </c>
      <c r="L1096" s="3" t="s">
        <v>31</v>
      </c>
      <c r="M1096" s="4">
        <v>44047</v>
      </c>
      <c r="N1096" s="3" t="s">
        <v>32</v>
      </c>
      <c r="O1096" s="3" t="s">
        <v>47</v>
      </c>
      <c r="P1096" s="3" t="str">
        <f>IF(Table1[[#This Row],[Billing Amount]]&lt;5000,"Low",IF(Table1[[#This Row],[Billing Amount]]&lt;=15000,"Medium","High"))</f>
        <v>High</v>
      </c>
      <c r="Q1096" s="3" t="str">
        <f>IF(Table1[[#This Row],[Discharge Date]]="Yes","Discharged","Under Treatment")</f>
        <v>Under Treatment</v>
      </c>
      <c r="R1096" s="3" t="str">
        <f>IF(Table1[[#This Row],[Test Results]]&gt;120,"High Risk","Normal")</f>
        <v>High Risk</v>
      </c>
      <c r="S1096" s="3" t="str">
        <f>IF(Table1[[#This Row],[Age]]&lt;=18,"0-18",IF(Table1[[#This Row],[Age]]&lt;=35,"19-35",IF(Table1[[#This Row],[Age]]&lt;=50,"36-50",IF(Table1[[#This Row],[Age]]&lt;=65,"51-65","65+"))))</f>
        <v>36-50</v>
      </c>
    </row>
    <row r="1097" spans="1:19" x14ac:dyDescent="0.3">
      <c r="A1097" s="3" t="s">
        <v>3328</v>
      </c>
      <c r="B1097" s="3">
        <v>50</v>
      </c>
      <c r="C1097" s="3" t="s">
        <v>16</v>
      </c>
      <c r="D1097" s="3" t="s">
        <v>26</v>
      </c>
      <c r="E1097" s="3" t="s">
        <v>18</v>
      </c>
      <c r="F1097" s="4">
        <v>44741</v>
      </c>
      <c r="G1097" s="3" t="s">
        <v>3329</v>
      </c>
      <c r="H1097" s="3" t="s">
        <v>3330</v>
      </c>
      <c r="I1097" s="3" t="s">
        <v>65</v>
      </c>
      <c r="J1097" s="5">
        <v>29083.3411597985</v>
      </c>
      <c r="K1097" s="3">
        <v>305</v>
      </c>
      <c r="L1097" s="3" t="s">
        <v>31</v>
      </c>
      <c r="M1097" s="4">
        <v>44755</v>
      </c>
      <c r="N1097" s="3" t="s">
        <v>40</v>
      </c>
      <c r="O1097" s="3" t="s">
        <v>33</v>
      </c>
      <c r="P1097" s="3" t="str">
        <f>IF(Table1[[#This Row],[Billing Amount]]&lt;5000,"Low",IF(Table1[[#This Row],[Billing Amount]]&lt;=15000,"Medium","High"))</f>
        <v>High</v>
      </c>
      <c r="Q1097" s="3" t="str">
        <f>IF(Table1[[#This Row],[Discharge Date]]="Yes","Discharged","Under Treatment")</f>
        <v>Under Treatment</v>
      </c>
      <c r="R1097" s="3" t="str">
        <f>IF(Table1[[#This Row],[Test Results]]&gt;120,"High Risk","Normal")</f>
        <v>High Risk</v>
      </c>
      <c r="S1097" s="3" t="str">
        <f>IF(Table1[[#This Row],[Age]]&lt;=18,"0-18",IF(Table1[[#This Row],[Age]]&lt;=35,"19-35",IF(Table1[[#This Row],[Age]]&lt;=50,"36-50",IF(Table1[[#This Row],[Age]]&lt;=65,"51-65","65+"))))</f>
        <v>36-50</v>
      </c>
    </row>
    <row r="1098" spans="1:19" x14ac:dyDescent="0.3">
      <c r="A1098" s="3" t="s">
        <v>3331</v>
      </c>
      <c r="B1098" s="3">
        <v>56</v>
      </c>
      <c r="C1098" s="3" t="s">
        <v>35</v>
      </c>
      <c r="D1098" s="3" t="s">
        <v>49</v>
      </c>
      <c r="E1098" s="3" t="s">
        <v>27</v>
      </c>
      <c r="F1098" s="4">
        <v>44444</v>
      </c>
      <c r="G1098" s="3" t="s">
        <v>3332</v>
      </c>
      <c r="H1098" s="3" t="s">
        <v>3333</v>
      </c>
      <c r="I1098" s="3" t="s">
        <v>57</v>
      </c>
      <c r="J1098" s="5">
        <v>34638.392180636001</v>
      </c>
      <c r="K1098" s="3">
        <v>117</v>
      </c>
      <c r="L1098" s="3" t="s">
        <v>31</v>
      </c>
      <c r="M1098" s="4">
        <v>44470</v>
      </c>
      <c r="N1098" s="3" t="s">
        <v>32</v>
      </c>
      <c r="O1098" s="3" t="s">
        <v>33</v>
      </c>
      <c r="P1098" s="3" t="str">
        <f>IF(Table1[[#This Row],[Billing Amount]]&lt;5000,"Low",IF(Table1[[#This Row],[Billing Amount]]&lt;=15000,"Medium","High"))</f>
        <v>High</v>
      </c>
      <c r="Q1098" s="3" t="str">
        <f>IF(Table1[[#This Row],[Discharge Date]]="Yes","Discharged","Under Treatment")</f>
        <v>Under Treatment</v>
      </c>
      <c r="R1098" s="3" t="str">
        <f>IF(Table1[[#This Row],[Test Results]]&gt;120,"High Risk","Normal")</f>
        <v>High Risk</v>
      </c>
      <c r="S1098" s="3" t="str">
        <f>IF(Table1[[#This Row],[Age]]&lt;=18,"0-18",IF(Table1[[#This Row],[Age]]&lt;=35,"19-35",IF(Table1[[#This Row],[Age]]&lt;=50,"36-50",IF(Table1[[#This Row],[Age]]&lt;=65,"51-65","65+"))))</f>
        <v>51-65</v>
      </c>
    </row>
    <row r="1099" spans="1:19" x14ac:dyDescent="0.3">
      <c r="A1099" s="3" t="s">
        <v>3334</v>
      </c>
      <c r="B1099" s="3">
        <v>31</v>
      </c>
      <c r="C1099" s="3" t="s">
        <v>35</v>
      </c>
      <c r="D1099" s="3" t="s">
        <v>103</v>
      </c>
      <c r="E1099" s="3" t="s">
        <v>76</v>
      </c>
      <c r="F1099" s="4">
        <v>44982</v>
      </c>
      <c r="G1099" s="3" t="s">
        <v>3335</v>
      </c>
      <c r="H1099" s="3" t="s">
        <v>3336</v>
      </c>
      <c r="I1099" s="3" t="s">
        <v>57</v>
      </c>
      <c r="J1099" s="5">
        <v>41443.6825082293</v>
      </c>
      <c r="K1099" s="3">
        <v>421</v>
      </c>
      <c r="L1099" s="3" t="s">
        <v>22</v>
      </c>
      <c r="M1099" s="4">
        <v>44983</v>
      </c>
      <c r="N1099" s="3" t="s">
        <v>40</v>
      </c>
      <c r="O1099" s="3" t="s">
        <v>33</v>
      </c>
      <c r="P1099" s="3" t="str">
        <f>IF(Table1[[#This Row],[Billing Amount]]&lt;5000,"Low",IF(Table1[[#This Row],[Billing Amount]]&lt;=15000,"Medium","High"))</f>
        <v>High</v>
      </c>
      <c r="Q1099" s="3" t="str">
        <f>IF(Table1[[#This Row],[Discharge Date]]="Yes","Discharged","Under Treatment")</f>
        <v>Under Treatment</v>
      </c>
      <c r="R1099" s="3" t="str">
        <f>IF(Table1[[#This Row],[Test Results]]&gt;120,"High Risk","Normal")</f>
        <v>High Risk</v>
      </c>
      <c r="S1099" s="3" t="str">
        <f>IF(Table1[[#This Row],[Age]]&lt;=18,"0-18",IF(Table1[[#This Row],[Age]]&lt;=35,"19-35",IF(Table1[[#This Row],[Age]]&lt;=50,"36-50",IF(Table1[[#This Row],[Age]]&lt;=65,"51-65","65+"))))</f>
        <v>19-35</v>
      </c>
    </row>
    <row r="1100" spans="1:19" x14ac:dyDescent="0.3">
      <c r="A1100" s="3" t="s">
        <v>3337</v>
      </c>
      <c r="B1100" s="3">
        <v>82</v>
      </c>
      <c r="C1100" s="3" t="s">
        <v>16</v>
      </c>
      <c r="D1100" s="3" t="s">
        <v>49</v>
      </c>
      <c r="E1100" s="3" t="s">
        <v>18</v>
      </c>
      <c r="F1100" s="4">
        <v>44443</v>
      </c>
      <c r="G1100" s="3" t="s">
        <v>3338</v>
      </c>
      <c r="H1100" s="3" t="s">
        <v>3339</v>
      </c>
      <c r="I1100" s="3" t="s">
        <v>30</v>
      </c>
      <c r="J1100" s="5">
        <v>30954.422186844102</v>
      </c>
      <c r="K1100" s="3">
        <v>371</v>
      </c>
      <c r="L1100" s="3" t="s">
        <v>31</v>
      </c>
      <c r="M1100" s="4">
        <v>44471</v>
      </c>
      <c r="N1100" s="3" t="s">
        <v>40</v>
      </c>
      <c r="O1100" s="3" t="s">
        <v>24</v>
      </c>
      <c r="P1100" s="3" t="str">
        <f>IF(Table1[[#This Row],[Billing Amount]]&lt;5000,"Low",IF(Table1[[#This Row],[Billing Amount]]&lt;=15000,"Medium","High"))</f>
        <v>High</v>
      </c>
      <c r="Q1100" s="3" t="str">
        <f>IF(Table1[[#This Row],[Discharge Date]]="Yes","Discharged","Under Treatment")</f>
        <v>Under Treatment</v>
      </c>
      <c r="R1100" s="3" t="str">
        <f>IF(Table1[[#This Row],[Test Results]]&gt;120,"High Risk","Normal")</f>
        <v>High Risk</v>
      </c>
      <c r="S1100" s="3" t="str">
        <f>IF(Table1[[#This Row],[Age]]&lt;=18,"0-18",IF(Table1[[#This Row],[Age]]&lt;=35,"19-35",IF(Table1[[#This Row],[Age]]&lt;=50,"36-50",IF(Table1[[#This Row],[Age]]&lt;=65,"51-65","65+"))))</f>
        <v>65+</v>
      </c>
    </row>
    <row r="1101" spans="1:19" x14ac:dyDescent="0.3">
      <c r="A1101" s="3" t="s">
        <v>3340</v>
      </c>
      <c r="B1101" s="3">
        <v>32</v>
      </c>
      <c r="C1101" s="3" t="s">
        <v>35</v>
      </c>
      <c r="D1101" s="3" t="s">
        <v>49</v>
      </c>
      <c r="E1101" s="3" t="s">
        <v>18</v>
      </c>
      <c r="F1101" s="4">
        <v>43680</v>
      </c>
      <c r="G1101" s="3" t="s">
        <v>3341</v>
      </c>
      <c r="H1101" s="3" t="s">
        <v>3342</v>
      </c>
      <c r="I1101" s="3" t="s">
        <v>39</v>
      </c>
      <c r="J1101" s="5">
        <v>33653.654883162402</v>
      </c>
      <c r="K1101" s="3">
        <v>164</v>
      </c>
      <c r="L1101" s="3" t="s">
        <v>46</v>
      </c>
      <c r="M1101" s="4">
        <v>43683</v>
      </c>
      <c r="N1101" s="3" t="s">
        <v>52</v>
      </c>
      <c r="O1101" s="3" t="s">
        <v>24</v>
      </c>
      <c r="P1101" s="3" t="str">
        <f>IF(Table1[[#This Row],[Billing Amount]]&lt;5000,"Low",IF(Table1[[#This Row],[Billing Amount]]&lt;=15000,"Medium","High"))</f>
        <v>High</v>
      </c>
      <c r="Q1101" s="3" t="str">
        <f>IF(Table1[[#This Row],[Discharge Date]]="Yes","Discharged","Under Treatment")</f>
        <v>Under Treatment</v>
      </c>
      <c r="R1101" s="3" t="str">
        <f>IF(Table1[[#This Row],[Test Results]]&gt;120,"High Risk","Normal")</f>
        <v>High Risk</v>
      </c>
      <c r="S1101" s="3" t="str">
        <f>IF(Table1[[#This Row],[Age]]&lt;=18,"0-18",IF(Table1[[#This Row],[Age]]&lt;=35,"19-35",IF(Table1[[#This Row],[Age]]&lt;=50,"36-50",IF(Table1[[#This Row],[Age]]&lt;=65,"51-65","65+"))))</f>
        <v>19-35</v>
      </c>
    </row>
    <row r="1102" spans="1:19" x14ac:dyDescent="0.3">
      <c r="A1102" s="3" t="s">
        <v>3343</v>
      </c>
      <c r="B1102" s="3">
        <v>41</v>
      </c>
      <c r="C1102" s="3" t="s">
        <v>16</v>
      </c>
      <c r="D1102" s="3" t="s">
        <v>49</v>
      </c>
      <c r="E1102" s="3" t="s">
        <v>43</v>
      </c>
      <c r="F1102" s="4">
        <v>44141</v>
      </c>
      <c r="G1102" s="3" t="s">
        <v>3344</v>
      </c>
      <c r="H1102" s="3" t="s">
        <v>2058</v>
      </c>
      <c r="I1102" s="3" t="s">
        <v>30</v>
      </c>
      <c r="J1102" s="5">
        <v>2669.74563321504</v>
      </c>
      <c r="K1102" s="3">
        <v>432</v>
      </c>
      <c r="L1102" s="3" t="s">
        <v>31</v>
      </c>
      <c r="M1102" s="4">
        <v>44142</v>
      </c>
      <c r="N1102" s="3" t="s">
        <v>32</v>
      </c>
      <c r="O1102" s="3" t="s">
        <v>33</v>
      </c>
      <c r="P1102" s="3" t="str">
        <f>IF(Table1[[#This Row],[Billing Amount]]&lt;5000,"Low",IF(Table1[[#This Row],[Billing Amount]]&lt;=15000,"Medium","High"))</f>
        <v>Low</v>
      </c>
      <c r="Q1102" s="3" t="str">
        <f>IF(Table1[[#This Row],[Discharge Date]]="Yes","Discharged","Under Treatment")</f>
        <v>Under Treatment</v>
      </c>
      <c r="R1102" s="3" t="str">
        <f>IF(Table1[[#This Row],[Test Results]]&gt;120,"High Risk","Normal")</f>
        <v>High Risk</v>
      </c>
      <c r="S1102" s="3" t="str">
        <f>IF(Table1[[#This Row],[Age]]&lt;=18,"0-18",IF(Table1[[#This Row],[Age]]&lt;=35,"19-35",IF(Table1[[#This Row],[Age]]&lt;=50,"36-50",IF(Table1[[#This Row],[Age]]&lt;=65,"51-65","65+"))))</f>
        <v>36-50</v>
      </c>
    </row>
    <row r="1103" spans="1:19" x14ac:dyDescent="0.3">
      <c r="A1103" s="3" t="s">
        <v>3345</v>
      </c>
      <c r="B1103" s="3">
        <v>32</v>
      </c>
      <c r="C1103" s="3" t="s">
        <v>16</v>
      </c>
      <c r="D1103" s="3" t="s">
        <v>26</v>
      </c>
      <c r="E1103" s="3" t="s">
        <v>43</v>
      </c>
      <c r="F1103" s="4">
        <v>44105</v>
      </c>
      <c r="G1103" s="3" t="s">
        <v>3346</v>
      </c>
      <c r="H1103" s="3" t="s">
        <v>3347</v>
      </c>
      <c r="I1103" s="3" t="s">
        <v>65</v>
      </c>
      <c r="J1103" s="5">
        <v>40136.9681803969</v>
      </c>
      <c r="K1103" s="3">
        <v>488</v>
      </c>
      <c r="L1103" s="3" t="s">
        <v>22</v>
      </c>
      <c r="M1103" s="4">
        <v>44116</v>
      </c>
      <c r="N1103" s="3" t="s">
        <v>40</v>
      </c>
      <c r="O1103" s="3" t="s">
        <v>47</v>
      </c>
      <c r="P1103" s="3" t="str">
        <f>IF(Table1[[#This Row],[Billing Amount]]&lt;5000,"Low",IF(Table1[[#This Row],[Billing Amount]]&lt;=15000,"Medium","High"))</f>
        <v>High</v>
      </c>
      <c r="Q1103" s="3" t="str">
        <f>IF(Table1[[#This Row],[Discharge Date]]="Yes","Discharged","Under Treatment")</f>
        <v>Under Treatment</v>
      </c>
      <c r="R1103" s="3" t="str">
        <f>IF(Table1[[#This Row],[Test Results]]&gt;120,"High Risk","Normal")</f>
        <v>High Risk</v>
      </c>
      <c r="S1103" s="3" t="str">
        <f>IF(Table1[[#This Row],[Age]]&lt;=18,"0-18",IF(Table1[[#This Row],[Age]]&lt;=35,"19-35",IF(Table1[[#This Row],[Age]]&lt;=50,"36-50",IF(Table1[[#This Row],[Age]]&lt;=65,"51-65","65+"))))</f>
        <v>19-35</v>
      </c>
    </row>
    <row r="1104" spans="1:19" x14ac:dyDescent="0.3">
      <c r="A1104" s="3" t="s">
        <v>3348</v>
      </c>
      <c r="B1104" s="3">
        <v>74</v>
      </c>
      <c r="C1104" s="3" t="s">
        <v>16</v>
      </c>
      <c r="D1104" s="3" t="s">
        <v>36</v>
      </c>
      <c r="E1104" s="3" t="s">
        <v>93</v>
      </c>
      <c r="F1104" s="4">
        <v>44899</v>
      </c>
      <c r="G1104" s="3" t="s">
        <v>3349</v>
      </c>
      <c r="H1104" s="3" t="s">
        <v>3350</v>
      </c>
      <c r="I1104" s="3" t="s">
        <v>65</v>
      </c>
      <c r="J1104" s="5">
        <v>31911.301871637301</v>
      </c>
      <c r="K1104" s="3">
        <v>445</v>
      </c>
      <c r="L1104" s="3" t="s">
        <v>46</v>
      </c>
      <c r="M1104" s="4">
        <v>44927</v>
      </c>
      <c r="N1104" s="3" t="s">
        <v>32</v>
      </c>
      <c r="O1104" s="3" t="s">
        <v>24</v>
      </c>
      <c r="P1104" s="3" t="str">
        <f>IF(Table1[[#This Row],[Billing Amount]]&lt;5000,"Low",IF(Table1[[#This Row],[Billing Amount]]&lt;=15000,"Medium","High"))</f>
        <v>High</v>
      </c>
      <c r="Q1104" s="3" t="str">
        <f>IF(Table1[[#This Row],[Discharge Date]]="Yes","Discharged","Under Treatment")</f>
        <v>Under Treatment</v>
      </c>
      <c r="R1104" s="3" t="str">
        <f>IF(Table1[[#This Row],[Test Results]]&gt;120,"High Risk","Normal")</f>
        <v>High Risk</v>
      </c>
      <c r="S1104" s="3" t="str">
        <f>IF(Table1[[#This Row],[Age]]&lt;=18,"0-18",IF(Table1[[#This Row],[Age]]&lt;=35,"19-35",IF(Table1[[#This Row],[Age]]&lt;=50,"36-50",IF(Table1[[#This Row],[Age]]&lt;=65,"51-65","65+"))))</f>
        <v>65+</v>
      </c>
    </row>
    <row r="1105" spans="1:19" x14ac:dyDescent="0.3">
      <c r="A1105" s="3" t="s">
        <v>3351</v>
      </c>
      <c r="B1105" s="3">
        <v>62</v>
      </c>
      <c r="C1105" s="3" t="s">
        <v>16</v>
      </c>
      <c r="D1105" s="3" t="s">
        <v>49</v>
      </c>
      <c r="E1105" s="3" t="s">
        <v>54</v>
      </c>
      <c r="F1105" s="4">
        <v>45086</v>
      </c>
      <c r="G1105" s="3" t="s">
        <v>3352</v>
      </c>
      <c r="H1105" s="3" t="s">
        <v>3353</v>
      </c>
      <c r="I1105" s="3" t="s">
        <v>30</v>
      </c>
      <c r="J1105" s="5">
        <v>9508.0825527433499</v>
      </c>
      <c r="K1105" s="3">
        <v>309</v>
      </c>
      <c r="L1105" s="3" t="s">
        <v>22</v>
      </c>
      <c r="M1105" s="4">
        <v>45097</v>
      </c>
      <c r="N1105" s="3" t="s">
        <v>79</v>
      </c>
      <c r="O1105" s="3" t="s">
        <v>33</v>
      </c>
      <c r="P1105" s="3" t="str">
        <f>IF(Table1[[#This Row],[Billing Amount]]&lt;5000,"Low",IF(Table1[[#This Row],[Billing Amount]]&lt;=15000,"Medium","High"))</f>
        <v>Medium</v>
      </c>
      <c r="Q1105" s="3" t="str">
        <f>IF(Table1[[#This Row],[Discharge Date]]="Yes","Discharged","Under Treatment")</f>
        <v>Under Treatment</v>
      </c>
      <c r="R1105" s="3" t="str">
        <f>IF(Table1[[#This Row],[Test Results]]&gt;120,"High Risk","Normal")</f>
        <v>High Risk</v>
      </c>
      <c r="S1105" s="3" t="str">
        <f>IF(Table1[[#This Row],[Age]]&lt;=18,"0-18",IF(Table1[[#This Row],[Age]]&lt;=35,"19-35",IF(Table1[[#This Row],[Age]]&lt;=50,"36-50",IF(Table1[[#This Row],[Age]]&lt;=65,"51-65","65+"))))</f>
        <v>51-65</v>
      </c>
    </row>
    <row r="1106" spans="1:19" x14ac:dyDescent="0.3">
      <c r="A1106" s="3" t="s">
        <v>3355</v>
      </c>
      <c r="B1106" s="3">
        <v>54</v>
      </c>
      <c r="C1106" s="3" t="s">
        <v>16</v>
      </c>
      <c r="D1106" s="3" t="s">
        <v>26</v>
      </c>
      <c r="E1106" s="3" t="s">
        <v>76</v>
      </c>
      <c r="F1106" s="4">
        <v>44043</v>
      </c>
      <c r="G1106" s="3" t="s">
        <v>3356</v>
      </c>
      <c r="H1106" s="3" t="s">
        <v>3357</v>
      </c>
      <c r="I1106" s="3" t="s">
        <v>30</v>
      </c>
      <c r="J1106" s="5">
        <v>21770.014114050002</v>
      </c>
      <c r="K1106" s="3">
        <v>329</v>
      </c>
      <c r="L1106" s="3" t="s">
        <v>31</v>
      </c>
      <c r="M1106" s="4">
        <v>44051</v>
      </c>
      <c r="N1106" s="3" t="s">
        <v>40</v>
      </c>
      <c r="O1106" s="3" t="s">
        <v>33</v>
      </c>
      <c r="P1106" s="3" t="str">
        <f>IF(Table1[[#This Row],[Billing Amount]]&lt;5000,"Low",IF(Table1[[#This Row],[Billing Amount]]&lt;=15000,"Medium","High"))</f>
        <v>High</v>
      </c>
      <c r="Q1106" s="3" t="str">
        <f>IF(Table1[[#This Row],[Discharge Date]]="Yes","Discharged","Under Treatment")</f>
        <v>Under Treatment</v>
      </c>
      <c r="R1106" s="3" t="str">
        <f>IF(Table1[[#This Row],[Test Results]]&gt;120,"High Risk","Normal")</f>
        <v>High Risk</v>
      </c>
      <c r="S1106" s="3" t="str">
        <f>IF(Table1[[#This Row],[Age]]&lt;=18,"0-18",IF(Table1[[#This Row],[Age]]&lt;=35,"19-35",IF(Table1[[#This Row],[Age]]&lt;=50,"36-50",IF(Table1[[#This Row],[Age]]&lt;=65,"51-65","65+"))))</f>
        <v>51-65</v>
      </c>
    </row>
    <row r="1107" spans="1:19" x14ac:dyDescent="0.3">
      <c r="A1107" s="3" t="s">
        <v>3358</v>
      </c>
      <c r="B1107" s="3">
        <v>48</v>
      </c>
      <c r="C1107" s="3" t="s">
        <v>35</v>
      </c>
      <c r="D1107" s="3" t="s">
        <v>42</v>
      </c>
      <c r="E1107" s="3" t="s">
        <v>43</v>
      </c>
      <c r="F1107" s="4">
        <v>44509</v>
      </c>
      <c r="G1107" s="3" t="s">
        <v>3359</v>
      </c>
      <c r="H1107" s="3" t="s">
        <v>3360</v>
      </c>
      <c r="I1107" s="3" t="s">
        <v>21</v>
      </c>
      <c r="J1107" s="5">
        <v>46745.146320928601</v>
      </c>
      <c r="K1107" s="3">
        <v>278</v>
      </c>
      <c r="L1107" s="3" t="s">
        <v>46</v>
      </c>
      <c r="M1107" s="4">
        <v>44527</v>
      </c>
      <c r="N1107" s="3" t="s">
        <v>79</v>
      </c>
      <c r="O1107" s="3" t="s">
        <v>24</v>
      </c>
      <c r="P1107" s="3" t="str">
        <f>IF(Table1[[#This Row],[Billing Amount]]&lt;5000,"Low",IF(Table1[[#This Row],[Billing Amount]]&lt;=15000,"Medium","High"))</f>
        <v>High</v>
      </c>
      <c r="Q1107" s="3" t="str">
        <f>IF(Table1[[#This Row],[Discharge Date]]="Yes","Discharged","Under Treatment")</f>
        <v>Under Treatment</v>
      </c>
      <c r="R1107" s="3" t="str">
        <f>IF(Table1[[#This Row],[Test Results]]&gt;120,"High Risk","Normal")</f>
        <v>High Risk</v>
      </c>
      <c r="S1107" s="3" t="str">
        <f>IF(Table1[[#This Row],[Age]]&lt;=18,"0-18",IF(Table1[[#This Row],[Age]]&lt;=35,"19-35",IF(Table1[[#This Row],[Age]]&lt;=50,"36-50",IF(Table1[[#This Row],[Age]]&lt;=65,"51-65","65+"))))</f>
        <v>36-50</v>
      </c>
    </row>
    <row r="1108" spans="1:19" x14ac:dyDescent="0.3">
      <c r="A1108" s="3" t="s">
        <v>3361</v>
      </c>
      <c r="B1108" s="3">
        <v>71</v>
      </c>
      <c r="C1108" s="3" t="s">
        <v>16</v>
      </c>
      <c r="D1108" s="3" t="s">
        <v>49</v>
      </c>
      <c r="E1108" s="3" t="s">
        <v>54</v>
      </c>
      <c r="F1108" s="4">
        <v>44325</v>
      </c>
      <c r="G1108" s="3" t="s">
        <v>3362</v>
      </c>
      <c r="H1108" s="3" t="s">
        <v>3363</v>
      </c>
      <c r="I1108" s="3" t="s">
        <v>57</v>
      </c>
      <c r="J1108" s="5">
        <v>38023.742124917801</v>
      </c>
      <c r="K1108" s="3">
        <v>455</v>
      </c>
      <c r="L1108" s="3" t="s">
        <v>31</v>
      </c>
      <c r="M1108" s="4">
        <v>44350</v>
      </c>
      <c r="N1108" s="3" t="s">
        <v>23</v>
      </c>
      <c r="O1108" s="3" t="s">
        <v>47</v>
      </c>
      <c r="P1108" s="3" t="str">
        <f>IF(Table1[[#This Row],[Billing Amount]]&lt;5000,"Low",IF(Table1[[#This Row],[Billing Amount]]&lt;=15000,"Medium","High"))</f>
        <v>High</v>
      </c>
      <c r="Q1108" s="3" t="str">
        <f>IF(Table1[[#This Row],[Discharge Date]]="Yes","Discharged","Under Treatment")</f>
        <v>Under Treatment</v>
      </c>
      <c r="R1108" s="3" t="str">
        <f>IF(Table1[[#This Row],[Test Results]]&gt;120,"High Risk","Normal")</f>
        <v>High Risk</v>
      </c>
      <c r="S1108" s="3" t="str">
        <f>IF(Table1[[#This Row],[Age]]&lt;=18,"0-18",IF(Table1[[#This Row],[Age]]&lt;=35,"19-35",IF(Table1[[#This Row],[Age]]&lt;=50,"36-50",IF(Table1[[#This Row],[Age]]&lt;=65,"51-65","65+"))))</f>
        <v>65+</v>
      </c>
    </row>
    <row r="1109" spans="1:19" x14ac:dyDescent="0.3">
      <c r="A1109" s="3" t="s">
        <v>3364</v>
      </c>
      <c r="B1109" s="3">
        <v>83</v>
      </c>
      <c r="C1109" s="3" t="s">
        <v>16</v>
      </c>
      <c r="D1109" s="3" t="s">
        <v>49</v>
      </c>
      <c r="E1109" s="3" t="s">
        <v>76</v>
      </c>
      <c r="F1109" s="4">
        <v>44667</v>
      </c>
      <c r="G1109" s="3" t="s">
        <v>3365</v>
      </c>
      <c r="H1109" s="3" t="s">
        <v>3366</v>
      </c>
      <c r="I1109" s="3" t="s">
        <v>39</v>
      </c>
      <c r="J1109" s="5">
        <v>36715.050571882697</v>
      </c>
      <c r="K1109" s="3">
        <v>274</v>
      </c>
      <c r="L1109" s="3" t="s">
        <v>46</v>
      </c>
      <c r="M1109" s="4">
        <v>44693</v>
      </c>
      <c r="N1109" s="3" t="s">
        <v>79</v>
      </c>
      <c r="O1109" s="3" t="s">
        <v>47</v>
      </c>
      <c r="P1109" s="3" t="str">
        <f>IF(Table1[[#This Row],[Billing Amount]]&lt;5000,"Low",IF(Table1[[#This Row],[Billing Amount]]&lt;=15000,"Medium","High"))</f>
        <v>High</v>
      </c>
      <c r="Q1109" s="3" t="str">
        <f>IF(Table1[[#This Row],[Discharge Date]]="Yes","Discharged","Under Treatment")</f>
        <v>Under Treatment</v>
      </c>
      <c r="R1109" s="3" t="str">
        <f>IF(Table1[[#This Row],[Test Results]]&gt;120,"High Risk","Normal")</f>
        <v>High Risk</v>
      </c>
      <c r="S1109" s="3" t="str">
        <f>IF(Table1[[#This Row],[Age]]&lt;=18,"0-18",IF(Table1[[#This Row],[Age]]&lt;=35,"19-35",IF(Table1[[#This Row],[Age]]&lt;=50,"36-50",IF(Table1[[#This Row],[Age]]&lt;=65,"51-65","65+"))))</f>
        <v>65+</v>
      </c>
    </row>
    <row r="1110" spans="1:19" x14ac:dyDescent="0.3">
      <c r="A1110" s="3" t="s">
        <v>3367</v>
      </c>
      <c r="B1110" s="3">
        <v>80</v>
      </c>
      <c r="C1110" s="3" t="s">
        <v>16</v>
      </c>
      <c r="D1110" s="3" t="s">
        <v>59</v>
      </c>
      <c r="E1110" s="3" t="s">
        <v>27</v>
      </c>
      <c r="F1110" s="4">
        <v>44173</v>
      </c>
      <c r="G1110" s="3" t="s">
        <v>3368</v>
      </c>
      <c r="H1110" s="3" t="s">
        <v>3369</v>
      </c>
      <c r="I1110" s="3" t="s">
        <v>57</v>
      </c>
      <c r="J1110" s="5">
        <v>12239.539895264201</v>
      </c>
      <c r="K1110" s="3">
        <v>457</v>
      </c>
      <c r="L1110" s="3" t="s">
        <v>46</v>
      </c>
      <c r="M1110" s="4">
        <v>44197</v>
      </c>
      <c r="N1110" s="3" t="s">
        <v>32</v>
      </c>
      <c r="O1110" s="3" t="s">
        <v>24</v>
      </c>
      <c r="P1110" s="3" t="str">
        <f>IF(Table1[[#This Row],[Billing Amount]]&lt;5000,"Low",IF(Table1[[#This Row],[Billing Amount]]&lt;=15000,"Medium","High"))</f>
        <v>Medium</v>
      </c>
      <c r="Q1110" s="3" t="str">
        <f>IF(Table1[[#This Row],[Discharge Date]]="Yes","Discharged","Under Treatment")</f>
        <v>Under Treatment</v>
      </c>
      <c r="R1110" s="3" t="str">
        <f>IF(Table1[[#This Row],[Test Results]]&gt;120,"High Risk","Normal")</f>
        <v>High Risk</v>
      </c>
      <c r="S1110" s="3" t="str">
        <f>IF(Table1[[#This Row],[Age]]&lt;=18,"0-18",IF(Table1[[#This Row],[Age]]&lt;=35,"19-35",IF(Table1[[#This Row],[Age]]&lt;=50,"36-50",IF(Table1[[#This Row],[Age]]&lt;=65,"51-65","65+"))))</f>
        <v>65+</v>
      </c>
    </row>
    <row r="1111" spans="1:19" x14ac:dyDescent="0.3">
      <c r="A1111" s="3" t="s">
        <v>3370</v>
      </c>
      <c r="B1111" s="3">
        <v>21</v>
      </c>
      <c r="C1111" s="3" t="s">
        <v>35</v>
      </c>
      <c r="D1111" s="3" t="s">
        <v>49</v>
      </c>
      <c r="E1111" s="3" t="s">
        <v>76</v>
      </c>
      <c r="F1111" s="4">
        <v>44275</v>
      </c>
      <c r="G1111" s="3" t="s">
        <v>3371</v>
      </c>
      <c r="H1111" s="3" t="s">
        <v>3372</v>
      </c>
      <c r="I1111" s="3" t="s">
        <v>39</v>
      </c>
      <c r="J1111" s="5">
        <v>35953.451884665497</v>
      </c>
      <c r="K1111" s="3">
        <v>462</v>
      </c>
      <c r="L1111" s="3" t="s">
        <v>46</v>
      </c>
      <c r="M1111" s="4">
        <v>44276</v>
      </c>
      <c r="N1111" s="3" t="s">
        <v>23</v>
      </c>
      <c r="O1111" s="3" t="s">
        <v>24</v>
      </c>
      <c r="P1111" s="3" t="str">
        <f>IF(Table1[[#This Row],[Billing Amount]]&lt;5000,"Low",IF(Table1[[#This Row],[Billing Amount]]&lt;=15000,"Medium","High"))</f>
        <v>High</v>
      </c>
      <c r="Q1111" s="3" t="str">
        <f>IF(Table1[[#This Row],[Discharge Date]]="Yes","Discharged","Under Treatment")</f>
        <v>Under Treatment</v>
      </c>
      <c r="R1111" s="3" t="str">
        <f>IF(Table1[[#This Row],[Test Results]]&gt;120,"High Risk","Normal")</f>
        <v>High Risk</v>
      </c>
      <c r="S1111" s="3" t="str">
        <f>IF(Table1[[#This Row],[Age]]&lt;=18,"0-18",IF(Table1[[#This Row],[Age]]&lt;=35,"19-35",IF(Table1[[#This Row],[Age]]&lt;=50,"36-50",IF(Table1[[#This Row],[Age]]&lt;=65,"51-65","65+"))))</f>
        <v>19-35</v>
      </c>
    </row>
    <row r="1112" spans="1:19" x14ac:dyDescent="0.3">
      <c r="A1112" s="3" t="s">
        <v>3373</v>
      </c>
      <c r="B1112" s="3">
        <v>60</v>
      </c>
      <c r="C1112" s="3" t="s">
        <v>16</v>
      </c>
      <c r="D1112" s="3" t="s">
        <v>122</v>
      </c>
      <c r="E1112" s="3" t="s">
        <v>54</v>
      </c>
      <c r="F1112" s="4">
        <v>43626</v>
      </c>
      <c r="G1112" s="3" t="s">
        <v>3374</v>
      </c>
      <c r="H1112" s="3" t="s">
        <v>3375</v>
      </c>
      <c r="I1112" s="3" t="s">
        <v>65</v>
      </c>
      <c r="J1112" s="5">
        <v>23025.831662168199</v>
      </c>
      <c r="K1112" s="3">
        <v>426</v>
      </c>
      <c r="L1112" s="3" t="s">
        <v>46</v>
      </c>
      <c r="M1112" s="4">
        <v>43639</v>
      </c>
      <c r="N1112" s="3" t="s">
        <v>79</v>
      </c>
      <c r="O1112" s="3" t="s">
        <v>33</v>
      </c>
      <c r="P1112" s="3" t="str">
        <f>IF(Table1[[#This Row],[Billing Amount]]&lt;5000,"Low",IF(Table1[[#This Row],[Billing Amount]]&lt;=15000,"Medium","High"))</f>
        <v>High</v>
      </c>
      <c r="Q1112" s="3" t="str">
        <f>IF(Table1[[#This Row],[Discharge Date]]="Yes","Discharged","Under Treatment")</f>
        <v>Under Treatment</v>
      </c>
      <c r="R1112" s="3" t="str">
        <f>IF(Table1[[#This Row],[Test Results]]&gt;120,"High Risk","Normal")</f>
        <v>High Risk</v>
      </c>
      <c r="S1112" s="3" t="str">
        <f>IF(Table1[[#This Row],[Age]]&lt;=18,"0-18",IF(Table1[[#This Row],[Age]]&lt;=35,"19-35",IF(Table1[[#This Row],[Age]]&lt;=50,"36-50",IF(Table1[[#This Row],[Age]]&lt;=65,"51-65","65+"))))</f>
        <v>51-65</v>
      </c>
    </row>
    <row r="1113" spans="1:19" x14ac:dyDescent="0.3">
      <c r="A1113" s="3" t="s">
        <v>3376</v>
      </c>
      <c r="B1113" s="3">
        <v>26</v>
      </c>
      <c r="C1113" s="3" t="s">
        <v>35</v>
      </c>
      <c r="D1113" s="3" t="s">
        <v>103</v>
      </c>
      <c r="E1113" s="3" t="s">
        <v>76</v>
      </c>
      <c r="F1113" s="4">
        <v>44489</v>
      </c>
      <c r="G1113" s="3" t="s">
        <v>3377</v>
      </c>
      <c r="H1113" s="3" t="s">
        <v>3378</v>
      </c>
      <c r="I1113" s="3" t="s">
        <v>30</v>
      </c>
      <c r="J1113" s="5">
        <v>20493.745906624001</v>
      </c>
      <c r="K1113" s="3">
        <v>232</v>
      </c>
      <c r="L1113" s="3" t="s">
        <v>46</v>
      </c>
      <c r="M1113" s="4">
        <v>44499</v>
      </c>
      <c r="N1113" s="3" t="s">
        <v>79</v>
      </c>
      <c r="O1113" s="3" t="s">
        <v>24</v>
      </c>
      <c r="P1113" s="3" t="str">
        <f>IF(Table1[[#This Row],[Billing Amount]]&lt;5000,"Low",IF(Table1[[#This Row],[Billing Amount]]&lt;=15000,"Medium","High"))</f>
        <v>High</v>
      </c>
      <c r="Q1113" s="3" t="str">
        <f>IF(Table1[[#This Row],[Discharge Date]]="Yes","Discharged","Under Treatment")</f>
        <v>Under Treatment</v>
      </c>
      <c r="R1113" s="3" t="str">
        <f>IF(Table1[[#This Row],[Test Results]]&gt;120,"High Risk","Normal")</f>
        <v>High Risk</v>
      </c>
      <c r="S1113" s="3" t="str">
        <f>IF(Table1[[#This Row],[Age]]&lt;=18,"0-18",IF(Table1[[#This Row],[Age]]&lt;=35,"19-35",IF(Table1[[#This Row],[Age]]&lt;=50,"36-50",IF(Table1[[#This Row],[Age]]&lt;=65,"51-65","65+"))))</f>
        <v>19-35</v>
      </c>
    </row>
    <row r="1114" spans="1:19" x14ac:dyDescent="0.3">
      <c r="A1114" s="3" t="s">
        <v>3379</v>
      </c>
      <c r="B1114" s="3">
        <v>57</v>
      </c>
      <c r="C1114" s="3" t="s">
        <v>16</v>
      </c>
      <c r="D1114" s="3" t="s">
        <v>49</v>
      </c>
      <c r="E1114" s="3" t="s">
        <v>43</v>
      </c>
      <c r="F1114" s="4">
        <v>45123</v>
      </c>
      <c r="G1114" s="3" t="s">
        <v>3380</v>
      </c>
      <c r="H1114" s="3" t="s">
        <v>1829</v>
      </c>
      <c r="I1114" s="3" t="s">
        <v>30</v>
      </c>
      <c r="J1114" s="5">
        <v>21505.421074872502</v>
      </c>
      <c r="K1114" s="3">
        <v>252</v>
      </c>
      <c r="L1114" s="3" t="s">
        <v>46</v>
      </c>
      <c r="M1114" s="4">
        <v>45147</v>
      </c>
      <c r="N1114" s="3" t="s">
        <v>32</v>
      </c>
      <c r="O1114" s="3" t="s">
        <v>24</v>
      </c>
      <c r="P1114" s="3" t="str">
        <f>IF(Table1[[#This Row],[Billing Amount]]&lt;5000,"Low",IF(Table1[[#This Row],[Billing Amount]]&lt;=15000,"Medium","High"))</f>
        <v>High</v>
      </c>
      <c r="Q1114" s="3" t="str">
        <f>IF(Table1[[#This Row],[Discharge Date]]="Yes","Discharged","Under Treatment")</f>
        <v>Under Treatment</v>
      </c>
      <c r="R1114" s="3" t="str">
        <f>IF(Table1[[#This Row],[Test Results]]&gt;120,"High Risk","Normal")</f>
        <v>High Risk</v>
      </c>
      <c r="S1114" s="3" t="str">
        <f>IF(Table1[[#This Row],[Age]]&lt;=18,"0-18",IF(Table1[[#This Row],[Age]]&lt;=35,"19-35",IF(Table1[[#This Row],[Age]]&lt;=50,"36-50",IF(Table1[[#This Row],[Age]]&lt;=65,"51-65","65+"))))</f>
        <v>51-65</v>
      </c>
    </row>
    <row r="1115" spans="1:19" x14ac:dyDescent="0.3">
      <c r="A1115" s="3" t="s">
        <v>3381</v>
      </c>
      <c r="B1115" s="3">
        <v>39</v>
      </c>
      <c r="C1115" s="3" t="s">
        <v>35</v>
      </c>
      <c r="D1115" s="3" t="s">
        <v>49</v>
      </c>
      <c r="E1115" s="3" t="s">
        <v>27</v>
      </c>
      <c r="F1115" s="4">
        <v>44248</v>
      </c>
      <c r="G1115" s="3" t="s">
        <v>3382</v>
      </c>
      <c r="H1115" s="3" t="s">
        <v>3383</v>
      </c>
      <c r="I1115" s="3" t="s">
        <v>65</v>
      </c>
      <c r="J1115" s="5">
        <v>30096.2482506171</v>
      </c>
      <c r="K1115" s="3">
        <v>122</v>
      </c>
      <c r="L1115" s="3" t="s">
        <v>31</v>
      </c>
      <c r="M1115" s="4">
        <v>44273</v>
      </c>
      <c r="N1115" s="3" t="s">
        <v>23</v>
      </c>
      <c r="O1115" s="3" t="s">
        <v>47</v>
      </c>
      <c r="P1115" s="3" t="str">
        <f>IF(Table1[[#This Row],[Billing Amount]]&lt;5000,"Low",IF(Table1[[#This Row],[Billing Amount]]&lt;=15000,"Medium","High"))</f>
        <v>High</v>
      </c>
      <c r="Q1115" s="3" t="str">
        <f>IF(Table1[[#This Row],[Discharge Date]]="Yes","Discharged","Under Treatment")</f>
        <v>Under Treatment</v>
      </c>
      <c r="R1115" s="3" t="str">
        <f>IF(Table1[[#This Row],[Test Results]]&gt;120,"High Risk","Normal")</f>
        <v>High Risk</v>
      </c>
      <c r="S1115" s="3" t="str">
        <f>IF(Table1[[#This Row],[Age]]&lt;=18,"0-18",IF(Table1[[#This Row],[Age]]&lt;=35,"19-35",IF(Table1[[#This Row],[Age]]&lt;=50,"36-50",IF(Table1[[#This Row],[Age]]&lt;=65,"51-65","65+"))))</f>
        <v>36-50</v>
      </c>
    </row>
    <row r="1116" spans="1:19" x14ac:dyDescent="0.3">
      <c r="A1116" s="3" t="s">
        <v>3384</v>
      </c>
      <c r="B1116" s="3">
        <v>69</v>
      </c>
      <c r="C1116" s="3" t="s">
        <v>35</v>
      </c>
      <c r="D1116" s="3" t="s">
        <v>26</v>
      </c>
      <c r="E1116" s="3" t="s">
        <v>76</v>
      </c>
      <c r="F1116" s="4">
        <v>44584</v>
      </c>
      <c r="G1116" s="3" t="s">
        <v>3385</v>
      </c>
      <c r="H1116" s="3" t="s">
        <v>1092</v>
      </c>
      <c r="I1116" s="3" t="s">
        <v>39</v>
      </c>
      <c r="J1116" s="5">
        <v>26813.049788422701</v>
      </c>
      <c r="K1116" s="3">
        <v>127</v>
      </c>
      <c r="L1116" s="3" t="s">
        <v>22</v>
      </c>
      <c r="M1116" s="4">
        <v>44586</v>
      </c>
      <c r="N1116" s="3" t="s">
        <v>23</v>
      </c>
      <c r="O1116" s="3" t="s">
        <v>47</v>
      </c>
      <c r="P1116" s="3" t="str">
        <f>IF(Table1[[#This Row],[Billing Amount]]&lt;5000,"Low",IF(Table1[[#This Row],[Billing Amount]]&lt;=15000,"Medium","High"))</f>
        <v>High</v>
      </c>
      <c r="Q1116" s="3" t="str">
        <f>IF(Table1[[#This Row],[Discharge Date]]="Yes","Discharged","Under Treatment")</f>
        <v>Under Treatment</v>
      </c>
      <c r="R1116" s="3" t="str">
        <f>IF(Table1[[#This Row],[Test Results]]&gt;120,"High Risk","Normal")</f>
        <v>High Risk</v>
      </c>
      <c r="S1116" s="3" t="str">
        <f>IF(Table1[[#This Row],[Age]]&lt;=18,"0-18",IF(Table1[[#This Row],[Age]]&lt;=35,"19-35",IF(Table1[[#This Row],[Age]]&lt;=50,"36-50",IF(Table1[[#This Row],[Age]]&lt;=65,"51-65","65+"))))</f>
        <v>65+</v>
      </c>
    </row>
    <row r="1117" spans="1:19" x14ac:dyDescent="0.3">
      <c r="A1117" s="3" t="s">
        <v>3386</v>
      </c>
      <c r="B1117" s="3">
        <v>20</v>
      </c>
      <c r="C1117" s="3" t="s">
        <v>16</v>
      </c>
      <c r="D1117" s="3" t="s">
        <v>26</v>
      </c>
      <c r="E1117" s="3" t="s">
        <v>27</v>
      </c>
      <c r="F1117" s="4">
        <v>44867</v>
      </c>
      <c r="G1117" s="3" t="s">
        <v>3387</v>
      </c>
      <c r="H1117" s="3" t="s">
        <v>3388</v>
      </c>
      <c r="I1117" s="3" t="s">
        <v>57</v>
      </c>
      <c r="J1117" s="5">
        <v>22543.5940343947</v>
      </c>
      <c r="K1117" s="3">
        <v>154</v>
      </c>
      <c r="L1117" s="3" t="s">
        <v>46</v>
      </c>
      <c r="M1117" s="4">
        <v>44889</v>
      </c>
      <c r="N1117" s="3" t="s">
        <v>32</v>
      </c>
      <c r="O1117" s="3" t="s">
        <v>24</v>
      </c>
      <c r="P1117" s="3" t="str">
        <f>IF(Table1[[#This Row],[Billing Amount]]&lt;5000,"Low",IF(Table1[[#This Row],[Billing Amount]]&lt;=15000,"Medium","High"))</f>
        <v>High</v>
      </c>
      <c r="Q1117" s="3" t="str">
        <f>IF(Table1[[#This Row],[Discharge Date]]="Yes","Discharged","Under Treatment")</f>
        <v>Under Treatment</v>
      </c>
      <c r="R1117" s="3" t="str">
        <f>IF(Table1[[#This Row],[Test Results]]&gt;120,"High Risk","Normal")</f>
        <v>High Risk</v>
      </c>
      <c r="S1117" s="3" t="str">
        <f>IF(Table1[[#This Row],[Age]]&lt;=18,"0-18",IF(Table1[[#This Row],[Age]]&lt;=35,"19-35",IF(Table1[[#This Row],[Age]]&lt;=50,"36-50",IF(Table1[[#This Row],[Age]]&lt;=65,"51-65","65+"))))</f>
        <v>19-35</v>
      </c>
    </row>
    <row r="1118" spans="1:19" x14ac:dyDescent="0.3">
      <c r="A1118" s="3" t="s">
        <v>3389</v>
      </c>
      <c r="B1118" s="3">
        <v>51</v>
      </c>
      <c r="C1118" s="3" t="s">
        <v>16</v>
      </c>
      <c r="D1118" s="3" t="s">
        <v>26</v>
      </c>
      <c r="E1118" s="3" t="s">
        <v>43</v>
      </c>
      <c r="F1118" s="4">
        <v>45382</v>
      </c>
      <c r="G1118" s="3" t="s">
        <v>3390</v>
      </c>
      <c r="H1118" s="3" t="s">
        <v>3391</v>
      </c>
      <c r="I1118" s="3" t="s">
        <v>57</v>
      </c>
      <c r="J1118" s="5">
        <v>11090.3435591214</v>
      </c>
      <c r="K1118" s="3">
        <v>307</v>
      </c>
      <c r="L1118" s="3" t="s">
        <v>31</v>
      </c>
      <c r="M1118" s="4">
        <v>45387</v>
      </c>
      <c r="N1118" s="3" t="s">
        <v>40</v>
      </c>
      <c r="O1118" s="3" t="s">
        <v>47</v>
      </c>
      <c r="P1118" s="3" t="str">
        <f>IF(Table1[[#This Row],[Billing Amount]]&lt;5000,"Low",IF(Table1[[#This Row],[Billing Amount]]&lt;=15000,"Medium","High"))</f>
        <v>Medium</v>
      </c>
      <c r="Q1118" s="3" t="str">
        <f>IF(Table1[[#This Row],[Discharge Date]]="Yes","Discharged","Under Treatment")</f>
        <v>Under Treatment</v>
      </c>
      <c r="R1118" s="3" t="str">
        <f>IF(Table1[[#This Row],[Test Results]]&gt;120,"High Risk","Normal")</f>
        <v>High Risk</v>
      </c>
      <c r="S1118" s="3" t="str">
        <f>IF(Table1[[#This Row],[Age]]&lt;=18,"0-18",IF(Table1[[#This Row],[Age]]&lt;=35,"19-35",IF(Table1[[#This Row],[Age]]&lt;=50,"36-50",IF(Table1[[#This Row],[Age]]&lt;=65,"51-65","65+"))))</f>
        <v>51-65</v>
      </c>
    </row>
    <row r="1119" spans="1:19" x14ac:dyDescent="0.3">
      <c r="A1119" s="3" t="s">
        <v>3392</v>
      </c>
      <c r="B1119" s="3">
        <v>65</v>
      </c>
      <c r="C1119" s="3" t="s">
        <v>35</v>
      </c>
      <c r="D1119" s="3" t="s">
        <v>26</v>
      </c>
      <c r="E1119" s="3" t="s">
        <v>27</v>
      </c>
      <c r="F1119" s="4">
        <v>45383</v>
      </c>
      <c r="G1119" s="3" t="s">
        <v>3393</v>
      </c>
      <c r="H1119" s="3" t="s">
        <v>3394</v>
      </c>
      <c r="I1119" s="3" t="s">
        <v>65</v>
      </c>
      <c r="J1119" s="5">
        <v>9425.0760079470401</v>
      </c>
      <c r="K1119" s="3">
        <v>283</v>
      </c>
      <c r="L1119" s="3" t="s">
        <v>46</v>
      </c>
      <c r="M1119" s="4">
        <v>45405</v>
      </c>
      <c r="N1119" s="3" t="s">
        <v>52</v>
      </c>
      <c r="O1119" s="3" t="s">
        <v>33</v>
      </c>
      <c r="P1119" s="3" t="str">
        <f>IF(Table1[[#This Row],[Billing Amount]]&lt;5000,"Low",IF(Table1[[#This Row],[Billing Amount]]&lt;=15000,"Medium","High"))</f>
        <v>Medium</v>
      </c>
      <c r="Q1119" s="3" t="str">
        <f>IF(Table1[[#This Row],[Discharge Date]]="Yes","Discharged","Under Treatment")</f>
        <v>Under Treatment</v>
      </c>
      <c r="R1119" s="3" t="str">
        <f>IF(Table1[[#This Row],[Test Results]]&gt;120,"High Risk","Normal")</f>
        <v>High Risk</v>
      </c>
      <c r="S1119" s="3" t="str">
        <f>IF(Table1[[#This Row],[Age]]&lt;=18,"0-18",IF(Table1[[#This Row],[Age]]&lt;=35,"19-35",IF(Table1[[#This Row],[Age]]&lt;=50,"36-50",IF(Table1[[#This Row],[Age]]&lt;=65,"51-65","65+"))))</f>
        <v>51-65</v>
      </c>
    </row>
    <row r="1120" spans="1:19" x14ac:dyDescent="0.3">
      <c r="A1120" s="3" t="s">
        <v>3395</v>
      </c>
      <c r="B1120" s="3">
        <v>27</v>
      </c>
      <c r="C1120" s="3" t="s">
        <v>16</v>
      </c>
      <c r="D1120" s="3" t="s">
        <v>49</v>
      </c>
      <c r="E1120" s="3" t="s">
        <v>93</v>
      </c>
      <c r="F1120" s="4">
        <v>44871</v>
      </c>
      <c r="G1120" s="3" t="s">
        <v>3396</v>
      </c>
      <c r="H1120" s="3" t="s">
        <v>3397</v>
      </c>
      <c r="I1120" s="3" t="s">
        <v>39</v>
      </c>
      <c r="J1120" s="5">
        <v>41454.677532960202</v>
      </c>
      <c r="K1120" s="3">
        <v>426</v>
      </c>
      <c r="L1120" s="3" t="s">
        <v>46</v>
      </c>
      <c r="M1120" s="4">
        <v>44896</v>
      </c>
      <c r="N1120" s="3" t="s">
        <v>52</v>
      </c>
      <c r="O1120" s="3" t="s">
        <v>47</v>
      </c>
      <c r="P1120" s="3" t="str">
        <f>IF(Table1[[#This Row],[Billing Amount]]&lt;5000,"Low",IF(Table1[[#This Row],[Billing Amount]]&lt;=15000,"Medium","High"))</f>
        <v>High</v>
      </c>
      <c r="Q1120" s="3" t="str">
        <f>IF(Table1[[#This Row],[Discharge Date]]="Yes","Discharged","Under Treatment")</f>
        <v>Under Treatment</v>
      </c>
      <c r="R1120" s="3" t="str">
        <f>IF(Table1[[#This Row],[Test Results]]&gt;120,"High Risk","Normal")</f>
        <v>High Risk</v>
      </c>
      <c r="S1120" s="3" t="str">
        <f>IF(Table1[[#This Row],[Age]]&lt;=18,"0-18",IF(Table1[[#This Row],[Age]]&lt;=35,"19-35",IF(Table1[[#This Row],[Age]]&lt;=50,"36-50",IF(Table1[[#This Row],[Age]]&lt;=65,"51-65","65+"))))</f>
        <v>19-35</v>
      </c>
    </row>
    <row r="1121" spans="1:19" x14ac:dyDescent="0.3">
      <c r="A1121" s="3" t="s">
        <v>3398</v>
      </c>
      <c r="B1121" s="3">
        <v>24</v>
      </c>
      <c r="C1121" s="3" t="s">
        <v>16</v>
      </c>
      <c r="D1121" s="3" t="s">
        <v>36</v>
      </c>
      <c r="E1121" s="3" t="s">
        <v>27</v>
      </c>
      <c r="F1121" s="4">
        <v>45080</v>
      </c>
      <c r="G1121" s="3" t="s">
        <v>3399</v>
      </c>
      <c r="H1121" s="3" t="s">
        <v>3400</v>
      </c>
      <c r="I1121" s="3" t="s">
        <v>57</v>
      </c>
      <c r="J1121" s="5">
        <v>30486.6073123352</v>
      </c>
      <c r="K1121" s="3">
        <v>121</v>
      </c>
      <c r="L1121" s="3" t="s">
        <v>31</v>
      </c>
      <c r="M1121" s="4">
        <v>45092</v>
      </c>
      <c r="N1121" s="3" t="s">
        <v>52</v>
      </c>
      <c r="O1121" s="3" t="s">
        <v>24</v>
      </c>
      <c r="P1121" s="3" t="str">
        <f>IF(Table1[[#This Row],[Billing Amount]]&lt;5000,"Low",IF(Table1[[#This Row],[Billing Amount]]&lt;=15000,"Medium","High"))</f>
        <v>High</v>
      </c>
      <c r="Q1121" s="3" t="str">
        <f>IF(Table1[[#This Row],[Discharge Date]]="Yes","Discharged","Under Treatment")</f>
        <v>Under Treatment</v>
      </c>
      <c r="R1121" s="3" t="str">
        <f>IF(Table1[[#This Row],[Test Results]]&gt;120,"High Risk","Normal")</f>
        <v>High Risk</v>
      </c>
      <c r="S1121" s="3" t="str">
        <f>IF(Table1[[#This Row],[Age]]&lt;=18,"0-18",IF(Table1[[#This Row],[Age]]&lt;=35,"19-35",IF(Table1[[#This Row],[Age]]&lt;=50,"36-50",IF(Table1[[#This Row],[Age]]&lt;=65,"51-65","65+"))))</f>
        <v>19-35</v>
      </c>
    </row>
    <row r="1122" spans="1:19" x14ac:dyDescent="0.3">
      <c r="A1122" s="3" t="s">
        <v>3401</v>
      </c>
      <c r="B1122" s="3">
        <v>85</v>
      </c>
      <c r="C1122" s="3" t="s">
        <v>35</v>
      </c>
      <c r="D1122" s="3" t="s">
        <v>42</v>
      </c>
      <c r="E1122" s="3" t="s">
        <v>27</v>
      </c>
      <c r="F1122" s="4">
        <v>44755</v>
      </c>
      <c r="G1122" s="3" t="s">
        <v>3402</v>
      </c>
      <c r="H1122" s="3" t="s">
        <v>3403</v>
      </c>
      <c r="I1122" s="3" t="s">
        <v>65</v>
      </c>
      <c r="J1122" s="5">
        <v>45692.902645202201</v>
      </c>
      <c r="K1122" s="3">
        <v>456</v>
      </c>
      <c r="L1122" s="3" t="s">
        <v>22</v>
      </c>
      <c r="M1122" s="4">
        <v>44763</v>
      </c>
      <c r="N1122" s="3" t="s">
        <v>23</v>
      </c>
      <c r="O1122" s="3" t="s">
        <v>47</v>
      </c>
      <c r="P1122" s="3" t="str">
        <f>IF(Table1[[#This Row],[Billing Amount]]&lt;5000,"Low",IF(Table1[[#This Row],[Billing Amount]]&lt;=15000,"Medium","High"))</f>
        <v>High</v>
      </c>
      <c r="Q1122" s="3" t="str">
        <f>IF(Table1[[#This Row],[Discharge Date]]="Yes","Discharged","Under Treatment")</f>
        <v>Under Treatment</v>
      </c>
      <c r="R1122" s="3" t="str">
        <f>IF(Table1[[#This Row],[Test Results]]&gt;120,"High Risk","Normal")</f>
        <v>High Risk</v>
      </c>
      <c r="S1122" s="3" t="str">
        <f>IF(Table1[[#This Row],[Age]]&lt;=18,"0-18",IF(Table1[[#This Row],[Age]]&lt;=35,"19-35",IF(Table1[[#This Row],[Age]]&lt;=50,"36-50",IF(Table1[[#This Row],[Age]]&lt;=65,"51-65","65+"))))</f>
        <v>65+</v>
      </c>
    </row>
    <row r="1123" spans="1:19" x14ac:dyDescent="0.3">
      <c r="A1123" s="3" t="s">
        <v>3404</v>
      </c>
      <c r="B1123" s="3">
        <v>53</v>
      </c>
      <c r="C1123" s="3" t="s">
        <v>35</v>
      </c>
      <c r="D1123" s="3" t="s">
        <v>49</v>
      </c>
      <c r="E1123" s="3" t="s">
        <v>76</v>
      </c>
      <c r="F1123" s="4">
        <v>43619</v>
      </c>
      <c r="G1123" s="3" t="s">
        <v>3405</v>
      </c>
      <c r="H1123" s="3" t="s">
        <v>3406</v>
      </c>
      <c r="I1123" s="3" t="s">
        <v>30</v>
      </c>
      <c r="J1123" s="5">
        <v>31569.878676515498</v>
      </c>
      <c r="K1123" s="3">
        <v>372</v>
      </c>
      <c r="L1123" s="3" t="s">
        <v>46</v>
      </c>
      <c r="M1123" s="4">
        <v>43620</v>
      </c>
      <c r="N1123" s="3" t="s">
        <v>79</v>
      </c>
      <c r="O1123" s="3" t="s">
        <v>24</v>
      </c>
      <c r="P1123" s="3" t="str">
        <f>IF(Table1[[#This Row],[Billing Amount]]&lt;5000,"Low",IF(Table1[[#This Row],[Billing Amount]]&lt;=15000,"Medium","High"))</f>
        <v>High</v>
      </c>
      <c r="Q1123" s="3" t="str">
        <f>IF(Table1[[#This Row],[Discharge Date]]="Yes","Discharged","Under Treatment")</f>
        <v>Under Treatment</v>
      </c>
      <c r="R1123" s="3" t="str">
        <f>IF(Table1[[#This Row],[Test Results]]&gt;120,"High Risk","Normal")</f>
        <v>High Risk</v>
      </c>
      <c r="S1123" s="3" t="str">
        <f>IF(Table1[[#This Row],[Age]]&lt;=18,"0-18",IF(Table1[[#This Row],[Age]]&lt;=35,"19-35",IF(Table1[[#This Row],[Age]]&lt;=50,"36-50",IF(Table1[[#This Row],[Age]]&lt;=65,"51-65","65+"))))</f>
        <v>51-65</v>
      </c>
    </row>
    <row r="1124" spans="1:19" x14ac:dyDescent="0.3">
      <c r="A1124" s="3" t="s">
        <v>3407</v>
      </c>
      <c r="B1124" s="3">
        <v>82</v>
      </c>
      <c r="C1124" s="3" t="s">
        <v>16</v>
      </c>
      <c r="D1124" s="3" t="s">
        <v>122</v>
      </c>
      <c r="E1124" s="3" t="s">
        <v>27</v>
      </c>
      <c r="F1124" s="4">
        <v>43627</v>
      </c>
      <c r="G1124" s="3" t="s">
        <v>3408</v>
      </c>
      <c r="H1124" s="3" t="s">
        <v>3409</v>
      </c>
      <c r="I1124" s="3" t="s">
        <v>30</v>
      </c>
      <c r="J1124" s="5">
        <v>24175.1881380136</v>
      </c>
      <c r="K1124" s="3">
        <v>155</v>
      </c>
      <c r="L1124" s="3" t="s">
        <v>22</v>
      </c>
      <c r="M1124" s="4">
        <v>43647</v>
      </c>
      <c r="N1124" s="3" t="s">
        <v>32</v>
      </c>
      <c r="O1124" s="3" t="s">
        <v>33</v>
      </c>
      <c r="P1124" s="3" t="str">
        <f>IF(Table1[[#This Row],[Billing Amount]]&lt;5000,"Low",IF(Table1[[#This Row],[Billing Amount]]&lt;=15000,"Medium","High"))</f>
        <v>High</v>
      </c>
      <c r="Q1124" s="3" t="str">
        <f>IF(Table1[[#This Row],[Discharge Date]]="Yes","Discharged","Under Treatment")</f>
        <v>Under Treatment</v>
      </c>
      <c r="R1124" s="3" t="str">
        <f>IF(Table1[[#This Row],[Test Results]]&gt;120,"High Risk","Normal")</f>
        <v>High Risk</v>
      </c>
      <c r="S1124" s="3" t="str">
        <f>IF(Table1[[#This Row],[Age]]&lt;=18,"0-18",IF(Table1[[#This Row],[Age]]&lt;=35,"19-35",IF(Table1[[#This Row],[Age]]&lt;=50,"36-50",IF(Table1[[#This Row],[Age]]&lt;=65,"51-65","65+"))))</f>
        <v>65+</v>
      </c>
    </row>
    <row r="1125" spans="1:19" x14ac:dyDescent="0.3">
      <c r="A1125" s="3" t="s">
        <v>3410</v>
      </c>
      <c r="B1125" s="3">
        <v>72</v>
      </c>
      <c r="C1125" s="3" t="s">
        <v>35</v>
      </c>
      <c r="D1125" s="3" t="s">
        <v>59</v>
      </c>
      <c r="E1125" s="3" t="s">
        <v>18</v>
      </c>
      <c r="F1125" s="4">
        <v>45305</v>
      </c>
      <c r="G1125" s="3" t="s">
        <v>3411</v>
      </c>
      <c r="H1125" s="3" t="s">
        <v>3412</v>
      </c>
      <c r="I1125" s="3" t="s">
        <v>39</v>
      </c>
      <c r="J1125" s="5">
        <v>11064.0282589856</v>
      </c>
      <c r="K1125" s="3">
        <v>212</v>
      </c>
      <c r="L1125" s="3" t="s">
        <v>22</v>
      </c>
      <c r="M1125" s="4">
        <v>45330</v>
      </c>
      <c r="N1125" s="3" t="s">
        <v>32</v>
      </c>
      <c r="O1125" s="3" t="s">
        <v>47</v>
      </c>
      <c r="P1125" s="3" t="str">
        <f>IF(Table1[[#This Row],[Billing Amount]]&lt;5000,"Low",IF(Table1[[#This Row],[Billing Amount]]&lt;=15000,"Medium","High"))</f>
        <v>Medium</v>
      </c>
      <c r="Q1125" s="3" t="str">
        <f>IF(Table1[[#This Row],[Discharge Date]]="Yes","Discharged","Under Treatment")</f>
        <v>Under Treatment</v>
      </c>
      <c r="R1125" s="3" t="str">
        <f>IF(Table1[[#This Row],[Test Results]]&gt;120,"High Risk","Normal")</f>
        <v>High Risk</v>
      </c>
      <c r="S1125" s="3" t="str">
        <f>IF(Table1[[#This Row],[Age]]&lt;=18,"0-18",IF(Table1[[#This Row],[Age]]&lt;=35,"19-35",IF(Table1[[#This Row],[Age]]&lt;=50,"36-50",IF(Table1[[#This Row],[Age]]&lt;=65,"51-65","65+"))))</f>
        <v>65+</v>
      </c>
    </row>
    <row r="1126" spans="1:19" x14ac:dyDescent="0.3">
      <c r="A1126" s="3" t="s">
        <v>3413</v>
      </c>
      <c r="B1126" s="3">
        <v>83</v>
      </c>
      <c r="C1126" s="3" t="s">
        <v>16</v>
      </c>
      <c r="D1126" s="3" t="s">
        <v>26</v>
      </c>
      <c r="E1126" s="3" t="s">
        <v>54</v>
      </c>
      <c r="F1126" s="4">
        <v>44782</v>
      </c>
      <c r="G1126" s="3" t="s">
        <v>3414</v>
      </c>
      <c r="H1126" s="3" t="s">
        <v>3415</v>
      </c>
      <c r="I1126" s="3" t="s">
        <v>39</v>
      </c>
      <c r="J1126" s="5">
        <v>50713.562224039</v>
      </c>
      <c r="K1126" s="3">
        <v>244</v>
      </c>
      <c r="L1126" s="3" t="s">
        <v>31</v>
      </c>
      <c r="M1126" s="4">
        <v>44800</v>
      </c>
      <c r="N1126" s="3" t="s">
        <v>32</v>
      </c>
      <c r="O1126" s="3" t="s">
        <v>33</v>
      </c>
      <c r="P1126" s="3" t="str">
        <f>IF(Table1[[#This Row],[Billing Amount]]&lt;5000,"Low",IF(Table1[[#This Row],[Billing Amount]]&lt;=15000,"Medium","High"))</f>
        <v>High</v>
      </c>
      <c r="Q1126" s="3" t="str">
        <f>IF(Table1[[#This Row],[Discharge Date]]="Yes","Discharged","Under Treatment")</f>
        <v>Under Treatment</v>
      </c>
      <c r="R1126" s="3" t="str">
        <f>IF(Table1[[#This Row],[Test Results]]&gt;120,"High Risk","Normal")</f>
        <v>High Risk</v>
      </c>
      <c r="S1126" s="3" t="str">
        <f>IF(Table1[[#This Row],[Age]]&lt;=18,"0-18",IF(Table1[[#This Row],[Age]]&lt;=35,"19-35",IF(Table1[[#This Row],[Age]]&lt;=50,"36-50",IF(Table1[[#This Row],[Age]]&lt;=65,"51-65","65+"))))</f>
        <v>65+</v>
      </c>
    </row>
    <row r="1127" spans="1:19" x14ac:dyDescent="0.3">
      <c r="A1127" s="3" t="s">
        <v>3416</v>
      </c>
      <c r="B1127" s="3">
        <v>83</v>
      </c>
      <c r="C1127" s="3" t="s">
        <v>35</v>
      </c>
      <c r="D1127" s="3" t="s">
        <v>17</v>
      </c>
      <c r="E1127" s="3" t="s">
        <v>76</v>
      </c>
      <c r="F1127" s="4">
        <v>44458</v>
      </c>
      <c r="G1127" s="3" t="s">
        <v>3417</v>
      </c>
      <c r="H1127" s="3" t="s">
        <v>3418</v>
      </c>
      <c r="I1127" s="3" t="s">
        <v>21</v>
      </c>
      <c r="J1127" s="5">
        <v>40850.924880202903</v>
      </c>
      <c r="K1127" s="3">
        <v>347</v>
      </c>
      <c r="L1127" s="3" t="s">
        <v>31</v>
      </c>
      <c r="M1127" s="4">
        <v>44468</v>
      </c>
      <c r="N1127" s="3" t="s">
        <v>40</v>
      </c>
      <c r="O1127" s="3" t="s">
        <v>47</v>
      </c>
      <c r="P1127" s="3" t="str">
        <f>IF(Table1[[#This Row],[Billing Amount]]&lt;5000,"Low",IF(Table1[[#This Row],[Billing Amount]]&lt;=15000,"Medium","High"))</f>
        <v>High</v>
      </c>
      <c r="Q1127" s="3" t="str">
        <f>IF(Table1[[#This Row],[Discharge Date]]="Yes","Discharged","Under Treatment")</f>
        <v>Under Treatment</v>
      </c>
      <c r="R1127" s="3" t="str">
        <f>IF(Table1[[#This Row],[Test Results]]&gt;120,"High Risk","Normal")</f>
        <v>High Risk</v>
      </c>
      <c r="S1127" s="3" t="str">
        <f>IF(Table1[[#This Row],[Age]]&lt;=18,"0-18",IF(Table1[[#This Row],[Age]]&lt;=35,"19-35",IF(Table1[[#This Row],[Age]]&lt;=50,"36-50",IF(Table1[[#This Row],[Age]]&lt;=65,"51-65","65+"))))</f>
        <v>65+</v>
      </c>
    </row>
    <row r="1128" spans="1:19" x14ac:dyDescent="0.3">
      <c r="A1128" s="3" t="s">
        <v>3419</v>
      </c>
      <c r="B1128" s="3">
        <v>49</v>
      </c>
      <c r="C1128" s="3" t="s">
        <v>16</v>
      </c>
      <c r="D1128" s="3" t="s">
        <v>26</v>
      </c>
      <c r="E1128" s="3" t="s">
        <v>93</v>
      </c>
      <c r="F1128" s="4">
        <v>45073</v>
      </c>
      <c r="G1128" s="3" t="s">
        <v>3420</v>
      </c>
      <c r="H1128" s="3" t="s">
        <v>3421</v>
      </c>
      <c r="I1128" s="3" t="s">
        <v>65</v>
      </c>
      <c r="J1128" s="5">
        <v>6407.9011886727603</v>
      </c>
      <c r="K1128" s="3">
        <v>491</v>
      </c>
      <c r="L1128" s="3" t="s">
        <v>46</v>
      </c>
      <c r="M1128" s="4">
        <v>45098</v>
      </c>
      <c r="N1128" s="3" t="s">
        <v>32</v>
      </c>
      <c r="O1128" s="3" t="s">
        <v>33</v>
      </c>
      <c r="P1128" s="3" t="str">
        <f>IF(Table1[[#This Row],[Billing Amount]]&lt;5000,"Low",IF(Table1[[#This Row],[Billing Amount]]&lt;=15000,"Medium","High"))</f>
        <v>Medium</v>
      </c>
      <c r="Q1128" s="3" t="str">
        <f>IF(Table1[[#This Row],[Discharge Date]]="Yes","Discharged","Under Treatment")</f>
        <v>Under Treatment</v>
      </c>
      <c r="R1128" s="3" t="str">
        <f>IF(Table1[[#This Row],[Test Results]]&gt;120,"High Risk","Normal")</f>
        <v>High Risk</v>
      </c>
      <c r="S1128" s="3" t="str">
        <f>IF(Table1[[#This Row],[Age]]&lt;=18,"0-18",IF(Table1[[#This Row],[Age]]&lt;=35,"19-35",IF(Table1[[#This Row],[Age]]&lt;=50,"36-50",IF(Table1[[#This Row],[Age]]&lt;=65,"51-65","65+"))))</f>
        <v>36-50</v>
      </c>
    </row>
    <row r="1129" spans="1:19" x14ac:dyDescent="0.3">
      <c r="A1129" s="3" t="s">
        <v>3422</v>
      </c>
      <c r="B1129" s="3">
        <v>42</v>
      </c>
      <c r="C1129" s="3" t="s">
        <v>16</v>
      </c>
      <c r="D1129" s="3" t="s">
        <v>26</v>
      </c>
      <c r="E1129" s="3" t="s">
        <v>18</v>
      </c>
      <c r="F1129" s="4">
        <v>44628</v>
      </c>
      <c r="G1129" s="3" t="s">
        <v>3423</v>
      </c>
      <c r="H1129" s="3" t="s">
        <v>3424</v>
      </c>
      <c r="I1129" s="3" t="s">
        <v>21</v>
      </c>
      <c r="J1129" s="5">
        <v>34566.570636328302</v>
      </c>
      <c r="K1129" s="3">
        <v>386</v>
      </c>
      <c r="L1129" s="3" t="s">
        <v>31</v>
      </c>
      <c r="M1129" s="4">
        <v>44653</v>
      </c>
      <c r="N1129" s="3" t="s">
        <v>52</v>
      </c>
      <c r="O1129" s="3" t="s">
        <v>24</v>
      </c>
      <c r="P1129" s="3" t="str">
        <f>IF(Table1[[#This Row],[Billing Amount]]&lt;5000,"Low",IF(Table1[[#This Row],[Billing Amount]]&lt;=15000,"Medium","High"))</f>
        <v>High</v>
      </c>
      <c r="Q1129" s="3" t="str">
        <f>IF(Table1[[#This Row],[Discharge Date]]="Yes","Discharged","Under Treatment")</f>
        <v>Under Treatment</v>
      </c>
      <c r="R1129" s="3" t="str">
        <f>IF(Table1[[#This Row],[Test Results]]&gt;120,"High Risk","Normal")</f>
        <v>High Risk</v>
      </c>
      <c r="S1129" s="3" t="str">
        <f>IF(Table1[[#This Row],[Age]]&lt;=18,"0-18",IF(Table1[[#This Row],[Age]]&lt;=35,"19-35",IF(Table1[[#This Row],[Age]]&lt;=50,"36-50",IF(Table1[[#This Row],[Age]]&lt;=65,"51-65","65+"))))</f>
        <v>36-50</v>
      </c>
    </row>
    <row r="1130" spans="1:19" x14ac:dyDescent="0.3">
      <c r="A1130" s="3" t="s">
        <v>3425</v>
      </c>
      <c r="B1130" s="3">
        <v>55</v>
      </c>
      <c r="C1130" s="3" t="s">
        <v>35</v>
      </c>
      <c r="D1130" s="3" t="s">
        <v>59</v>
      </c>
      <c r="E1130" s="3" t="s">
        <v>93</v>
      </c>
      <c r="F1130" s="4">
        <v>45372</v>
      </c>
      <c r="G1130" s="3" t="s">
        <v>3426</v>
      </c>
      <c r="H1130" s="3" t="s">
        <v>3427</v>
      </c>
      <c r="I1130" s="3" t="s">
        <v>65</v>
      </c>
      <c r="J1130" s="5">
        <v>48615.352863992099</v>
      </c>
      <c r="K1130" s="3">
        <v>329</v>
      </c>
      <c r="L1130" s="3" t="s">
        <v>31</v>
      </c>
      <c r="M1130" s="4">
        <v>45391</v>
      </c>
      <c r="N1130" s="3" t="s">
        <v>40</v>
      </c>
      <c r="O1130" s="3" t="s">
        <v>47</v>
      </c>
      <c r="P1130" s="3" t="str">
        <f>IF(Table1[[#This Row],[Billing Amount]]&lt;5000,"Low",IF(Table1[[#This Row],[Billing Amount]]&lt;=15000,"Medium","High"))</f>
        <v>High</v>
      </c>
      <c r="Q1130" s="3" t="str">
        <f>IF(Table1[[#This Row],[Discharge Date]]="Yes","Discharged","Under Treatment")</f>
        <v>Under Treatment</v>
      </c>
      <c r="R1130" s="3" t="str">
        <f>IF(Table1[[#This Row],[Test Results]]&gt;120,"High Risk","Normal")</f>
        <v>High Risk</v>
      </c>
      <c r="S1130" s="3" t="str">
        <f>IF(Table1[[#This Row],[Age]]&lt;=18,"0-18",IF(Table1[[#This Row],[Age]]&lt;=35,"19-35",IF(Table1[[#This Row],[Age]]&lt;=50,"36-50",IF(Table1[[#This Row],[Age]]&lt;=65,"51-65","65+"))))</f>
        <v>51-65</v>
      </c>
    </row>
    <row r="1131" spans="1:19" x14ac:dyDescent="0.3">
      <c r="A1131" s="3" t="s">
        <v>3428</v>
      </c>
      <c r="B1131" s="3">
        <v>42</v>
      </c>
      <c r="C1131" s="3" t="s">
        <v>35</v>
      </c>
      <c r="D1131" s="3" t="s">
        <v>36</v>
      </c>
      <c r="E1131" s="3" t="s">
        <v>43</v>
      </c>
      <c r="F1131" s="4">
        <v>45365</v>
      </c>
      <c r="G1131" s="3" t="s">
        <v>3429</v>
      </c>
      <c r="H1131" s="3" t="s">
        <v>3430</v>
      </c>
      <c r="I1131" s="3" t="s">
        <v>39</v>
      </c>
      <c r="J1131" s="5">
        <v>1398.8764619286801</v>
      </c>
      <c r="K1131" s="3">
        <v>377</v>
      </c>
      <c r="L1131" s="3" t="s">
        <v>31</v>
      </c>
      <c r="M1131" s="4">
        <v>45385</v>
      </c>
      <c r="N1131" s="3" t="s">
        <v>32</v>
      </c>
      <c r="O1131" s="3" t="s">
        <v>33</v>
      </c>
      <c r="P1131" s="3" t="str">
        <f>IF(Table1[[#This Row],[Billing Amount]]&lt;5000,"Low",IF(Table1[[#This Row],[Billing Amount]]&lt;=15000,"Medium","High"))</f>
        <v>Low</v>
      </c>
      <c r="Q1131" s="3" t="str">
        <f>IF(Table1[[#This Row],[Discharge Date]]="Yes","Discharged","Under Treatment")</f>
        <v>Under Treatment</v>
      </c>
      <c r="R1131" s="3" t="str">
        <f>IF(Table1[[#This Row],[Test Results]]&gt;120,"High Risk","Normal")</f>
        <v>High Risk</v>
      </c>
      <c r="S1131" s="3" t="str">
        <f>IF(Table1[[#This Row],[Age]]&lt;=18,"0-18",IF(Table1[[#This Row],[Age]]&lt;=35,"19-35",IF(Table1[[#This Row],[Age]]&lt;=50,"36-50",IF(Table1[[#This Row],[Age]]&lt;=65,"51-65","65+"))))</f>
        <v>36-50</v>
      </c>
    </row>
    <row r="1132" spans="1:19" x14ac:dyDescent="0.3">
      <c r="A1132" s="3" t="s">
        <v>3431</v>
      </c>
      <c r="B1132" s="3">
        <v>53</v>
      </c>
      <c r="C1132" s="3" t="s">
        <v>35</v>
      </c>
      <c r="D1132" s="3" t="s">
        <v>36</v>
      </c>
      <c r="E1132" s="3" t="s">
        <v>27</v>
      </c>
      <c r="F1132" s="4">
        <v>43938</v>
      </c>
      <c r="G1132" s="3" t="s">
        <v>3432</v>
      </c>
      <c r="H1132" s="3" t="s">
        <v>3433</v>
      </c>
      <c r="I1132" s="3" t="s">
        <v>30</v>
      </c>
      <c r="J1132" s="5">
        <v>9868.0061421179307</v>
      </c>
      <c r="K1132" s="3">
        <v>163</v>
      </c>
      <c r="L1132" s="3" t="s">
        <v>31</v>
      </c>
      <c r="M1132" s="4">
        <v>43961</v>
      </c>
      <c r="N1132" s="3" t="s">
        <v>32</v>
      </c>
      <c r="O1132" s="3" t="s">
        <v>24</v>
      </c>
      <c r="P1132" s="3" t="str">
        <f>IF(Table1[[#This Row],[Billing Amount]]&lt;5000,"Low",IF(Table1[[#This Row],[Billing Amount]]&lt;=15000,"Medium","High"))</f>
        <v>Medium</v>
      </c>
      <c r="Q1132" s="3" t="str">
        <f>IF(Table1[[#This Row],[Discharge Date]]="Yes","Discharged","Under Treatment")</f>
        <v>Under Treatment</v>
      </c>
      <c r="R1132" s="3" t="str">
        <f>IF(Table1[[#This Row],[Test Results]]&gt;120,"High Risk","Normal")</f>
        <v>High Risk</v>
      </c>
      <c r="S1132" s="3" t="str">
        <f>IF(Table1[[#This Row],[Age]]&lt;=18,"0-18",IF(Table1[[#This Row],[Age]]&lt;=35,"19-35",IF(Table1[[#This Row],[Age]]&lt;=50,"36-50",IF(Table1[[#This Row],[Age]]&lt;=65,"51-65","65+"))))</f>
        <v>51-65</v>
      </c>
    </row>
    <row r="1133" spans="1:19" x14ac:dyDescent="0.3">
      <c r="A1133" s="3" t="s">
        <v>3434</v>
      </c>
      <c r="B1133" s="3">
        <v>41</v>
      </c>
      <c r="C1133" s="3" t="s">
        <v>35</v>
      </c>
      <c r="D1133" s="3" t="s">
        <v>17</v>
      </c>
      <c r="E1133" s="3" t="s">
        <v>27</v>
      </c>
      <c r="F1133" s="4">
        <v>45278</v>
      </c>
      <c r="G1133" s="3" t="s">
        <v>3435</v>
      </c>
      <c r="H1133" s="3" t="s">
        <v>3436</v>
      </c>
      <c r="I1133" s="3" t="s">
        <v>65</v>
      </c>
      <c r="J1133" s="5">
        <v>2952.6118816791</v>
      </c>
      <c r="K1133" s="3">
        <v>426</v>
      </c>
      <c r="L1133" s="3" t="s">
        <v>31</v>
      </c>
      <c r="M1133" s="4">
        <v>45282</v>
      </c>
      <c r="N1133" s="3" t="s">
        <v>23</v>
      </c>
      <c r="O1133" s="3" t="s">
        <v>24</v>
      </c>
      <c r="P1133" s="3" t="str">
        <f>IF(Table1[[#This Row],[Billing Amount]]&lt;5000,"Low",IF(Table1[[#This Row],[Billing Amount]]&lt;=15000,"Medium","High"))</f>
        <v>Low</v>
      </c>
      <c r="Q1133" s="3" t="str">
        <f>IF(Table1[[#This Row],[Discharge Date]]="Yes","Discharged","Under Treatment")</f>
        <v>Under Treatment</v>
      </c>
      <c r="R1133" s="3" t="str">
        <f>IF(Table1[[#This Row],[Test Results]]&gt;120,"High Risk","Normal")</f>
        <v>High Risk</v>
      </c>
      <c r="S1133" s="3" t="str">
        <f>IF(Table1[[#This Row],[Age]]&lt;=18,"0-18",IF(Table1[[#This Row],[Age]]&lt;=35,"19-35",IF(Table1[[#This Row],[Age]]&lt;=50,"36-50",IF(Table1[[#This Row],[Age]]&lt;=65,"51-65","65+"))))</f>
        <v>36-50</v>
      </c>
    </row>
    <row r="1134" spans="1:19" x14ac:dyDescent="0.3">
      <c r="A1134" s="3" t="s">
        <v>3437</v>
      </c>
      <c r="B1134" s="3">
        <v>75</v>
      </c>
      <c r="C1134" s="3" t="s">
        <v>35</v>
      </c>
      <c r="D1134" s="3" t="s">
        <v>122</v>
      </c>
      <c r="E1134" s="3" t="s">
        <v>18</v>
      </c>
      <c r="F1134" s="4">
        <v>44847</v>
      </c>
      <c r="G1134" s="3" t="s">
        <v>3438</v>
      </c>
      <c r="H1134" s="3" t="s">
        <v>3439</v>
      </c>
      <c r="I1134" s="3" t="s">
        <v>39</v>
      </c>
      <c r="J1134" s="5">
        <v>2473.47074761054</v>
      </c>
      <c r="K1134" s="3">
        <v>389</v>
      </c>
      <c r="L1134" s="3" t="s">
        <v>22</v>
      </c>
      <c r="M1134" s="4">
        <v>44873</v>
      </c>
      <c r="N1134" s="3" t="s">
        <v>32</v>
      </c>
      <c r="O1134" s="3" t="s">
        <v>47</v>
      </c>
      <c r="P1134" s="3" t="str">
        <f>IF(Table1[[#This Row],[Billing Amount]]&lt;5000,"Low",IF(Table1[[#This Row],[Billing Amount]]&lt;=15000,"Medium","High"))</f>
        <v>Low</v>
      </c>
      <c r="Q1134" s="3" t="str">
        <f>IF(Table1[[#This Row],[Discharge Date]]="Yes","Discharged","Under Treatment")</f>
        <v>Under Treatment</v>
      </c>
      <c r="R1134" s="3" t="str">
        <f>IF(Table1[[#This Row],[Test Results]]&gt;120,"High Risk","Normal")</f>
        <v>High Risk</v>
      </c>
      <c r="S1134" s="3" t="str">
        <f>IF(Table1[[#This Row],[Age]]&lt;=18,"0-18",IF(Table1[[#This Row],[Age]]&lt;=35,"19-35",IF(Table1[[#This Row],[Age]]&lt;=50,"36-50",IF(Table1[[#This Row],[Age]]&lt;=65,"51-65","65+"))))</f>
        <v>65+</v>
      </c>
    </row>
    <row r="1135" spans="1:19" x14ac:dyDescent="0.3">
      <c r="A1135" s="3" t="s">
        <v>3440</v>
      </c>
      <c r="B1135" s="3">
        <v>72</v>
      </c>
      <c r="C1135" s="3" t="s">
        <v>35</v>
      </c>
      <c r="D1135" s="3" t="s">
        <v>36</v>
      </c>
      <c r="E1135" s="3" t="s">
        <v>43</v>
      </c>
      <c r="F1135" s="4">
        <v>44091</v>
      </c>
      <c r="G1135" s="3" t="s">
        <v>3441</v>
      </c>
      <c r="H1135" s="3" t="s">
        <v>3442</v>
      </c>
      <c r="I1135" s="3" t="s">
        <v>30</v>
      </c>
      <c r="J1135" s="5">
        <v>14697.456429592199</v>
      </c>
      <c r="K1135" s="3">
        <v>116</v>
      </c>
      <c r="L1135" s="3" t="s">
        <v>46</v>
      </c>
      <c r="M1135" s="4">
        <v>44095</v>
      </c>
      <c r="N1135" s="3" t="s">
        <v>40</v>
      </c>
      <c r="O1135" s="3" t="s">
        <v>33</v>
      </c>
      <c r="P1135" s="3" t="str">
        <f>IF(Table1[[#This Row],[Billing Amount]]&lt;5000,"Low",IF(Table1[[#This Row],[Billing Amount]]&lt;=15000,"Medium","High"))</f>
        <v>Medium</v>
      </c>
      <c r="Q1135" s="3" t="str">
        <f>IF(Table1[[#This Row],[Discharge Date]]="Yes","Discharged","Under Treatment")</f>
        <v>Under Treatment</v>
      </c>
      <c r="R1135" s="3" t="str">
        <f>IF(Table1[[#This Row],[Test Results]]&gt;120,"High Risk","Normal")</f>
        <v>High Risk</v>
      </c>
      <c r="S1135" s="3" t="str">
        <f>IF(Table1[[#This Row],[Age]]&lt;=18,"0-18",IF(Table1[[#This Row],[Age]]&lt;=35,"19-35",IF(Table1[[#This Row],[Age]]&lt;=50,"36-50",IF(Table1[[#This Row],[Age]]&lt;=65,"51-65","65+"))))</f>
        <v>65+</v>
      </c>
    </row>
    <row r="1136" spans="1:19" x14ac:dyDescent="0.3">
      <c r="A1136" s="3" t="s">
        <v>3443</v>
      </c>
      <c r="B1136" s="3">
        <v>56</v>
      </c>
      <c r="C1136" s="3" t="s">
        <v>35</v>
      </c>
      <c r="D1136" s="3" t="s">
        <v>26</v>
      </c>
      <c r="E1136" s="3" t="s">
        <v>27</v>
      </c>
      <c r="F1136" s="4">
        <v>45054</v>
      </c>
      <c r="G1136" s="3" t="s">
        <v>3444</v>
      </c>
      <c r="H1136" s="3" t="s">
        <v>3445</v>
      </c>
      <c r="I1136" s="3" t="s">
        <v>21</v>
      </c>
      <c r="J1136" s="5">
        <v>13672.838294535</v>
      </c>
      <c r="K1136" s="3">
        <v>123</v>
      </c>
      <c r="L1136" s="3" t="s">
        <v>31</v>
      </c>
      <c r="M1136" s="4">
        <v>45064</v>
      </c>
      <c r="N1136" s="3" t="s">
        <v>32</v>
      </c>
      <c r="O1136" s="3" t="s">
        <v>24</v>
      </c>
      <c r="P1136" s="3" t="str">
        <f>IF(Table1[[#This Row],[Billing Amount]]&lt;5000,"Low",IF(Table1[[#This Row],[Billing Amount]]&lt;=15000,"Medium","High"))</f>
        <v>Medium</v>
      </c>
      <c r="Q1136" s="3" t="str">
        <f>IF(Table1[[#This Row],[Discharge Date]]="Yes","Discharged","Under Treatment")</f>
        <v>Under Treatment</v>
      </c>
      <c r="R1136" s="3" t="str">
        <f>IF(Table1[[#This Row],[Test Results]]&gt;120,"High Risk","Normal")</f>
        <v>High Risk</v>
      </c>
      <c r="S1136" s="3" t="str">
        <f>IF(Table1[[#This Row],[Age]]&lt;=18,"0-18",IF(Table1[[#This Row],[Age]]&lt;=35,"19-35",IF(Table1[[#This Row],[Age]]&lt;=50,"36-50",IF(Table1[[#This Row],[Age]]&lt;=65,"51-65","65+"))))</f>
        <v>51-65</v>
      </c>
    </row>
    <row r="1137" spans="1:19" x14ac:dyDescent="0.3">
      <c r="A1137" s="3" t="s">
        <v>3446</v>
      </c>
      <c r="B1137" s="3">
        <v>53</v>
      </c>
      <c r="C1137" s="3" t="s">
        <v>35</v>
      </c>
      <c r="D1137" s="3" t="s">
        <v>122</v>
      </c>
      <c r="E1137" s="3" t="s">
        <v>93</v>
      </c>
      <c r="F1137" s="4">
        <v>44868</v>
      </c>
      <c r="G1137" s="3" t="s">
        <v>3447</v>
      </c>
      <c r="H1137" s="3" t="s">
        <v>3448</v>
      </c>
      <c r="I1137" s="3" t="s">
        <v>39</v>
      </c>
      <c r="J1137" s="5">
        <v>41463.835439890703</v>
      </c>
      <c r="K1137" s="3">
        <v>300</v>
      </c>
      <c r="L1137" s="3" t="s">
        <v>46</v>
      </c>
      <c r="M1137" s="4">
        <v>44878</v>
      </c>
      <c r="N1137" s="3" t="s">
        <v>40</v>
      </c>
      <c r="O1137" s="3" t="s">
        <v>24</v>
      </c>
      <c r="P1137" s="3" t="str">
        <f>IF(Table1[[#This Row],[Billing Amount]]&lt;5000,"Low",IF(Table1[[#This Row],[Billing Amount]]&lt;=15000,"Medium","High"))</f>
        <v>High</v>
      </c>
      <c r="Q1137" s="3" t="str">
        <f>IF(Table1[[#This Row],[Discharge Date]]="Yes","Discharged","Under Treatment")</f>
        <v>Under Treatment</v>
      </c>
      <c r="R1137" s="3" t="str">
        <f>IF(Table1[[#This Row],[Test Results]]&gt;120,"High Risk","Normal")</f>
        <v>High Risk</v>
      </c>
      <c r="S1137" s="3" t="str">
        <f>IF(Table1[[#This Row],[Age]]&lt;=18,"0-18",IF(Table1[[#This Row],[Age]]&lt;=35,"19-35",IF(Table1[[#This Row],[Age]]&lt;=50,"36-50",IF(Table1[[#This Row],[Age]]&lt;=65,"51-65","65+"))))</f>
        <v>51-65</v>
      </c>
    </row>
    <row r="1138" spans="1:19" x14ac:dyDescent="0.3">
      <c r="A1138" s="3" t="s">
        <v>3450</v>
      </c>
      <c r="B1138" s="3">
        <v>18</v>
      </c>
      <c r="C1138" s="3" t="s">
        <v>16</v>
      </c>
      <c r="D1138" s="3" t="s">
        <v>122</v>
      </c>
      <c r="E1138" s="3" t="s">
        <v>18</v>
      </c>
      <c r="F1138" s="4">
        <v>44913</v>
      </c>
      <c r="G1138" s="3" t="s">
        <v>3451</v>
      </c>
      <c r="H1138" s="3" t="s">
        <v>3452</v>
      </c>
      <c r="I1138" s="3" t="s">
        <v>30</v>
      </c>
      <c r="J1138" s="5">
        <v>10706.5391900877</v>
      </c>
      <c r="K1138" s="3">
        <v>357</v>
      </c>
      <c r="L1138" s="3" t="s">
        <v>31</v>
      </c>
      <c r="M1138" s="4">
        <v>44940</v>
      </c>
      <c r="N1138" s="3" t="s">
        <v>52</v>
      </c>
      <c r="O1138" s="3" t="s">
        <v>24</v>
      </c>
      <c r="P1138" s="3" t="str">
        <f>IF(Table1[[#This Row],[Billing Amount]]&lt;5000,"Low",IF(Table1[[#This Row],[Billing Amount]]&lt;=15000,"Medium","High"))</f>
        <v>Medium</v>
      </c>
      <c r="Q1138" s="3" t="str">
        <f>IF(Table1[[#This Row],[Discharge Date]]="Yes","Discharged","Under Treatment")</f>
        <v>Under Treatment</v>
      </c>
      <c r="R1138" s="3" t="str">
        <f>IF(Table1[[#This Row],[Test Results]]&gt;120,"High Risk","Normal")</f>
        <v>High Risk</v>
      </c>
      <c r="S1138" s="3" t="str">
        <f>IF(Table1[[#This Row],[Age]]&lt;=18,"0-18",IF(Table1[[#This Row],[Age]]&lt;=35,"19-35",IF(Table1[[#This Row],[Age]]&lt;=50,"36-50",IF(Table1[[#This Row],[Age]]&lt;=65,"51-65","65+"))))</f>
        <v>0-18</v>
      </c>
    </row>
    <row r="1139" spans="1:19" x14ac:dyDescent="0.3">
      <c r="A1139" s="3" t="s">
        <v>3453</v>
      </c>
      <c r="B1139" s="3">
        <v>65</v>
      </c>
      <c r="C1139" s="3" t="s">
        <v>35</v>
      </c>
      <c r="D1139" s="3" t="s">
        <v>42</v>
      </c>
      <c r="E1139" s="3" t="s">
        <v>54</v>
      </c>
      <c r="F1139" s="4">
        <v>43656</v>
      </c>
      <c r="G1139" s="3" t="s">
        <v>3454</v>
      </c>
      <c r="H1139" s="3" t="s">
        <v>3455</v>
      </c>
      <c r="I1139" s="3" t="s">
        <v>21</v>
      </c>
      <c r="J1139" s="5">
        <v>6444.7320534992195</v>
      </c>
      <c r="K1139" s="3">
        <v>453</v>
      </c>
      <c r="L1139" s="3" t="s">
        <v>31</v>
      </c>
      <c r="M1139" s="4">
        <v>43676</v>
      </c>
      <c r="N1139" s="3" t="s">
        <v>32</v>
      </c>
      <c r="O1139" s="3" t="s">
        <v>24</v>
      </c>
      <c r="P1139" s="3" t="str">
        <f>IF(Table1[[#This Row],[Billing Amount]]&lt;5000,"Low",IF(Table1[[#This Row],[Billing Amount]]&lt;=15000,"Medium","High"))</f>
        <v>Medium</v>
      </c>
      <c r="Q1139" s="3" t="str">
        <f>IF(Table1[[#This Row],[Discharge Date]]="Yes","Discharged","Under Treatment")</f>
        <v>Under Treatment</v>
      </c>
      <c r="R1139" s="3" t="str">
        <f>IF(Table1[[#This Row],[Test Results]]&gt;120,"High Risk","Normal")</f>
        <v>High Risk</v>
      </c>
      <c r="S1139" s="3" t="str">
        <f>IF(Table1[[#This Row],[Age]]&lt;=18,"0-18",IF(Table1[[#This Row],[Age]]&lt;=35,"19-35",IF(Table1[[#This Row],[Age]]&lt;=50,"36-50",IF(Table1[[#This Row],[Age]]&lt;=65,"51-65","65+"))))</f>
        <v>51-65</v>
      </c>
    </row>
    <row r="1140" spans="1:19" x14ac:dyDescent="0.3">
      <c r="A1140" s="3" t="s">
        <v>3456</v>
      </c>
      <c r="B1140" s="3">
        <v>35</v>
      </c>
      <c r="C1140" s="3" t="s">
        <v>16</v>
      </c>
      <c r="D1140" s="3" t="s">
        <v>59</v>
      </c>
      <c r="E1140" s="3" t="s">
        <v>76</v>
      </c>
      <c r="F1140" s="4">
        <v>44952</v>
      </c>
      <c r="G1140" s="3" t="s">
        <v>3457</v>
      </c>
      <c r="H1140" s="3" t="s">
        <v>3458</v>
      </c>
      <c r="I1140" s="3" t="s">
        <v>57</v>
      </c>
      <c r="J1140" s="5">
        <v>37053.673748462999</v>
      </c>
      <c r="K1140" s="3">
        <v>378</v>
      </c>
      <c r="L1140" s="3" t="s">
        <v>22</v>
      </c>
      <c r="M1140" s="4">
        <v>44965</v>
      </c>
      <c r="N1140" s="3" t="s">
        <v>79</v>
      </c>
      <c r="O1140" s="3" t="s">
        <v>24</v>
      </c>
      <c r="P1140" s="3" t="str">
        <f>IF(Table1[[#This Row],[Billing Amount]]&lt;5000,"Low",IF(Table1[[#This Row],[Billing Amount]]&lt;=15000,"Medium","High"))</f>
        <v>High</v>
      </c>
      <c r="Q1140" s="3" t="str">
        <f>IF(Table1[[#This Row],[Discharge Date]]="Yes","Discharged","Under Treatment")</f>
        <v>Under Treatment</v>
      </c>
      <c r="R1140" s="3" t="str">
        <f>IF(Table1[[#This Row],[Test Results]]&gt;120,"High Risk","Normal")</f>
        <v>High Risk</v>
      </c>
      <c r="S1140" s="3" t="str">
        <f>IF(Table1[[#This Row],[Age]]&lt;=18,"0-18",IF(Table1[[#This Row],[Age]]&lt;=35,"19-35",IF(Table1[[#This Row],[Age]]&lt;=50,"36-50",IF(Table1[[#This Row],[Age]]&lt;=65,"51-65","65+"))))</f>
        <v>19-35</v>
      </c>
    </row>
    <row r="1141" spans="1:19" x14ac:dyDescent="0.3">
      <c r="A1141" s="3" t="s">
        <v>3459</v>
      </c>
      <c r="B1141" s="3">
        <v>48</v>
      </c>
      <c r="C1141" s="3" t="s">
        <v>16</v>
      </c>
      <c r="D1141" s="3" t="s">
        <v>42</v>
      </c>
      <c r="E1141" s="3" t="s">
        <v>54</v>
      </c>
      <c r="F1141" s="4">
        <v>44263</v>
      </c>
      <c r="G1141" s="3" t="s">
        <v>3460</v>
      </c>
      <c r="H1141" s="3" t="s">
        <v>3461</v>
      </c>
      <c r="I1141" s="3" t="s">
        <v>30</v>
      </c>
      <c r="J1141" s="5">
        <v>40273.795686716403</v>
      </c>
      <c r="K1141" s="3">
        <v>109</v>
      </c>
      <c r="L1141" s="3" t="s">
        <v>22</v>
      </c>
      <c r="M1141" s="4">
        <v>44275</v>
      </c>
      <c r="N1141" s="3" t="s">
        <v>40</v>
      </c>
      <c r="O1141" s="3" t="s">
        <v>33</v>
      </c>
      <c r="P1141" s="3" t="str">
        <f>IF(Table1[[#This Row],[Billing Amount]]&lt;5000,"Low",IF(Table1[[#This Row],[Billing Amount]]&lt;=15000,"Medium","High"))</f>
        <v>High</v>
      </c>
      <c r="Q1141" s="3" t="str">
        <f>IF(Table1[[#This Row],[Discharge Date]]="Yes","Discharged","Under Treatment")</f>
        <v>Under Treatment</v>
      </c>
      <c r="R1141" s="3" t="str">
        <f>IF(Table1[[#This Row],[Test Results]]&gt;120,"High Risk","Normal")</f>
        <v>High Risk</v>
      </c>
      <c r="S1141" s="3" t="str">
        <f>IF(Table1[[#This Row],[Age]]&lt;=18,"0-18",IF(Table1[[#This Row],[Age]]&lt;=35,"19-35",IF(Table1[[#This Row],[Age]]&lt;=50,"36-50",IF(Table1[[#This Row],[Age]]&lt;=65,"51-65","65+"))))</f>
        <v>36-50</v>
      </c>
    </row>
    <row r="1142" spans="1:19" x14ac:dyDescent="0.3">
      <c r="A1142" s="3" t="s">
        <v>3462</v>
      </c>
      <c r="B1142" s="3">
        <v>34</v>
      </c>
      <c r="C1142" s="3" t="s">
        <v>35</v>
      </c>
      <c r="D1142" s="3" t="s">
        <v>26</v>
      </c>
      <c r="E1142" s="3" t="s">
        <v>27</v>
      </c>
      <c r="F1142" s="4">
        <v>44219</v>
      </c>
      <c r="G1142" s="3" t="s">
        <v>3463</v>
      </c>
      <c r="H1142" s="3" t="s">
        <v>3464</v>
      </c>
      <c r="I1142" s="3" t="s">
        <v>21</v>
      </c>
      <c r="J1142" s="5">
        <v>33437.448453823803</v>
      </c>
      <c r="K1142" s="3">
        <v>156</v>
      </c>
      <c r="L1142" s="3" t="s">
        <v>31</v>
      </c>
      <c r="M1142" s="4">
        <v>44246</v>
      </c>
      <c r="N1142" s="3" t="s">
        <v>23</v>
      </c>
      <c r="O1142" s="3" t="s">
        <v>24</v>
      </c>
      <c r="P1142" s="3" t="str">
        <f>IF(Table1[[#This Row],[Billing Amount]]&lt;5000,"Low",IF(Table1[[#This Row],[Billing Amount]]&lt;=15000,"Medium","High"))</f>
        <v>High</v>
      </c>
      <c r="Q1142" s="3" t="str">
        <f>IF(Table1[[#This Row],[Discharge Date]]="Yes","Discharged","Under Treatment")</f>
        <v>Under Treatment</v>
      </c>
      <c r="R1142" s="3" t="str">
        <f>IF(Table1[[#This Row],[Test Results]]&gt;120,"High Risk","Normal")</f>
        <v>High Risk</v>
      </c>
      <c r="S1142" s="3" t="str">
        <f>IF(Table1[[#This Row],[Age]]&lt;=18,"0-18",IF(Table1[[#This Row],[Age]]&lt;=35,"19-35",IF(Table1[[#This Row],[Age]]&lt;=50,"36-50",IF(Table1[[#This Row],[Age]]&lt;=65,"51-65","65+"))))</f>
        <v>19-35</v>
      </c>
    </row>
    <row r="1143" spans="1:19" x14ac:dyDescent="0.3">
      <c r="A1143" s="3" t="s">
        <v>3465</v>
      </c>
      <c r="B1143" s="3">
        <v>41</v>
      </c>
      <c r="C1143" s="3" t="s">
        <v>16</v>
      </c>
      <c r="D1143" s="3" t="s">
        <v>103</v>
      </c>
      <c r="E1143" s="3" t="s">
        <v>43</v>
      </c>
      <c r="F1143" s="4">
        <v>45334</v>
      </c>
      <c r="G1143" s="3" t="s">
        <v>3466</v>
      </c>
      <c r="H1143" s="3" t="s">
        <v>3467</v>
      </c>
      <c r="I1143" s="3" t="s">
        <v>30</v>
      </c>
      <c r="J1143" s="5">
        <v>25261.1788727122</v>
      </c>
      <c r="K1143" s="3">
        <v>104</v>
      </c>
      <c r="L1143" s="3" t="s">
        <v>46</v>
      </c>
      <c r="M1143" s="4">
        <v>45339</v>
      </c>
      <c r="N1143" s="3" t="s">
        <v>79</v>
      </c>
      <c r="O1143" s="3" t="s">
        <v>24</v>
      </c>
      <c r="P1143" s="3" t="str">
        <f>IF(Table1[[#This Row],[Billing Amount]]&lt;5000,"Low",IF(Table1[[#This Row],[Billing Amount]]&lt;=15000,"Medium","High"))</f>
        <v>High</v>
      </c>
      <c r="Q1143" s="3" t="str">
        <f>IF(Table1[[#This Row],[Discharge Date]]="Yes","Discharged","Under Treatment")</f>
        <v>Under Treatment</v>
      </c>
      <c r="R1143" s="3" t="str">
        <f>IF(Table1[[#This Row],[Test Results]]&gt;120,"High Risk","Normal")</f>
        <v>High Risk</v>
      </c>
      <c r="S1143" s="3" t="str">
        <f>IF(Table1[[#This Row],[Age]]&lt;=18,"0-18",IF(Table1[[#This Row],[Age]]&lt;=35,"19-35",IF(Table1[[#This Row],[Age]]&lt;=50,"36-50",IF(Table1[[#This Row],[Age]]&lt;=65,"51-65","65+"))))</f>
        <v>36-50</v>
      </c>
    </row>
    <row r="1144" spans="1:19" x14ac:dyDescent="0.3">
      <c r="A1144" s="3" t="s">
        <v>3468</v>
      </c>
      <c r="B1144" s="3">
        <v>84</v>
      </c>
      <c r="C1144" s="3" t="s">
        <v>35</v>
      </c>
      <c r="D1144" s="3" t="s">
        <v>42</v>
      </c>
      <c r="E1144" s="3" t="s">
        <v>54</v>
      </c>
      <c r="F1144" s="4">
        <v>44300</v>
      </c>
      <c r="G1144" s="3" t="s">
        <v>3469</v>
      </c>
      <c r="H1144" s="3" t="s">
        <v>3470</v>
      </c>
      <c r="I1144" s="3" t="s">
        <v>57</v>
      </c>
      <c r="J1144" s="5">
        <v>17011.7825036143</v>
      </c>
      <c r="K1144" s="3">
        <v>372</v>
      </c>
      <c r="L1144" s="3" t="s">
        <v>46</v>
      </c>
      <c r="M1144" s="4">
        <v>44304</v>
      </c>
      <c r="N1144" s="3" t="s">
        <v>79</v>
      </c>
      <c r="O1144" s="3" t="s">
        <v>47</v>
      </c>
      <c r="P1144" s="3" t="str">
        <f>IF(Table1[[#This Row],[Billing Amount]]&lt;5000,"Low",IF(Table1[[#This Row],[Billing Amount]]&lt;=15000,"Medium","High"))</f>
        <v>High</v>
      </c>
      <c r="Q1144" s="3" t="str">
        <f>IF(Table1[[#This Row],[Discharge Date]]="Yes","Discharged","Under Treatment")</f>
        <v>Under Treatment</v>
      </c>
      <c r="R1144" s="3" t="str">
        <f>IF(Table1[[#This Row],[Test Results]]&gt;120,"High Risk","Normal")</f>
        <v>High Risk</v>
      </c>
      <c r="S1144" s="3" t="str">
        <f>IF(Table1[[#This Row],[Age]]&lt;=18,"0-18",IF(Table1[[#This Row],[Age]]&lt;=35,"19-35",IF(Table1[[#This Row],[Age]]&lt;=50,"36-50",IF(Table1[[#This Row],[Age]]&lt;=65,"51-65","65+"))))</f>
        <v>65+</v>
      </c>
    </row>
    <row r="1145" spans="1:19" x14ac:dyDescent="0.3">
      <c r="A1145" s="3" t="s">
        <v>3471</v>
      </c>
      <c r="B1145" s="3">
        <v>27</v>
      </c>
      <c r="C1145" s="3" t="s">
        <v>35</v>
      </c>
      <c r="D1145" s="3" t="s">
        <v>36</v>
      </c>
      <c r="E1145" s="3" t="s">
        <v>43</v>
      </c>
      <c r="F1145" s="4">
        <v>44118</v>
      </c>
      <c r="G1145" s="3" t="s">
        <v>3472</v>
      </c>
      <c r="H1145" s="3" t="s">
        <v>3473</v>
      </c>
      <c r="I1145" s="3" t="s">
        <v>39</v>
      </c>
      <c r="J1145" s="5">
        <v>13244.4779951905</v>
      </c>
      <c r="K1145" s="3">
        <v>145</v>
      </c>
      <c r="L1145" s="3" t="s">
        <v>46</v>
      </c>
      <c r="M1145" s="4">
        <v>44134</v>
      </c>
      <c r="N1145" s="3" t="s">
        <v>40</v>
      </c>
      <c r="O1145" s="3" t="s">
        <v>24</v>
      </c>
      <c r="P1145" s="3" t="str">
        <f>IF(Table1[[#This Row],[Billing Amount]]&lt;5000,"Low",IF(Table1[[#This Row],[Billing Amount]]&lt;=15000,"Medium","High"))</f>
        <v>Medium</v>
      </c>
      <c r="Q1145" s="3" t="str">
        <f>IF(Table1[[#This Row],[Discharge Date]]="Yes","Discharged","Under Treatment")</f>
        <v>Under Treatment</v>
      </c>
      <c r="R1145" s="3" t="str">
        <f>IF(Table1[[#This Row],[Test Results]]&gt;120,"High Risk","Normal")</f>
        <v>High Risk</v>
      </c>
      <c r="S1145" s="3" t="str">
        <f>IF(Table1[[#This Row],[Age]]&lt;=18,"0-18",IF(Table1[[#This Row],[Age]]&lt;=35,"19-35",IF(Table1[[#This Row],[Age]]&lt;=50,"36-50",IF(Table1[[#This Row],[Age]]&lt;=65,"51-65","65+"))))</f>
        <v>19-35</v>
      </c>
    </row>
    <row r="1146" spans="1:19" x14ac:dyDescent="0.3">
      <c r="A1146" s="3" t="s">
        <v>3474</v>
      </c>
      <c r="B1146" s="3">
        <v>45</v>
      </c>
      <c r="C1146" s="3" t="s">
        <v>35</v>
      </c>
      <c r="D1146" s="3" t="s">
        <v>42</v>
      </c>
      <c r="E1146" s="3" t="s">
        <v>18</v>
      </c>
      <c r="F1146" s="4">
        <v>45089</v>
      </c>
      <c r="G1146" s="3" t="s">
        <v>3475</v>
      </c>
      <c r="H1146" s="3" t="s">
        <v>3476</v>
      </c>
      <c r="I1146" s="3" t="s">
        <v>21</v>
      </c>
      <c r="J1146" s="5">
        <v>12448.6885219699</v>
      </c>
      <c r="K1146" s="3">
        <v>198</v>
      </c>
      <c r="L1146" s="3" t="s">
        <v>46</v>
      </c>
      <c r="M1146" s="4">
        <v>45096</v>
      </c>
      <c r="N1146" s="3" t="s">
        <v>23</v>
      </c>
      <c r="O1146" s="3" t="s">
        <v>24</v>
      </c>
      <c r="P1146" s="3" t="str">
        <f>IF(Table1[[#This Row],[Billing Amount]]&lt;5000,"Low",IF(Table1[[#This Row],[Billing Amount]]&lt;=15000,"Medium","High"))</f>
        <v>Medium</v>
      </c>
      <c r="Q1146" s="3" t="str">
        <f>IF(Table1[[#This Row],[Discharge Date]]="Yes","Discharged","Under Treatment")</f>
        <v>Under Treatment</v>
      </c>
      <c r="R1146" s="3" t="str">
        <f>IF(Table1[[#This Row],[Test Results]]&gt;120,"High Risk","Normal")</f>
        <v>High Risk</v>
      </c>
      <c r="S1146" s="3" t="str">
        <f>IF(Table1[[#This Row],[Age]]&lt;=18,"0-18",IF(Table1[[#This Row],[Age]]&lt;=35,"19-35",IF(Table1[[#This Row],[Age]]&lt;=50,"36-50",IF(Table1[[#This Row],[Age]]&lt;=65,"51-65","65+"))))</f>
        <v>36-50</v>
      </c>
    </row>
    <row r="1147" spans="1:19" x14ac:dyDescent="0.3">
      <c r="A1147" s="3" t="s">
        <v>3477</v>
      </c>
      <c r="B1147" s="3">
        <v>66</v>
      </c>
      <c r="C1147" s="3" t="s">
        <v>16</v>
      </c>
      <c r="D1147" s="3" t="s">
        <v>17</v>
      </c>
      <c r="E1147" s="3" t="s">
        <v>18</v>
      </c>
      <c r="F1147" s="4">
        <v>44691</v>
      </c>
      <c r="G1147" s="3" t="s">
        <v>3478</v>
      </c>
      <c r="H1147" s="3" t="s">
        <v>3479</v>
      </c>
      <c r="I1147" s="3" t="s">
        <v>57</v>
      </c>
      <c r="J1147" s="5">
        <v>21305.516337972502</v>
      </c>
      <c r="K1147" s="3">
        <v>407</v>
      </c>
      <c r="L1147" s="3" t="s">
        <v>31</v>
      </c>
      <c r="M1147" s="4">
        <v>44716</v>
      </c>
      <c r="N1147" s="3" t="s">
        <v>40</v>
      </c>
      <c r="O1147" s="3" t="s">
        <v>47</v>
      </c>
      <c r="P1147" s="3" t="str">
        <f>IF(Table1[[#This Row],[Billing Amount]]&lt;5000,"Low",IF(Table1[[#This Row],[Billing Amount]]&lt;=15000,"Medium","High"))</f>
        <v>High</v>
      </c>
      <c r="Q1147" s="3" t="str">
        <f>IF(Table1[[#This Row],[Discharge Date]]="Yes","Discharged","Under Treatment")</f>
        <v>Under Treatment</v>
      </c>
      <c r="R1147" s="3" t="str">
        <f>IF(Table1[[#This Row],[Test Results]]&gt;120,"High Risk","Normal")</f>
        <v>High Risk</v>
      </c>
      <c r="S1147" s="3" t="str">
        <f>IF(Table1[[#This Row],[Age]]&lt;=18,"0-18",IF(Table1[[#This Row],[Age]]&lt;=35,"19-35",IF(Table1[[#This Row],[Age]]&lt;=50,"36-50",IF(Table1[[#This Row],[Age]]&lt;=65,"51-65","65+"))))</f>
        <v>65+</v>
      </c>
    </row>
    <row r="1148" spans="1:19" x14ac:dyDescent="0.3">
      <c r="A1148" s="3" t="s">
        <v>3480</v>
      </c>
      <c r="B1148" s="3">
        <v>53</v>
      </c>
      <c r="C1148" s="3" t="s">
        <v>35</v>
      </c>
      <c r="D1148" s="3" t="s">
        <v>26</v>
      </c>
      <c r="E1148" s="3" t="s">
        <v>18</v>
      </c>
      <c r="F1148" s="4">
        <v>44961</v>
      </c>
      <c r="G1148" s="3" t="s">
        <v>3481</v>
      </c>
      <c r="H1148" s="3" t="s">
        <v>3482</v>
      </c>
      <c r="I1148" s="3" t="s">
        <v>30</v>
      </c>
      <c r="J1148" s="5">
        <v>13091.802110667701</v>
      </c>
      <c r="K1148" s="3">
        <v>317</v>
      </c>
      <c r="L1148" s="3" t="s">
        <v>46</v>
      </c>
      <c r="M1148" s="4">
        <v>44985</v>
      </c>
      <c r="N1148" s="3" t="s">
        <v>52</v>
      </c>
      <c r="O1148" s="3" t="s">
        <v>47</v>
      </c>
      <c r="P1148" s="3" t="str">
        <f>IF(Table1[[#This Row],[Billing Amount]]&lt;5000,"Low",IF(Table1[[#This Row],[Billing Amount]]&lt;=15000,"Medium","High"))</f>
        <v>Medium</v>
      </c>
      <c r="Q1148" s="3" t="str">
        <f>IF(Table1[[#This Row],[Discharge Date]]="Yes","Discharged","Under Treatment")</f>
        <v>Under Treatment</v>
      </c>
      <c r="R1148" s="3" t="str">
        <f>IF(Table1[[#This Row],[Test Results]]&gt;120,"High Risk","Normal")</f>
        <v>High Risk</v>
      </c>
      <c r="S1148" s="3" t="str">
        <f>IF(Table1[[#This Row],[Age]]&lt;=18,"0-18",IF(Table1[[#This Row],[Age]]&lt;=35,"19-35",IF(Table1[[#This Row],[Age]]&lt;=50,"36-50",IF(Table1[[#This Row],[Age]]&lt;=65,"51-65","65+"))))</f>
        <v>51-65</v>
      </c>
    </row>
    <row r="1149" spans="1:19" x14ac:dyDescent="0.3">
      <c r="A1149" s="3" t="s">
        <v>3483</v>
      </c>
      <c r="B1149" s="3">
        <v>25</v>
      </c>
      <c r="C1149" s="3" t="s">
        <v>16</v>
      </c>
      <c r="D1149" s="3" t="s">
        <v>36</v>
      </c>
      <c r="E1149" s="3" t="s">
        <v>43</v>
      </c>
      <c r="F1149" s="4">
        <v>45373</v>
      </c>
      <c r="G1149" s="3" t="s">
        <v>3484</v>
      </c>
      <c r="H1149" s="3" t="s">
        <v>3485</v>
      </c>
      <c r="I1149" s="3" t="s">
        <v>21</v>
      </c>
      <c r="J1149" s="5">
        <v>20762.015901343999</v>
      </c>
      <c r="K1149" s="3">
        <v>442</v>
      </c>
      <c r="L1149" s="3" t="s">
        <v>31</v>
      </c>
      <c r="M1149" s="4">
        <v>45396</v>
      </c>
      <c r="N1149" s="3" t="s">
        <v>32</v>
      </c>
      <c r="O1149" s="3" t="s">
        <v>47</v>
      </c>
      <c r="P1149" s="3" t="str">
        <f>IF(Table1[[#This Row],[Billing Amount]]&lt;5000,"Low",IF(Table1[[#This Row],[Billing Amount]]&lt;=15000,"Medium","High"))</f>
        <v>High</v>
      </c>
      <c r="Q1149" s="3" t="str">
        <f>IF(Table1[[#This Row],[Discharge Date]]="Yes","Discharged","Under Treatment")</f>
        <v>Under Treatment</v>
      </c>
      <c r="R1149" s="3" t="str">
        <f>IF(Table1[[#This Row],[Test Results]]&gt;120,"High Risk","Normal")</f>
        <v>High Risk</v>
      </c>
      <c r="S1149" s="3" t="str">
        <f>IF(Table1[[#This Row],[Age]]&lt;=18,"0-18",IF(Table1[[#This Row],[Age]]&lt;=35,"19-35",IF(Table1[[#This Row],[Age]]&lt;=50,"36-50",IF(Table1[[#This Row],[Age]]&lt;=65,"51-65","65+"))))</f>
        <v>19-35</v>
      </c>
    </row>
    <row r="1150" spans="1:19" x14ac:dyDescent="0.3">
      <c r="A1150" s="3" t="s">
        <v>3486</v>
      </c>
      <c r="B1150" s="3">
        <v>78</v>
      </c>
      <c r="C1150" s="3" t="s">
        <v>35</v>
      </c>
      <c r="D1150" s="3" t="s">
        <v>36</v>
      </c>
      <c r="E1150" s="3" t="s">
        <v>93</v>
      </c>
      <c r="F1150" s="4">
        <v>44550</v>
      </c>
      <c r="G1150" s="3" t="s">
        <v>3487</v>
      </c>
      <c r="H1150" s="3" t="s">
        <v>3488</v>
      </c>
      <c r="I1150" s="3" t="s">
        <v>21</v>
      </c>
      <c r="J1150" s="5">
        <v>35543.067527687701</v>
      </c>
      <c r="K1150" s="3">
        <v>384</v>
      </c>
      <c r="L1150" s="3" t="s">
        <v>46</v>
      </c>
      <c r="M1150" s="4">
        <v>44552</v>
      </c>
      <c r="N1150" s="3" t="s">
        <v>79</v>
      </c>
      <c r="O1150" s="3" t="s">
        <v>47</v>
      </c>
      <c r="P1150" s="3" t="str">
        <f>IF(Table1[[#This Row],[Billing Amount]]&lt;5000,"Low",IF(Table1[[#This Row],[Billing Amount]]&lt;=15000,"Medium","High"))</f>
        <v>High</v>
      </c>
      <c r="Q1150" s="3" t="str">
        <f>IF(Table1[[#This Row],[Discharge Date]]="Yes","Discharged","Under Treatment")</f>
        <v>Under Treatment</v>
      </c>
      <c r="R1150" s="3" t="str">
        <f>IF(Table1[[#This Row],[Test Results]]&gt;120,"High Risk","Normal")</f>
        <v>High Risk</v>
      </c>
      <c r="S1150" s="3" t="str">
        <f>IF(Table1[[#This Row],[Age]]&lt;=18,"0-18",IF(Table1[[#This Row],[Age]]&lt;=35,"19-35",IF(Table1[[#This Row],[Age]]&lt;=50,"36-50",IF(Table1[[#This Row],[Age]]&lt;=65,"51-65","65+"))))</f>
        <v>65+</v>
      </c>
    </row>
    <row r="1151" spans="1:19" x14ac:dyDescent="0.3">
      <c r="A1151" s="3" t="s">
        <v>3489</v>
      </c>
      <c r="B1151" s="3">
        <v>76</v>
      </c>
      <c r="C1151" s="3" t="s">
        <v>16</v>
      </c>
      <c r="D1151" s="3" t="s">
        <v>59</v>
      </c>
      <c r="E1151" s="3" t="s">
        <v>93</v>
      </c>
      <c r="F1151" s="4">
        <v>43911</v>
      </c>
      <c r="G1151" s="3" t="s">
        <v>3490</v>
      </c>
      <c r="H1151" s="3" t="s">
        <v>3491</v>
      </c>
      <c r="I1151" s="3" t="s">
        <v>21</v>
      </c>
      <c r="J1151" s="5">
        <v>36334.020353230597</v>
      </c>
      <c r="K1151" s="3">
        <v>151</v>
      </c>
      <c r="L1151" s="3" t="s">
        <v>22</v>
      </c>
      <c r="M1151" s="4">
        <v>43941</v>
      </c>
      <c r="N1151" s="3" t="s">
        <v>79</v>
      </c>
      <c r="O1151" s="3" t="s">
        <v>47</v>
      </c>
      <c r="P1151" s="3" t="str">
        <f>IF(Table1[[#This Row],[Billing Amount]]&lt;5000,"Low",IF(Table1[[#This Row],[Billing Amount]]&lt;=15000,"Medium","High"))</f>
        <v>High</v>
      </c>
      <c r="Q1151" s="3" t="str">
        <f>IF(Table1[[#This Row],[Discharge Date]]="Yes","Discharged","Under Treatment")</f>
        <v>Under Treatment</v>
      </c>
      <c r="R1151" s="3" t="str">
        <f>IF(Table1[[#This Row],[Test Results]]&gt;120,"High Risk","Normal")</f>
        <v>High Risk</v>
      </c>
      <c r="S1151" s="3" t="str">
        <f>IF(Table1[[#This Row],[Age]]&lt;=18,"0-18",IF(Table1[[#This Row],[Age]]&lt;=35,"19-35",IF(Table1[[#This Row],[Age]]&lt;=50,"36-50",IF(Table1[[#This Row],[Age]]&lt;=65,"51-65","65+"))))</f>
        <v>65+</v>
      </c>
    </row>
    <row r="1152" spans="1:19" x14ac:dyDescent="0.3">
      <c r="A1152" s="3" t="s">
        <v>3492</v>
      </c>
      <c r="B1152" s="3">
        <v>29</v>
      </c>
      <c r="C1152" s="3" t="s">
        <v>16</v>
      </c>
      <c r="D1152" s="3" t="s">
        <v>122</v>
      </c>
      <c r="E1152" s="3" t="s">
        <v>43</v>
      </c>
      <c r="F1152" s="4">
        <v>45313</v>
      </c>
      <c r="G1152" s="3" t="s">
        <v>3493</v>
      </c>
      <c r="H1152" s="3" t="s">
        <v>3494</v>
      </c>
      <c r="I1152" s="3" t="s">
        <v>39</v>
      </c>
      <c r="J1152" s="5">
        <v>47906.009014433097</v>
      </c>
      <c r="K1152" s="3">
        <v>379</v>
      </c>
      <c r="L1152" s="3" t="s">
        <v>31</v>
      </c>
      <c r="M1152" s="4">
        <v>45316</v>
      </c>
      <c r="N1152" s="3" t="s">
        <v>52</v>
      </c>
      <c r="O1152" s="3" t="s">
        <v>33</v>
      </c>
      <c r="P1152" s="3" t="str">
        <f>IF(Table1[[#This Row],[Billing Amount]]&lt;5000,"Low",IF(Table1[[#This Row],[Billing Amount]]&lt;=15000,"Medium","High"))</f>
        <v>High</v>
      </c>
      <c r="Q1152" s="3" t="str">
        <f>IF(Table1[[#This Row],[Discharge Date]]="Yes","Discharged","Under Treatment")</f>
        <v>Under Treatment</v>
      </c>
      <c r="R1152" s="3" t="str">
        <f>IF(Table1[[#This Row],[Test Results]]&gt;120,"High Risk","Normal")</f>
        <v>High Risk</v>
      </c>
      <c r="S1152" s="3" t="str">
        <f>IF(Table1[[#This Row],[Age]]&lt;=18,"0-18",IF(Table1[[#This Row],[Age]]&lt;=35,"19-35",IF(Table1[[#This Row],[Age]]&lt;=50,"36-50",IF(Table1[[#This Row],[Age]]&lt;=65,"51-65","65+"))))</f>
        <v>19-35</v>
      </c>
    </row>
    <row r="1153" spans="1:19" x14ac:dyDescent="0.3">
      <c r="A1153" s="3" t="s">
        <v>3495</v>
      </c>
      <c r="B1153" s="3">
        <v>85</v>
      </c>
      <c r="C1153" s="3" t="s">
        <v>16</v>
      </c>
      <c r="D1153" s="3" t="s">
        <v>42</v>
      </c>
      <c r="E1153" s="3" t="s">
        <v>18</v>
      </c>
      <c r="F1153" s="4">
        <v>43621</v>
      </c>
      <c r="G1153" s="3" t="s">
        <v>3496</v>
      </c>
      <c r="H1153" s="3" t="s">
        <v>3497</v>
      </c>
      <c r="I1153" s="3" t="s">
        <v>57</v>
      </c>
      <c r="J1153" s="5">
        <v>25098.250436759699</v>
      </c>
      <c r="K1153" s="3">
        <v>363</v>
      </c>
      <c r="L1153" s="3" t="s">
        <v>31</v>
      </c>
      <c r="M1153" s="4">
        <v>43651</v>
      </c>
      <c r="N1153" s="3" t="s">
        <v>52</v>
      </c>
      <c r="O1153" s="3" t="s">
        <v>33</v>
      </c>
      <c r="P1153" s="3" t="str">
        <f>IF(Table1[[#This Row],[Billing Amount]]&lt;5000,"Low",IF(Table1[[#This Row],[Billing Amount]]&lt;=15000,"Medium","High"))</f>
        <v>High</v>
      </c>
      <c r="Q1153" s="3" t="str">
        <f>IF(Table1[[#This Row],[Discharge Date]]="Yes","Discharged","Under Treatment")</f>
        <v>Under Treatment</v>
      </c>
      <c r="R1153" s="3" t="str">
        <f>IF(Table1[[#This Row],[Test Results]]&gt;120,"High Risk","Normal")</f>
        <v>High Risk</v>
      </c>
      <c r="S1153" s="3" t="str">
        <f>IF(Table1[[#This Row],[Age]]&lt;=18,"0-18",IF(Table1[[#This Row],[Age]]&lt;=35,"19-35",IF(Table1[[#This Row],[Age]]&lt;=50,"36-50",IF(Table1[[#This Row],[Age]]&lt;=65,"51-65","65+"))))</f>
        <v>65+</v>
      </c>
    </row>
    <row r="1154" spans="1:19" x14ac:dyDescent="0.3">
      <c r="A1154" s="3" t="s">
        <v>3498</v>
      </c>
      <c r="B1154" s="3">
        <v>48</v>
      </c>
      <c r="C1154" s="3" t="s">
        <v>35</v>
      </c>
      <c r="D1154" s="3" t="s">
        <v>122</v>
      </c>
      <c r="E1154" s="3" t="s">
        <v>76</v>
      </c>
      <c r="F1154" s="4">
        <v>45390</v>
      </c>
      <c r="G1154" s="3" t="s">
        <v>3499</v>
      </c>
      <c r="H1154" s="3" t="s">
        <v>3500</v>
      </c>
      <c r="I1154" s="3" t="s">
        <v>21</v>
      </c>
      <c r="J1154" s="5">
        <v>37989.196017922797</v>
      </c>
      <c r="K1154" s="3">
        <v>203</v>
      </c>
      <c r="L1154" s="3" t="s">
        <v>46</v>
      </c>
      <c r="M1154" s="4">
        <v>45419</v>
      </c>
      <c r="N1154" s="3" t="s">
        <v>40</v>
      </c>
      <c r="O1154" s="3" t="s">
        <v>33</v>
      </c>
      <c r="P1154" s="3" t="str">
        <f>IF(Table1[[#This Row],[Billing Amount]]&lt;5000,"Low",IF(Table1[[#This Row],[Billing Amount]]&lt;=15000,"Medium","High"))</f>
        <v>High</v>
      </c>
      <c r="Q1154" s="3" t="str">
        <f>IF(Table1[[#This Row],[Discharge Date]]="Yes","Discharged","Under Treatment")</f>
        <v>Under Treatment</v>
      </c>
      <c r="R1154" s="3" t="str">
        <f>IF(Table1[[#This Row],[Test Results]]&gt;120,"High Risk","Normal")</f>
        <v>High Risk</v>
      </c>
      <c r="S1154" s="3" t="str">
        <f>IF(Table1[[#This Row],[Age]]&lt;=18,"0-18",IF(Table1[[#This Row],[Age]]&lt;=35,"19-35",IF(Table1[[#This Row],[Age]]&lt;=50,"36-50",IF(Table1[[#This Row],[Age]]&lt;=65,"51-65","65+"))))</f>
        <v>36-50</v>
      </c>
    </row>
    <row r="1155" spans="1:19" x14ac:dyDescent="0.3">
      <c r="A1155" s="3" t="s">
        <v>3501</v>
      </c>
      <c r="B1155" s="3">
        <v>21</v>
      </c>
      <c r="C1155" s="3" t="s">
        <v>16</v>
      </c>
      <c r="D1155" s="3" t="s">
        <v>122</v>
      </c>
      <c r="E1155" s="3" t="s">
        <v>76</v>
      </c>
      <c r="F1155" s="4">
        <v>45044</v>
      </c>
      <c r="G1155" s="3" t="s">
        <v>3502</v>
      </c>
      <c r="H1155" s="3" t="s">
        <v>3503</v>
      </c>
      <c r="I1155" s="3" t="s">
        <v>57</v>
      </c>
      <c r="J1155" s="5">
        <v>671.12522991144101</v>
      </c>
      <c r="K1155" s="3">
        <v>267</v>
      </c>
      <c r="L1155" s="3" t="s">
        <v>22</v>
      </c>
      <c r="M1155" s="4">
        <v>45058</v>
      </c>
      <c r="N1155" s="3" t="s">
        <v>40</v>
      </c>
      <c r="O1155" s="3" t="s">
        <v>33</v>
      </c>
      <c r="P1155" s="3" t="str">
        <f>IF(Table1[[#This Row],[Billing Amount]]&lt;5000,"Low",IF(Table1[[#This Row],[Billing Amount]]&lt;=15000,"Medium","High"))</f>
        <v>Low</v>
      </c>
      <c r="Q1155" s="3" t="str">
        <f>IF(Table1[[#This Row],[Discharge Date]]="Yes","Discharged","Under Treatment")</f>
        <v>Under Treatment</v>
      </c>
      <c r="R1155" s="3" t="str">
        <f>IF(Table1[[#This Row],[Test Results]]&gt;120,"High Risk","Normal")</f>
        <v>High Risk</v>
      </c>
      <c r="S1155" s="3" t="str">
        <f>IF(Table1[[#This Row],[Age]]&lt;=18,"0-18",IF(Table1[[#This Row],[Age]]&lt;=35,"19-35",IF(Table1[[#This Row],[Age]]&lt;=50,"36-50",IF(Table1[[#This Row],[Age]]&lt;=65,"51-65","65+"))))</f>
        <v>19-35</v>
      </c>
    </row>
    <row r="1156" spans="1:19" x14ac:dyDescent="0.3">
      <c r="A1156" s="3" t="s">
        <v>3504</v>
      </c>
      <c r="B1156" s="3">
        <v>80</v>
      </c>
      <c r="C1156" s="3" t="s">
        <v>35</v>
      </c>
      <c r="D1156" s="3" t="s">
        <v>103</v>
      </c>
      <c r="E1156" s="3" t="s">
        <v>76</v>
      </c>
      <c r="F1156" s="4">
        <v>44675</v>
      </c>
      <c r="G1156" s="3" t="s">
        <v>3505</v>
      </c>
      <c r="H1156" s="3" t="s">
        <v>3506</v>
      </c>
      <c r="I1156" s="3" t="s">
        <v>39</v>
      </c>
      <c r="J1156" s="5">
        <v>15102.9554384362</v>
      </c>
      <c r="K1156" s="3">
        <v>453</v>
      </c>
      <c r="L1156" s="3" t="s">
        <v>46</v>
      </c>
      <c r="M1156" s="4">
        <v>44685</v>
      </c>
      <c r="N1156" s="3" t="s">
        <v>52</v>
      </c>
      <c r="O1156" s="3" t="s">
        <v>47</v>
      </c>
      <c r="P1156" s="3" t="str">
        <f>IF(Table1[[#This Row],[Billing Amount]]&lt;5000,"Low",IF(Table1[[#This Row],[Billing Amount]]&lt;=15000,"Medium","High"))</f>
        <v>High</v>
      </c>
      <c r="Q1156" s="3" t="str">
        <f>IF(Table1[[#This Row],[Discharge Date]]="Yes","Discharged","Under Treatment")</f>
        <v>Under Treatment</v>
      </c>
      <c r="R1156" s="3" t="str">
        <f>IF(Table1[[#This Row],[Test Results]]&gt;120,"High Risk","Normal")</f>
        <v>High Risk</v>
      </c>
      <c r="S1156" s="3" t="str">
        <f>IF(Table1[[#This Row],[Age]]&lt;=18,"0-18",IF(Table1[[#This Row],[Age]]&lt;=35,"19-35",IF(Table1[[#This Row],[Age]]&lt;=50,"36-50",IF(Table1[[#This Row],[Age]]&lt;=65,"51-65","65+"))))</f>
        <v>65+</v>
      </c>
    </row>
    <row r="1157" spans="1:19" x14ac:dyDescent="0.3">
      <c r="A1157" s="3" t="s">
        <v>3507</v>
      </c>
      <c r="B1157" s="3">
        <v>79</v>
      </c>
      <c r="C1157" s="3" t="s">
        <v>16</v>
      </c>
      <c r="D1157" s="3" t="s">
        <v>36</v>
      </c>
      <c r="E1157" s="3" t="s">
        <v>27</v>
      </c>
      <c r="F1157" s="4">
        <v>44502</v>
      </c>
      <c r="G1157" s="3" t="s">
        <v>3508</v>
      </c>
      <c r="H1157" s="3" t="s">
        <v>3509</v>
      </c>
      <c r="I1157" s="3" t="s">
        <v>30</v>
      </c>
      <c r="J1157" s="5">
        <v>19641.012706148998</v>
      </c>
      <c r="K1157" s="3">
        <v>142</v>
      </c>
      <c r="L1157" s="3" t="s">
        <v>31</v>
      </c>
      <c r="M1157" s="4">
        <v>44504</v>
      </c>
      <c r="N1157" s="3" t="s">
        <v>79</v>
      </c>
      <c r="O1157" s="3" t="s">
        <v>24</v>
      </c>
      <c r="P1157" s="3" t="str">
        <f>IF(Table1[[#This Row],[Billing Amount]]&lt;5000,"Low",IF(Table1[[#This Row],[Billing Amount]]&lt;=15000,"Medium","High"))</f>
        <v>High</v>
      </c>
      <c r="Q1157" s="3" t="str">
        <f>IF(Table1[[#This Row],[Discharge Date]]="Yes","Discharged","Under Treatment")</f>
        <v>Under Treatment</v>
      </c>
      <c r="R1157" s="3" t="str">
        <f>IF(Table1[[#This Row],[Test Results]]&gt;120,"High Risk","Normal")</f>
        <v>High Risk</v>
      </c>
      <c r="S1157" s="3" t="str">
        <f>IF(Table1[[#This Row],[Age]]&lt;=18,"0-18",IF(Table1[[#This Row],[Age]]&lt;=35,"19-35",IF(Table1[[#This Row],[Age]]&lt;=50,"36-50",IF(Table1[[#This Row],[Age]]&lt;=65,"51-65","65+"))))</f>
        <v>65+</v>
      </c>
    </row>
    <row r="1158" spans="1:19" x14ac:dyDescent="0.3">
      <c r="A1158" s="3" t="s">
        <v>3510</v>
      </c>
      <c r="B1158" s="3">
        <v>20</v>
      </c>
      <c r="C1158" s="3" t="s">
        <v>16</v>
      </c>
      <c r="D1158" s="3" t="s">
        <v>59</v>
      </c>
      <c r="E1158" s="3" t="s">
        <v>18</v>
      </c>
      <c r="F1158" s="4">
        <v>43596</v>
      </c>
      <c r="G1158" s="3" t="s">
        <v>3511</v>
      </c>
      <c r="H1158" s="3" t="s">
        <v>3512</v>
      </c>
      <c r="I1158" s="3" t="s">
        <v>39</v>
      </c>
      <c r="J1158" s="5">
        <v>35776.637069418699</v>
      </c>
      <c r="K1158" s="3">
        <v>313</v>
      </c>
      <c r="L1158" s="3" t="s">
        <v>22</v>
      </c>
      <c r="M1158" s="4">
        <v>43597</v>
      </c>
      <c r="N1158" s="3" t="s">
        <v>79</v>
      </c>
      <c r="O1158" s="3" t="s">
        <v>47</v>
      </c>
      <c r="P1158" s="3" t="str">
        <f>IF(Table1[[#This Row],[Billing Amount]]&lt;5000,"Low",IF(Table1[[#This Row],[Billing Amount]]&lt;=15000,"Medium","High"))</f>
        <v>High</v>
      </c>
      <c r="Q1158" s="3" t="str">
        <f>IF(Table1[[#This Row],[Discharge Date]]="Yes","Discharged","Under Treatment")</f>
        <v>Under Treatment</v>
      </c>
      <c r="R1158" s="3" t="str">
        <f>IF(Table1[[#This Row],[Test Results]]&gt;120,"High Risk","Normal")</f>
        <v>High Risk</v>
      </c>
      <c r="S1158" s="3" t="str">
        <f>IF(Table1[[#This Row],[Age]]&lt;=18,"0-18",IF(Table1[[#This Row],[Age]]&lt;=35,"19-35",IF(Table1[[#This Row],[Age]]&lt;=50,"36-50",IF(Table1[[#This Row],[Age]]&lt;=65,"51-65","65+"))))</f>
        <v>19-35</v>
      </c>
    </row>
    <row r="1159" spans="1:19" x14ac:dyDescent="0.3">
      <c r="A1159" s="3" t="s">
        <v>3513</v>
      </c>
      <c r="B1159" s="3">
        <v>50</v>
      </c>
      <c r="C1159" s="3" t="s">
        <v>35</v>
      </c>
      <c r="D1159" s="3" t="s">
        <v>17</v>
      </c>
      <c r="E1159" s="3" t="s">
        <v>76</v>
      </c>
      <c r="F1159" s="4">
        <v>45220</v>
      </c>
      <c r="G1159" s="3" t="s">
        <v>3514</v>
      </c>
      <c r="H1159" s="3" t="s">
        <v>3515</v>
      </c>
      <c r="I1159" s="3" t="s">
        <v>21</v>
      </c>
      <c r="J1159" s="5">
        <v>700.59507625359504</v>
      </c>
      <c r="K1159" s="3">
        <v>481</v>
      </c>
      <c r="L1159" s="3" t="s">
        <v>22</v>
      </c>
      <c r="M1159" s="4">
        <v>45223</v>
      </c>
      <c r="N1159" s="3" t="s">
        <v>40</v>
      </c>
      <c r="O1159" s="3" t="s">
        <v>24</v>
      </c>
      <c r="P1159" s="3" t="str">
        <f>IF(Table1[[#This Row],[Billing Amount]]&lt;5000,"Low",IF(Table1[[#This Row],[Billing Amount]]&lt;=15000,"Medium","High"))</f>
        <v>Low</v>
      </c>
      <c r="Q1159" s="3" t="str">
        <f>IF(Table1[[#This Row],[Discharge Date]]="Yes","Discharged","Under Treatment")</f>
        <v>Under Treatment</v>
      </c>
      <c r="R1159" s="3" t="str">
        <f>IF(Table1[[#This Row],[Test Results]]&gt;120,"High Risk","Normal")</f>
        <v>High Risk</v>
      </c>
      <c r="S1159" s="3" t="str">
        <f>IF(Table1[[#This Row],[Age]]&lt;=18,"0-18",IF(Table1[[#This Row],[Age]]&lt;=35,"19-35",IF(Table1[[#This Row],[Age]]&lt;=50,"36-50",IF(Table1[[#This Row],[Age]]&lt;=65,"51-65","65+"))))</f>
        <v>36-50</v>
      </c>
    </row>
    <row r="1160" spans="1:19" x14ac:dyDescent="0.3">
      <c r="A1160" s="3" t="s">
        <v>3517</v>
      </c>
      <c r="B1160" s="3">
        <v>85</v>
      </c>
      <c r="C1160" s="3" t="s">
        <v>16</v>
      </c>
      <c r="D1160" s="3" t="s">
        <v>122</v>
      </c>
      <c r="E1160" s="3" t="s">
        <v>76</v>
      </c>
      <c r="F1160" s="4">
        <v>44112</v>
      </c>
      <c r="G1160" s="3" t="s">
        <v>3518</v>
      </c>
      <c r="H1160" s="3" t="s">
        <v>3519</v>
      </c>
      <c r="I1160" s="3" t="s">
        <v>21</v>
      </c>
      <c r="J1160" s="5">
        <v>23502.459581227798</v>
      </c>
      <c r="K1160" s="3">
        <v>104</v>
      </c>
      <c r="L1160" s="3" t="s">
        <v>22</v>
      </c>
      <c r="M1160" s="4">
        <v>44142</v>
      </c>
      <c r="N1160" s="3" t="s">
        <v>23</v>
      </c>
      <c r="O1160" s="3" t="s">
        <v>24</v>
      </c>
      <c r="P1160" s="3" t="str">
        <f>IF(Table1[[#This Row],[Billing Amount]]&lt;5000,"Low",IF(Table1[[#This Row],[Billing Amount]]&lt;=15000,"Medium","High"))</f>
        <v>High</v>
      </c>
      <c r="Q1160" s="3" t="str">
        <f>IF(Table1[[#This Row],[Discharge Date]]="Yes","Discharged","Under Treatment")</f>
        <v>Under Treatment</v>
      </c>
      <c r="R1160" s="3" t="str">
        <f>IF(Table1[[#This Row],[Test Results]]&gt;120,"High Risk","Normal")</f>
        <v>High Risk</v>
      </c>
      <c r="S1160" s="3" t="str">
        <f>IF(Table1[[#This Row],[Age]]&lt;=18,"0-18",IF(Table1[[#This Row],[Age]]&lt;=35,"19-35",IF(Table1[[#This Row],[Age]]&lt;=50,"36-50",IF(Table1[[#This Row],[Age]]&lt;=65,"51-65","65+"))))</f>
        <v>65+</v>
      </c>
    </row>
    <row r="1161" spans="1:19" x14ac:dyDescent="0.3">
      <c r="A1161" s="3" t="s">
        <v>3520</v>
      </c>
      <c r="B1161" s="3">
        <v>26</v>
      </c>
      <c r="C1161" s="3" t="s">
        <v>35</v>
      </c>
      <c r="D1161" s="3" t="s">
        <v>59</v>
      </c>
      <c r="E1161" s="3" t="s">
        <v>18</v>
      </c>
      <c r="F1161" s="4">
        <v>44783</v>
      </c>
      <c r="G1161" s="3" t="s">
        <v>3521</v>
      </c>
      <c r="H1161" s="3" t="s">
        <v>3522</v>
      </c>
      <c r="I1161" s="3" t="s">
        <v>57</v>
      </c>
      <c r="J1161" s="5">
        <v>15483.3856837325</v>
      </c>
      <c r="K1161" s="3">
        <v>137</v>
      </c>
      <c r="L1161" s="3" t="s">
        <v>46</v>
      </c>
      <c r="M1161" s="4">
        <v>44803</v>
      </c>
      <c r="N1161" s="3" t="s">
        <v>23</v>
      </c>
      <c r="O1161" s="3" t="s">
        <v>24</v>
      </c>
      <c r="P1161" s="3" t="str">
        <f>IF(Table1[[#This Row],[Billing Amount]]&lt;5000,"Low",IF(Table1[[#This Row],[Billing Amount]]&lt;=15000,"Medium","High"))</f>
        <v>High</v>
      </c>
      <c r="Q1161" s="3" t="str">
        <f>IF(Table1[[#This Row],[Discharge Date]]="Yes","Discharged","Under Treatment")</f>
        <v>Under Treatment</v>
      </c>
      <c r="R1161" s="3" t="str">
        <f>IF(Table1[[#This Row],[Test Results]]&gt;120,"High Risk","Normal")</f>
        <v>High Risk</v>
      </c>
      <c r="S1161" s="3" t="str">
        <f>IF(Table1[[#This Row],[Age]]&lt;=18,"0-18",IF(Table1[[#This Row],[Age]]&lt;=35,"19-35",IF(Table1[[#This Row],[Age]]&lt;=50,"36-50",IF(Table1[[#This Row],[Age]]&lt;=65,"51-65","65+"))))</f>
        <v>19-35</v>
      </c>
    </row>
    <row r="1162" spans="1:19" x14ac:dyDescent="0.3">
      <c r="A1162" s="3" t="s">
        <v>3523</v>
      </c>
      <c r="B1162" s="3">
        <v>28</v>
      </c>
      <c r="C1162" s="3" t="s">
        <v>35</v>
      </c>
      <c r="D1162" s="3" t="s">
        <v>36</v>
      </c>
      <c r="E1162" s="3" t="s">
        <v>93</v>
      </c>
      <c r="F1162" s="4">
        <v>43983</v>
      </c>
      <c r="G1162" s="3" t="s">
        <v>3524</v>
      </c>
      <c r="H1162" s="3" t="s">
        <v>3525</v>
      </c>
      <c r="I1162" s="3" t="s">
        <v>65</v>
      </c>
      <c r="J1162" s="5">
        <v>43119.1063437755</v>
      </c>
      <c r="K1162" s="3">
        <v>266</v>
      </c>
      <c r="L1162" s="3" t="s">
        <v>31</v>
      </c>
      <c r="M1162" s="4">
        <v>43987</v>
      </c>
      <c r="N1162" s="3" t="s">
        <v>23</v>
      </c>
      <c r="O1162" s="3" t="s">
        <v>24</v>
      </c>
      <c r="P1162" s="3" t="str">
        <f>IF(Table1[[#This Row],[Billing Amount]]&lt;5000,"Low",IF(Table1[[#This Row],[Billing Amount]]&lt;=15000,"Medium","High"))</f>
        <v>High</v>
      </c>
      <c r="Q1162" s="3" t="str">
        <f>IF(Table1[[#This Row],[Discharge Date]]="Yes","Discharged","Under Treatment")</f>
        <v>Under Treatment</v>
      </c>
      <c r="R1162" s="3" t="str">
        <f>IF(Table1[[#This Row],[Test Results]]&gt;120,"High Risk","Normal")</f>
        <v>High Risk</v>
      </c>
      <c r="S1162" s="3" t="str">
        <f>IF(Table1[[#This Row],[Age]]&lt;=18,"0-18",IF(Table1[[#This Row],[Age]]&lt;=35,"19-35",IF(Table1[[#This Row],[Age]]&lt;=50,"36-50",IF(Table1[[#This Row],[Age]]&lt;=65,"51-65","65+"))))</f>
        <v>19-35</v>
      </c>
    </row>
    <row r="1163" spans="1:19" x14ac:dyDescent="0.3">
      <c r="A1163" s="3" t="s">
        <v>3526</v>
      </c>
      <c r="B1163" s="3">
        <v>32</v>
      </c>
      <c r="C1163" s="3" t="s">
        <v>35</v>
      </c>
      <c r="D1163" s="3" t="s">
        <v>26</v>
      </c>
      <c r="E1163" s="3" t="s">
        <v>93</v>
      </c>
      <c r="F1163" s="4">
        <v>45285</v>
      </c>
      <c r="G1163" s="3" t="s">
        <v>3527</v>
      </c>
      <c r="H1163" s="3" t="s">
        <v>3528</v>
      </c>
      <c r="I1163" s="3" t="s">
        <v>30</v>
      </c>
      <c r="J1163" s="5">
        <v>28319.532207011602</v>
      </c>
      <c r="K1163" s="3">
        <v>227</v>
      </c>
      <c r="L1163" s="3" t="s">
        <v>46</v>
      </c>
      <c r="M1163" s="4">
        <v>45302</v>
      </c>
      <c r="N1163" s="3" t="s">
        <v>79</v>
      </c>
      <c r="O1163" s="3" t="s">
        <v>24</v>
      </c>
      <c r="P1163" s="3" t="str">
        <f>IF(Table1[[#This Row],[Billing Amount]]&lt;5000,"Low",IF(Table1[[#This Row],[Billing Amount]]&lt;=15000,"Medium","High"))</f>
        <v>High</v>
      </c>
      <c r="Q1163" s="3" t="str">
        <f>IF(Table1[[#This Row],[Discharge Date]]="Yes","Discharged","Under Treatment")</f>
        <v>Under Treatment</v>
      </c>
      <c r="R1163" s="3" t="str">
        <f>IF(Table1[[#This Row],[Test Results]]&gt;120,"High Risk","Normal")</f>
        <v>High Risk</v>
      </c>
      <c r="S1163" s="3" t="str">
        <f>IF(Table1[[#This Row],[Age]]&lt;=18,"0-18",IF(Table1[[#This Row],[Age]]&lt;=35,"19-35",IF(Table1[[#This Row],[Age]]&lt;=50,"36-50",IF(Table1[[#This Row],[Age]]&lt;=65,"51-65","65+"))))</f>
        <v>19-35</v>
      </c>
    </row>
    <row r="1164" spans="1:19" x14ac:dyDescent="0.3">
      <c r="A1164" s="3" t="s">
        <v>3529</v>
      </c>
      <c r="B1164" s="3">
        <v>38</v>
      </c>
      <c r="C1164" s="3" t="s">
        <v>35</v>
      </c>
      <c r="D1164" s="3" t="s">
        <v>122</v>
      </c>
      <c r="E1164" s="3" t="s">
        <v>27</v>
      </c>
      <c r="F1164" s="4">
        <v>44538</v>
      </c>
      <c r="G1164" s="3" t="s">
        <v>3530</v>
      </c>
      <c r="H1164" s="3" t="s">
        <v>3531</v>
      </c>
      <c r="I1164" s="3" t="s">
        <v>39</v>
      </c>
      <c r="J1164" s="5">
        <v>30372.4454383011</v>
      </c>
      <c r="K1164" s="3">
        <v>473</v>
      </c>
      <c r="L1164" s="3" t="s">
        <v>31</v>
      </c>
      <c r="M1164" s="4">
        <v>44544</v>
      </c>
      <c r="N1164" s="3" t="s">
        <v>23</v>
      </c>
      <c r="O1164" s="3" t="s">
        <v>24</v>
      </c>
      <c r="P1164" s="3" t="str">
        <f>IF(Table1[[#This Row],[Billing Amount]]&lt;5000,"Low",IF(Table1[[#This Row],[Billing Amount]]&lt;=15000,"Medium","High"))</f>
        <v>High</v>
      </c>
      <c r="Q1164" s="3" t="str">
        <f>IF(Table1[[#This Row],[Discharge Date]]="Yes","Discharged","Under Treatment")</f>
        <v>Under Treatment</v>
      </c>
      <c r="R1164" s="3" t="str">
        <f>IF(Table1[[#This Row],[Test Results]]&gt;120,"High Risk","Normal")</f>
        <v>High Risk</v>
      </c>
      <c r="S1164" s="3" t="str">
        <f>IF(Table1[[#This Row],[Age]]&lt;=18,"0-18",IF(Table1[[#This Row],[Age]]&lt;=35,"19-35",IF(Table1[[#This Row],[Age]]&lt;=50,"36-50",IF(Table1[[#This Row],[Age]]&lt;=65,"51-65","65+"))))</f>
        <v>36-50</v>
      </c>
    </row>
    <row r="1165" spans="1:19" x14ac:dyDescent="0.3">
      <c r="A1165" s="3" t="s">
        <v>3532</v>
      </c>
      <c r="B1165" s="3">
        <v>67</v>
      </c>
      <c r="C1165" s="3" t="s">
        <v>35</v>
      </c>
      <c r="D1165" s="3" t="s">
        <v>26</v>
      </c>
      <c r="E1165" s="3" t="s">
        <v>54</v>
      </c>
      <c r="F1165" s="4">
        <v>44045</v>
      </c>
      <c r="G1165" s="3" t="s">
        <v>3533</v>
      </c>
      <c r="H1165" s="3" t="s">
        <v>3534</v>
      </c>
      <c r="I1165" s="3" t="s">
        <v>30</v>
      </c>
      <c r="J1165" s="5">
        <v>48503.289842389902</v>
      </c>
      <c r="K1165" s="3">
        <v>149</v>
      </c>
      <c r="L1165" s="3" t="s">
        <v>22</v>
      </c>
      <c r="M1165" s="4">
        <v>44060</v>
      </c>
      <c r="N1165" s="3" t="s">
        <v>32</v>
      </c>
      <c r="O1165" s="3" t="s">
        <v>33</v>
      </c>
      <c r="P1165" s="3" t="str">
        <f>IF(Table1[[#This Row],[Billing Amount]]&lt;5000,"Low",IF(Table1[[#This Row],[Billing Amount]]&lt;=15000,"Medium","High"))</f>
        <v>High</v>
      </c>
      <c r="Q1165" s="3" t="str">
        <f>IF(Table1[[#This Row],[Discharge Date]]="Yes","Discharged","Under Treatment")</f>
        <v>Under Treatment</v>
      </c>
      <c r="R1165" s="3" t="str">
        <f>IF(Table1[[#This Row],[Test Results]]&gt;120,"High Risk","Normal")</f>
        <v>High Risk</v>
      </c>
      <c r="S1165" s="3" t="str">
        <f>IF(Table1[[#This Row],[Age]]&lt;=18,"0-18",IF(Table1[[#This Row],[Age]]&lt;=35,"19-35",IF(Table1[[#This Row],[Age]]&lt;=50,"36-50",IF(Table1[[#This Row],[Age]]&lt;=65,"51-65","65+"))))</f>
        <v>65+</v>
      </c>
    </row>
    <row r="1166" spans="1:19" x14ac:dyDescent="0.3">
      <c r="A1166" s="3" t="s">
        <v>3535</v>
      </c>
      <c r="B1166" s="3">
        <v>78</v>
      </c>
      <c r="C1166" s="3" t="s">
        <v>16</v>
      </c>
      <c r="D1166" s="3" t="s">
        <v>59</v>
      </c>
      <c r="E1166" s="3" t="s">
        <v>27</v>
      </c>
      <c r="F1166" s="4">
        <v>45200</v>
      </c>
      <c r="G1166" s="3" t="s">
        <v>3536</v>
      </c>
      <c r="H1166" s="3" t="s">
        <v>3537</v>
      </c>
      <c r="I1166" s="3" t="s">
        <v>57</v>
      </c>
      <c r="J1166" s="5">
        <v>22247.437482013502</v>
      </c>
      <c r="K1166" s="3">
        <v>385</v>
      </c>
      <c r="L1166" s="3" t="s">
        <v>22</v>
      </c>
      <c r="M1166" s="4">
        <v>45212</v>
      </c>
      <c r="N1166" s="3" t="s">
        <v>52</v>
      </c>
      <c r="O1166" s="3" t="s">
        <v>24</v>
      </c>
      <c r="P1166" s="3" t="str">
        <f>IF(Table1[[#This Row],[Billing Amount]]&lt;5000,"Low",IF(Table1[[#This Row],[Billing Amount]]&lt;=15000,"Medium","High"))</f>
        <v>High</v>
      </c>
      <c r="Q1166" s="3" t="str">
        <f>IF(Table1[[#This Row],[Discharge Date]]="Yes","Discharged","Under Treatment")</f>
        <v>Under Treatment</v>
      </c>
      <c r="R1166" s="3" t="str">
        <f>IF(Table1[[#This Row],[Test Results]]&gt;120,"High Risk","Normal")</f>
        <v>High Risk</v>
      </c>
      <c r="S1166" s="3" t="str">
        <f>IF(Table1[[#This Row],[Age]]&lt;=18,"0-18",IF(Table1[[#This Row],[Age]]&lt;=35,"19-35",IF(Table1[[#This Row],[Age]]&lt;=50,"36-50",IF(Table1[[#This Row],[Age]]&lt;=65,"51-65","65+"))))</f>
        <v>65+</v>
      </c>
    </row>
    <row r="1167" spans="1:19" x14ac:dyDescent="0.3">
      <c r="A1167" s="3" t="s">
        <v>3538</v>
      </c>
      <c r="B1167" s="3">
        <v>33</v>
      </c>
      <c r="C1167" s="3" t="s">
        <v>35</v>
      </c>
      <c r="D1167" s="3" t="s">
        <v>49</v>
      </c>
      <c r="E1167" s="3" t="s">
        <v>18</v>
      </c>
      <c r="F1167" s="4">
        <v>44784</v>
      </c>
      <c r="G1167" s="3" t="s">
        <v>3539</v>
      </c>
      <c r="H1167" s="3" t="s">
        <v>3540</v>
      </c>
      <c r="I1167" s="3" t="s">
        <v>21</v>
      </c>
      <c r="J1167" s="5">
        <v>37153.379739285599</v>
      </c>
      <c r="K1167" s="3">
        <v>280</v>
      </c>
      <c r="L1167" s="3" t="s">
        <v>22</v>
      </c>
      <c r="M1167" s="4">
        <v>44813</v>
      </c>
      <c r="N1167" s="3" t="s">
        <v>40</v>
      </c>
      <c r="O1167" s="3" t="s">
        <v>47</v>
      </c>
      <c r="P1167" s="3" t="str">
        <f>IF(Table1[[#This Row],[Billing Amount]]&lt;5000,"Low",IF(Table1[[#This Row],[Billing Amount]]&lt;=15000,"Medium","High"))</f>
        <v>High</v>
      </c>
      <c r="Q1167" s="3" t="str">
        <f>IF(Table1[[#This Row],[Discharge Date]]="Yes","Discharged","Under Treatment")</f>
        <v>Under Treatment</v>
      </c>
      <c r="R1167" s="3" t="str">
        <f>IF(Table1[[#This Row],[Test Results]]&gt;120,"High Risk","Normal")</f>
        <v>High Risk</v>
      </c>
      <c r="S1167" s="3" t="str">
        <f>IF(Table1[[#This Row],[Age]]&lt;=18,"0-18",IF(Table1[[#This Row],[Age]]&lt;=35,"19-35",IF(Table1[[#This Row],[Age]]&lt;=50,"36-50",IF(Table1[[#This Row],[Age]]&lt;=65,"51-65","65+"))))</f>
        <v>19-35</v>
      </c>
    </row>
    <row r="1168" spans="1:19" x14ac:dyDescent="0.3">
      <c r="A1168" s="3" t="s">
        <v>3541</v>
      </c>
      <c r="B1168" s="3">
        <v>33</v>
      </c>
      <c r="C1168" s="3" t="s">
        <v>35</v>
      </c>
      <c r="D1168" s="3" t="s">
        <v>42</v>
      </c>
      <c r="E1168" s="3" t="s">
        <v>54</v>
      </c>
      <c r="F1168" s="4">
        <v>44576</v>
      </c>
      <c r="G1168" s="3" t="s">
        <v>3542</v>
      </c>
      <c r="H1168" s="3" t="s">
        <v>3543</v>
      </c>
      <c r="I1168" s="3" t="s">
        <v>57</v>
      </c>
      <c r="J1168" s="5">
        <v>37629.033299513903</v>
      </c>
      <c r="K1168" s="3">
        <v>387</v>
      </c>
      <c r="L1168" s="3" t="s">
        <v>31</v>
      </c>
      <c r="M1168" s="4">
        <v>44595</v>
      </c>
      <c r="N1168" s="3" t="s">
        <v>40</v>
      </c>
      <c r="O1168" s="3" t="s">
        <v>33</v>
      </c>
      <c r="P1168" s="3" t="str">
        <f>IF(Table1[[#This Row],[Billing Amount]]&lt;5000,"Low",IF(Table1[[#This Row],[Billing Amount]]&lt;=15000,"Medium","High"))</f>
        <v>High</v>
      </c>
      <c r="Q1168" s="3" t="str">
        <f>IF(Table1[[#This Row],[Discharge Date]]="Yes","Discharged","Under Treatment")</f>
        <v>Under Treatment</v>
      </c>
      <c r="R1168" s="3" t="str">
        <f>IF(Table1[[#This Row],[Test Results]]&gt;120,"High Risk","Normal")</f>
        <v>High Risk</v>
      </c>
      <c r="S1168" s="3" t="str">
        <f>IF(Table1[[#This Row],[Age]]&lt;=18,"0-18",IF(Table1[[#This Row],[Age]]&lt;=35,"19-35",IF(Table1[[#This Row],[Age]]&lt;=50,"36-50",IF(Table1[[#This Row],[Age]]&lt;=65,"51-65","65+"))))</f>
        <v>19-35</v>
      </c>
    </row>
    <row r="1169" spans="1:19" x14ac:dyDescent="0.3">
      <c r="A1169" s="3" t="s">
        <v>3544</v>
      </c>
      <c r="B1169" s="3">
        <v>19</v>
      </c>
      <c r="C1169" s="3" t="s">
        <v>35</v>
      </c>
      <c r="D1169" s="3" t="s">
        <v>36</v>
      </c>
      <c r="E1169" s="3" t="s">
        <v>43</v>
      </c>
      <c r="F1169" s="4">
        <v>44649</v>
      </c>
      <c r="G1169" s="3" t="s">
        <v>3545</v>
      </c>
      <c r="H1169" s="3" t="s">
        <v>3546</v>
      </c>
      <c r="I1169" s="3" t="s">
        <v>30</v>
      </c>
      <c r="J1169" s="5">
        <v>34092.483294006801</v>
      </c>
      <c r="K1169" s="3">
        <v>358</v>
      </c>
      <c r="L1169" s="3" t="s">
        <v>22</v>
      </c>
      <c r="M1169" s="4">
        <v>44661</v>
      </c>
      <c r="N1169" s="3" t="s">
        <v>40</v>
      </c>
      <c r="O1169" s="3" t="s">
        <v>33</v>
      </c>
      <c r="P1169" s="3" t="str">
        <f>IF(Table1[[#This Row],[Billing Amount]]&lt;5000,"Low",IF(Table1[[#This Row],[Billing Amount]]&lt;=15000,"Medium","High"))</f>
        <v>High</v>
      </c>
      <c r="Q1169" s="3" t="str">
        <f>IF(Table1[[#This Row],[Discharge Date]]="Yes","Discharged","Under Treatment")</f>
        <v>Under Treatment</v>
      </c>
      <c r="R1169" s="3" t="str">
        <f>IF(Table1[[#This Row],[Test Results]]&gt;120,"High Risk","Normal")</f>
        <v>High Risk</v>
      </c>
      <c r="S1169" s="3" t="str">
        <f>IF(Table1[[#This Row],[Age]]&lt;=18,"0-18",IF(Table1[[#This Row],[Age]]&lt;=35,"19-35",IF(Table1[[#This Row],[Age]]&lt;=50,"36-50",IF(Table1[[#This Row],[Age]]&lt;=65,"51-65","65+"))))</f>
        <v>19-35</v>
      </c>
    </row>
    <row r="1170" spans="1:19" x14ac:dyDescent="0.3">
      <c r="A1170" s="3" t="s">
        <v>3547</v>
      </c>
      <c r="B1170" s="3">
        <v>66</v>
      </c>
      <c r="C1170" s="3" t="s">
        <v>16</v>
      </c>
      <c r="D1170" s="3" t="s">
        <v>103</v>
      </c>
      <c r="E1170" s="3" t="s">
        <v>93</v>
      </c>
      <c r="F1170" s="4">
        <v>44925</v>
      </c>
      <c r="G1170" s="3" t="s">
        <v>3548</v>
      </c>
      <c r="H1170" s="3" t="s">
        <v>3549</v>
      </c>
      <c r="I1170" s="3" t="s">
        <v>21</v>
      </c>
      <c r="J1170" s="5">
        <v>24768.456525215999</v>
      </c>
      <c r="K1170" s="3">
        <v>310</v>
      </c>
      <c r="L1170" s="3" t="s">
        <v>31</v>
      </c>
      <c r="M1170" s="4">
        <v>44941</v>
      </c>
      <c r="N1170" s="3" t="s">
        <v>23</v>
      </c>
      <c r="O1170" s="3" t="s">
        <v>33</v>
      </c>
      <c r="P1170" s="3" t="str">
        <f>IF(Table1[[#This Row],[Billing Amount]]&lt;5000,"Low",IF(Table1[[#This Row],[Billing Amount]]&lt;=15000,"Medium","High"))</f>
        <v>High</v>
      </c>
      <c r="Q1170" s="3" t="str">
        <f>IF(Table1[[#This Row],[Discharge Date]]="Yes","Discharged","Under Treatment")</f>
        <v>Under Treatment</v>
      </c>
      <c r="R1170" s="3" t="str">
        <f>IF(Table1[[#This Row],[Test Results]]&gt;120,"High Risk","Normal")</f>
        <v>High Risk</v>
      </c>
      <c r="S1170" s="3" t="str">
        <f>IF(Table1[[#This Row],[Age]]&lt;=18,"0-18",IF(Table1[[#This Row],[Age]]&lt;=35,"19-35",IF(Table1[[#This Row],[Age]]&lt;=50,"36-50",IF(Table1[[#This Row],[Age]]&lt;=65,"51-65","65+"))))</f>
        <v>65+</v>
      </c>
    </row>
    <row r="1171" spans="1:19" x14ac:dyDescent="0.3">
      <c r="A1171" s="3" t="s">
        <v>3550</v>
      </c>
      <c r="B1171" s="3">
        <v>43</v>
      </c>
      <c r="C1171" s="3" t="s">
        <v>35</v>
      </c>
      <c r="D1171" s="3" t="s">
        <v>36</v>
      </c>
      <c r="E1171" s="3" t="s">
        <v>76</v>
      </c>
      <c r="F1171" s="4">
        <v>44482</v>
      </c>
      <c r="G1171" s="3" t="s">
        <v>3551</v>
      </c>
      <c r="H1171" s="3" t="s">
        <v>3552</v>
      </c>
      <c r="I1171" s="3" t="s">
        <v>65</v>
      </c>
      <c r="J1171" s="5">
        <v>671.52702837535196</v>
      </c>
      <c r="K1171" s="3">
        <v>310</v>
      </c>
      <c r="L1171" s="3" t="s">
        <v>22</v>
      </c>
      <c r="M1171" s="4">
        <v>44486</v>
      </c>
      <c r="N1171" s="3" t="s">
        <v>40</v>
      </c>
      <c r="O1171" s="3" t="s">
        <v>33</v>
      </c>
      <c r="P1171" s="3" t="str">
        <f>IF(Table1[[#This Row],[Billing Amount]]&lt;5000,"Low",IF(Table1[[#This Row],[Billing Amount]]&lt;=15000,"Medium","High"))</f>
        <v>Low</v>
      </c>
      <c r="Q1171" s="3" t="str">
        <f>IF(Table1[[#This Row],[Discharge Date]]="Yes","Discharged","Under Treatment")</f>
        <v>Under Treatment</v>
      </c>
      <c r="R1171" s="3" t="str">
        <f>IF(Table1[[#This Row],[Test Results]]&gt;120,"High Risk","Normal")</f>
        <v>High Risk</v>
      </c>
      <c r="S1171" s="3" t="str">
        <f>IF(Table1[[#This Row],[Age]]&lt;=18,"0-18",IF(Table1[[#This Row],[Age]]&lt;=35,"19-35",IF(Table1[[#This Row],[Age]]&lt;=50,"36-50",IF(Table1[[#This Row],[Age]]&lt;=65,"51-65","65+"))))</f>
        <v>36-50</v>
      </c>
    </row>
    <row r="1172" spans="1:19" x14ac:dyDescent="0.3">
      <c r="A1172" s="3" t="s">
        <v>3553</v>
      </c>
      <c r="B1172" s="3">
        <v>30</v>
      </c>
      <c r="C1172" s="3" t="s">
        <v>16</v>
      </c>
      <c r="D1172" s="3" t="s">
        <v>42</v>
      </c>
      <c r="E1172" s="3" t="s">
        <v>76</v>
      </c>
      <c r="F1172" s="4">
        <v>44368</v>
      </c>
      <c r="G1172" s="3" t="s">
        <v>3554</v>
      </c>
      <c r="H1172" s="3" t="s">
        <v>3555</v>
      </c>
      <c r="I1172" s="3" t="s">
        <v>57</v>
      </c>
      <c r="J1172" s="5">
        <v>28035.937828739799</v>
      </c>
      <c r="K1172" s="3">
        <v>379</v>
      </c>
      <c r="L1172" s="3" t="s">
        <v>31</v>
      </c>
      <c r="M1172" s="4">
        <v>44396</v>
      </c>
      <c r="N1172" s="3" t="s">
        <v>52</v>
      </c>
      <c r="O1172" s="3" t="s">
        <v>24</v>
      </c>
      <c r="P1172" s="3" t="str">
        <f>IF(Table1[[#This Row],[Billing Amount]]&lt;5000,"Low",IF(Table1[[#This Row],[Billing Amount]]&lt;=15000,"Medium","High"))</f>
        <v>High</v>
      </c>
      <c r="Q1172" s="3" t="str">
        <f>IF(Table1[[#This Row],[Discharge Date]]="Yes","Discharged","Under Treatment")</f>
        <v>Under Treatment</v>
      </c>
      <c r="R1172" s="3" t="str">
        <f>IF(Table1[[#This Row],[Test Results]]&gt;120,"High Risk","Normal")</f>
        <v>High Risk</v>
      </c>
      <c r="S1172" s="3" t="str">
        <f>IF(Table1[[#This Row],[Age]]&lt;=18,"0-18",IF(Table1[[#This Row],[Age]]&lt;=35,"19-35",IF(Table1[[#This Row],[Age]]&lt;=50,"36-50",IF(Table1[[#This Row],[Age]]&lt;=65,"51-65","65+"))))</f>
        <v>19-35</v>
      </c>
    </row>
    <row r="1173" spans="1:19" x14ac:dyDescent="0.3">
      <c r="A1173" s="3" t="s">
        <v>3556</v>
      </c>
      <c r="B1173" s="3">
        <v>66</v>
      </c>
      <c r="C1173" s="3" t="s">
        <v>35</v>
      </c>
      <c r="D1173" s="3" t="s">
        <v>17</v>
      </c>
      <c r="E1173" s="3" t="s">
        <v>43</v>
      </c>
      <c r="F1173" s="4">
        <v>44931</v>
      </c>
      <c r="G1173" s="3" t="s">
        <v>3557</v>
      </c>
      <c r="H1173" s="3" t="s">
        <v>3558</v>
      </c>
      <c r="I1173" s="3" t="s">
        <v>21</v>
      </c>
      <c r="J1173" s="5">
        <v>41982.110192543201</v>
      </c>
      <c r="K1173" s="3">
        <v>495</v>
      </c>
      <c r="L1173" s="3" t="s">
        <v>22</v>
      </c>
      <c r="M1173" s="4">
        <v>44938</v>
      </c>
      <c r="N1173" s="3" t="s">
        <v>32</v>
      </c>
      <c r="O1173" s="3" t="s">
        <v>33</v>
      </c>
      <c r="P1173" s="3" t="str">
        <f>IF(Table1[[#This Row],[Billing Amount]]&lt;5000,"Low",IF(Table1[[#This Row],[Billing Amount]]&lt;=15000,"Medium","High"))</f>
        <v>High</v>
      </c>
      <c r="Q1173" s="3" t="str">
        <f>IF(Table1[[#This Row],[Discharge Date]]="Yes","Discharged","Under Treatment")</f>
        <v>Under Treatment</v>
      </c>
      <c r="R1173" s="3" t="str">
        <f>IF(Table1[[#This Row],[Test Results]]&gt;120,"High Risk","Normal")</f>
        <v>High Risk</v>
      </c>
      <c r="S1173" s="3" t="str">
        <f>IF(Table1[[#This Row],[Age]]&lt;=18,"0-18",IF(Table1[[#This Row],[Age]]&lt;=35,"19-35",IF(Table1[[#This Row],[Age]]&lt;=50,"36-50",IF(Table1[[#This Row],[Age]]&lt;=65,"51-65","65+"))))</f>
        <v>65+</v>
      </c>
    </row>
    <row r="1174" spans="1:19" x14ac:dyDescent="0.3">
      <c r="A1174" s="3" t="s">
        <v>3559</v>
      </c>
      <c r="B1174" s="3">
        <v>68</v>
      </c>
      <c r="C1174" s="3" t="s">
        <v>35</v>
      </c>
      <c r="D1174" s="3" t="s">
        <v>26</v>
      </c>
      <c r="E1174" s="3" t="s">
        <v>27</v>
      </c>
      <c r="F1174" s="4">
        <v>44139</v>
      </c>
      <c r="G1174" s="3" t="s">
        <v>3560</v>
      </c>
      <c r="H1174" s="3" t="s">
        <v>3561</v>
      </c>
      <c r="I1174" s="3" t="s">
        <v>39</v>
      </c>
      <c r="J1174" s="5">
        <v>45832.835245312301</v>
      </c>
      <c r="K1174" s="3">
        <v>236</v>
      </c>
      <c r="L1174" s="3" t="s">
        <v>22</v>
      </c>
      <c r="M1174" s="4">
        <v>44152</v>
      </c>
      <c r="N1174" s="3" t="s">
        <v>32</v>
      </c>
      <c r="O1174" s="3" t="s">
        <v>33</v>
      </c>
      <c r="P1174" s="3" t="str">
        <f>IF(Table1[[#This Row],[Billing Amount]]&lt;5000,"Low",IF(Table1[[#This Row],[Billing Amount]]&lt;=15000,"Medium","High"))</f>
        <v>High</v>
      </c>
      <c r="Q1174" s="3" t="str">
        <f>IF(Table1[[#This Row],[Discharge Date]]="Yes","Discharged","Under Treatment")</f>
        <v>Under Treatment</v>
      </c>
      <c r="R1174" s="3" t="str">
        <f>IF(Table1[[#This Row],[Test Results]]&gt;120,"High Risk","Normal")</f>
        <v>High Risk</v>
      </c>
      <c r="S1174" s="3" t="str">
        <f>IF(Table1[[#This Row],[Age]]&lt;=18,"0-18",IF(Table1[[#This Row],[Age]]&lt;=35,"19-35",IF(Table1[[#This Row],[Age]]&lt;=50,"36-50",IF(Table1[[#This Row],[Age]]&lt;=65,"51-65","65+"))))</f>
        <v>65+</v>
      </c>
    </row>
    <row r="1175" spans="1:19" x14ac:dyDescent="0.3">
      <c r="A1175" s="3" t="s">
        <v>3562</v>
      </c>
      <c r="B1175" s="3">
        <v>72</v>
      </c>
      <c r="C1175" s="3" t="s">
        <v>35</v>
      </c>
      <c r="D1175" s="3" t="s">
        <v>59</v>
      </c>
      <c r="E1175" s="3" t="s">
        <v>27</v>
      </c>
      <c r="F1175" s="4">
        <v>45090</v>
      </c>
      <c r="G1175" s="3" t="s">
        <v>3563</v>
      </c>
      <c r="H1175" s="3" t="s">
        <v>3564</v>
      </c>
      <c r="I1175" s="3" t="s">
        <v>65</v>
      </c>
      <c r="J1175" s="5">
        <v>17172.0098827398</v>
      </c>
      <c r="K1175" s="3">
        <v>347</v>
      </c>
      <c r="L1175" s="3" t="s">
        <v>31</v>
      </c>
      <c r="M1175" s="4">
        <v>45113</v>
      </c>
      <c r="N1175" s="3" t="s">
        <v>79</v>
      </c>
      <c r="O1175" s="3" t="s">
        <v>24</v>
      </c>
      <c r="P1175" s="3" t="str">
        <f>IF(Table1[[#This Row],[Billing Amount]]&lt;5000,"Low",IF(Table1[[#This Row],[Billing Amount]]&lt;=15000,"Medium","High"))</f>
        <v>High</v>
      </c>
      <c r="Q1175" s="3" t="str">
        <f>IF(Table1[[#This Row],[Discharge Date]]="Yes","Discharged","Under Treatment")</f>
        <v>Under Treatment</v>
      </c>
      <c r="R1175" s="3" t="str">
        <f>IF(Table1[[#This Row],[Test Results]]&gt;120,"High Risk","Normal")</f>
        <v>High Risk</v>
      </c>
      <c r="S1175" s="3" t="str">
        <f>IF(Table1[[#This Row],[Age]]&lt;=18,"0-18",IF(Table1[[#This Row],[Age]]&lt;=35,"19-35",IF(Table1[[#This Row],[Age]]&lt;=50,"36-50",IF(Table1[[#This Row],[Age]]&lt;=65,"51-65","65+"))))</f>
        <v>65+</v>
      </c>
    </row>
    <row r="1176" spans="1:19" x14ac:dyDescent="0.3">
      <c r="A1176" s="3" t="s">
        <v>3565</v>
      </c>
      <c r="B1176" s="3">
        <v>44</v>
      </c>
      <c r="C1176" s="3" t="s">
        <v>35</v>
      </c>
      <c r="D1176" s="3" t="s">
        <v>26</v>
      </c>
      <c r="E1176" s="3" t="s">
        <v>76</v>
      </c>
      <c r="F1176" s="4">
        <v>43757</v>
      </c>
      <c r="G1176" s="3" t="s">
        <v>3566</v>
      </c>
      <c r="H1176" s="3" t="s">
        <v>3567</v>
      </c>
      <c r="I1176" s="3" t="s">
        <v>65</v>
      </c>
      <c r="J1176" s="5">
        <v>22992.305851943001</v>
      </c>
      <c r="K1176" s="3">
        <v>499</v>
      </c>
      <c r="L1176" s="3" t="s">
        <v>46</v>
      </c>
      <c r="M1176" s="4">
        <v>43775</v>
      </c>
      <c r="N1176" s="3" t="s">
        <v>23</v>
      </c>
      <c r="O1176" s="3" t="s">
        <v>33</v>
      </c>
      <c r="P1176" s="3" t="str">
        <f>IF(Table1[[#This Row],[Billing Amount]]&lt;5000,"Low",IF(Table1[[#This Row],[Billing Amount]]&lt;=15000,"Medium","High"))</f>
        <v>High</v>
      </c>
      <c r="Q1176" s="3" t="str">
        <f>IF(Table1[[#This Row],[Discharge Date]]="Yes","Discharged","Under Treatment")</f>
        <v>Under Treatment</v>
      </c>
      <c r="R1176" s="3" t="str">
        <f>IF(Table1[[#This Row],[Test Results]]&gt;120,"High Risk","Normal")</f>
        <v>High Risk</v>
      </c>
      <c r="S1176" s="3" t="str">
        <f>IF(Table1[[#This Row],[Age]]&lt;=18,"0-18",IF(Table1[[#This Row],[Age]]&lt;=35,"19-35",IF(Table1[[#This Row],[Age]]&lt;=50,"36-50",IF(Table1[[#This Row],[Age]]&lt;=65,"51-65","65+"))))</f>
        <v>36-50</v>
      </c>
    </row>
    <row r="1177" spans="1:19" x14ac:dyDescent="0.3">
      <c r="A1177" s="3" t="s">
        <v>3568</v>
      </c>
      <c r="B1177" s="3">
        <v>44</v>
      </c>
      <c r="C1177" s="3" t="s">
        <v>35</v>
      </c>
      <c r="D1177" s="3" t="s">
        <v>42</v>
      </c>
      <c r="E1177" s="3" t="s">
        <v>27</v>
      </c>
      <c r="F1177" s="4">
        <v>44404</v>
      </c>
      <c r="G1177" s="3" t="s">
        <v>3569</v>
      </c>
      <c r="H1177" s="3" t="s">
        <v>3570</v>
      </c>
      <c r="I1177" s="3" t="s">
        <v>39</v>
      </c>
      <c r="J1177" s="5">
        <v>37516.602334624498</v>
      </c>
      <c r="K1177" s="3">
        <v>483</v>
      </c>
      <c r="L1177" s="3" t="s">
        <v>31</v>
      </c>
      <c r="M1177" s="4">
        <v>44428</v>
      </c>
      <c r="N1177" s="3" t="s">
        <v>52</v>
      </c>
      <c r="O1177" s="3" t="s">
        <v>47</v>
      </c>
      <c r="P1177" s="3" t="str">
        <f>IF(Table1[[#This Row],[Billing Amount]]&lt;5000,"Low",IF(Table1[[#This Row],[Billing Amount]]&lt;=15000,"Medium","High"))</f>
        <v>High</v>
      </c>
      <c r="Q1177" s="3" t="str">
        <f>IF(Table1[[#This Row],[Discharge Date]]="Yes","Discharged","Under Treatment")</f>
        <v>Under Treatment</v>
      </c>
      <c r="R1177" s="3" t="str">
        <f>IF(Table1[[#This Row],[Test Results]]&gt;120,"High Risk","Normal")</f>
        <v>High Risk</v>
      </c>
      <c r="S1177" s="3" t="str">
        <f>IF(Table1[[#This Row],[Age]]&lt;=18,"0-18",IF(Table1[[#This Row],[Age]]&lt;=35,"19-35",IF(Table1[[#This Row],[Age]]&lt;=50,"36-50",IF(Table1[[#This Row],[Age]]&lt;=65,"51-65","65+"))))</f>
        <v>36-50</v>
      </c>
    </row>
    <row r="1178" spans="1:19" x14ac:dyDescent="0.3">
      <c r="A1178" s="3" t="s">
        <v>3571</v>
      </c>
      <c r="B1178" s="3">
        <v>70</v>
      </c>
      <c r="C1178" s="3" t="s">
        <v>16</v>
      </c>
      <c r="D1178" s="3" t="s">
        <v>122</v>
      </c>
      <c r="E1178" s="3" t="s">
        <v>27</v>
      </c>
      <c r="F1178" s="4">
        <v>44319</v>
      </c>
      <c r="G1178" s="3" t="s">
        <v>3572</v>
      </c>
      <c r="H1178" s="3" t="s">
        <v>3573</v>
      </c>
      <c r="I1178" s="3" t="s">
        <v>57</v>
      </c>
      <c r="J1178" s="5">
        <v>32798.1956413605</v>
      </c>
      <c r="K1178" s="3">
        <v>120</v>
      </c>
      <c r="L1178" s="3" t="s">
        <v>22</v>
      </c>
      <c r="M1178" s="4">
        <v>44349</v>
      </c>
      <c r="N1178" s="3" t="s">
        <v>23</v>
      </c>
      <c r="O1178" s="3" t="s">
        <v>24</v>
      </c>
      <c r="P1178" s="3" t="str">
        <f>IF(Table1[[#This Row],[Billing Amount]]&lt;5000,"Low",IF(Table1[[#This Row],[Billing Amount]]&lt;=15000,"Medium","High"))</f>
        <v>High</v>
      </c>
      <c r="Q1178" s="3" t="str">
        <f>IF(Table1[[#This Row],[Discharge Date]]="Yes","Discharged","Under Treatment")</f>
        <v>Under Treatment</v>
      </c>
      <c r="R1178" s="3" t="str">
        <f>IF(Table1[[#This Row],[Test Results]]&gt;120,"High Risk","Normal")</f>
        <v>High Risk</v>
      </c>
      <c r="S1178" s="3" t="str">
        <f>IF(Table1[[#This Row],[Age]]&lt;=18,"0-18",IF(Table1[[#This Row],[Age]]&lt;=35,"19-35",IF(Table1[[#This Row],[Age]]&lt;=50,"36-50",IF(Table1[[#This Row],[Age]]&lt;=65,"51-65","65+"))))</f>
        <v>65+</v>
      </c>
    </row>
    <row r="1179" spans="1:19" x14ac:dyDescent="0.3">
      <c r="A1179" s="3" t="s">
        <v>3574</v>
      </c>
      <c r="B1179" s="3">
        <v>34</v>
      </c>
      <c r="C1179" s="3" t="s">
        <v>35</v>
      </c>
      <c r="D1179" s="3" t="s">
        <v>103</v>
      </c>
      <c r="E1179" s="3" t="s">
        <v>27</v>
      </c>
      <c r="F1179" s="4">
        <v>45087</v>
      </c>
      <c r="G1179" s="3" t="s">
        <v>3575</v>
      </c>
      <c r="H1179" s="3" t="s">
        <v>3576</v>
      </c>
      <c r="I1179" s="3" t="s">
        <v>65</v>
      </c>
      <c r="J1179" s="5">
        <v>44231.803918596699</v>
      </c>
      <c r="K1179" s="3">
        <v>163</v>
      </c>
      <c r="L1179" s="3" t="s">
        <v>31</v>
      </c>
      <c r="M1179" s="4">
        <v>45097</v>
      </c>
      <c r="N1179" s="3" t="s">
        <v>32</v>
      </c>
      <c r="O1179" s="3" t="s">
        <v>47</v>
      </c>
      <c r="P1179" s="3" t="str">
        <f>IF(Table1[[#This Row],[Billing Amount]]&lt;5000,"Low",IF(Table1[[#This Row],[Billing Amount]]&lt;=15000,"Medium","High"))</f>
        <v>High</v>
      </c>
      <c r="Q1179" s="3" t="str">
        <f>IF(Table1[[#This Row],[Discharge Date]]="Yes","Discharged","Under Treatment")</f>
        <v>Under Treatment</v>
      </c>
      <c r="R1179" s="3" t="str">
        <f>IF(Table1[[#This Row],[Test Results]]&gt;120,"High Risk","Normal")</f>
        <v>High Risk</v>
      </c>
      <c r="S1179" s="3" t="str">
        <f>IF(Table1[[#This Row],[Age]]&lt;=18,"0-18",IF(Table1[[#This Row],[Age]]&lt;=35,"19-35",IF(Table1[[#This Row],[Age]]&lt;=50,"36-50",IF(Table1[[#This Row],[Age]]&lt;=65,"51-65","65+"))))</f>
        <v>19-35</v>
      </c>
    </row>
    <row r="1180" spans="1:19" x14ac:dyDescent="0.3">
      <c r="A1180" s="3" t="s">
        <v>3577</v>
      </c>
      <c r="B1180" s="3">
        <v>28</v>
      </c>
      <c r="C1180" s="3" t="s">
        <v>16</v>
      </c>
      <c r="D1180" s="3" t="s">
        <v>49</v>
      </c>
      <c r="E1180" s="3" t="s">
        <v>93</v>
      </c>
      <c r="F1180" s="4">
        <v>43689</v>
      </c>
      <c r="G1180" s="3" t="s">
        <v>3578</v>
      </c>
      <c r="H1180" s="3" t="s">
        <v>3579</v>
      </c>
      <c r="I1180" s="3" t="s">
        <v>57</v>
      </c>
      <c r="J1180" s="5">
        <v>35976.358603824199</v>
      </c>
      <c r="K1180" s="3">
        <v>340</v>
      </c>
      <c r="L1180" s="3" t="s">
        <v>31</v>
      </c>
      <c r="M1180" s="4">
        <v>43697</v>
      </c>
      <c r="N1180" s="3" t="s">
        <v>79</v>
      </c>
      <c r="O1180" s="3" t="s">
        <v>24</v>
      </c>
      <c r="P1180" s="3" t="str">
        <f>IF(Table1[[#This Row],[Billing Amount]]&lt;5000,"Low",IF(Table1[[#This Row],[Billing Amount]]&lt;=15000,"Medium","High"))</f>
        <v>High</v>
      </c>
      <c r="Q1180" s="3" t="str">
        <f>IF(Table1[[#This Row],[Discharge Date]]="Yes","Discharged","Under Treatment")</f>
        <v>Under Treatment</v>
      </c>
      <c r="R1180" s="3" t="str">
        <f>IF(Table1[[#This Row],[Test Results]]&gt;120,"High Risk","Normal")</f>
        <v>High Risk</v>
      </c>
      <c r="S1180" s="3" t="str">
        <f>IF(Table1[[#This Row],[Age]]&lt;=18,"0-18",IF(Table1[[#This Row],[Age]]&lt;=35,"19-35",IF(Table1[[#This Row],[Age]]&lt;=50,"36-50",IF(Table1[[#This Row],[Age]]&lt;=65,"51-65","65+"))))</f>
        <v>19-35</v>
      </c>
    </row>
    <row r="1181" spans="1:19" x14ac:dyDescent="0.3">
      <c r="A1181" s="3" t="s">
        <v>3580</v>
      </c>
      <c r="B1181" s="3">
        <v>50</v>
      </c>
      <c r="C1181" s="3" t="s">
        <v>35</v>
      </c>
      <c r="D1181" s="3" t="s">
        <v>42</v>
      </c>
      <c r="E1181" s="3" t="s">
        <v>54</v>
      </c>
      <c r="F1181" s="4">
        <v>43956</v>
      </c>
      <c r="G1181" s="3" t="s">
        <v>3581</v>
      </c>
      <c r="H1181" s="3" t="s">
        <v>3582</v>
      </c>
      <c r="I1181" s="3" t="s">
        <v>57</v>
      </c>
      <c r="J1181" s="5">
        <v>20713.737231116302</v>
      </c>
      <c r="K1181" s="3">
        <v>102</v>
      </c>
      <c r="L1181" s="3" t="s">
        <v>31</v>
      </c>
      <c r="M1181" s="4">
        <v>43962</v>
      </c>
      <c r="N1181" s="3" t="s">
        <v>32</v>
      </c>
      <c r="O1181" s="3" t="s">
        <v>24</v>
      </c>
      <c r="P1181" s="3" t="str">
        <f>IF(Table1[[#This Row],[Billing Amount]]&lt;5000,"Low",IF(Table1[[#This Row],[Billing Amount]]&lt;=15000,"Medium","High"))</f>
        <v>High</v>
      </c>
      <c r="Q1181" s="3" t="str">
        <f>IF(Table1[[#This Row],[Discharge Date]]="Yes","Discharged","Under Treatment")</f>
        <v>Under Treatment</v>
      </c>
      <c r="R1181" s="3" t="str">
        <f>IF(Table1[[#This Row],[Test Results]]&gt;120,"High Risk","Normal")</f>
        <v>High Risk</v>
      </c>
      <c r="S1181" s="3" t="str">
        <f>IF(Table1[[#This Row],[Age]]&lt;=18,"0-18",IF(Table1[[#This Row],[Age]]&lt;=35,"19-35",IF(Table1[[#This Row],[Age]]&lt;=50,"36-50",IF(Table1[[#This Row],[Age]]&lt;=65,"51-65","65+"))))</f>
        <v>36-50</v>
      </c>
    </row>
    <row r="1182" spans="1:19" x14ac:dyDescent="0.3">
      <c r="A1182" s="3" t="s">
        <v>3583</v>
      </c>
      <c r="B1182" s="3">
        <v>48</v>
      </c>
      <c r="C1182" s="3" t="s">
        <v>35</v>
      </c>
      <c r="D1182" s="3" t="s">
        <v>26</v>
      </c>
      <c r="E1182" s="3" t="s">
        <v>27</v>
      </c>
      <c r="F1182" s="4">
        <v>44518</v>
      </c>
      <c r="G1182" s="3" t="s">
        <v>3584</v>
      </c>
      <c r="H1182" s="3" t="s">
        <v>3585</v>
      </c>
      <c r="I1182" s="3" t="s">
        <v>21</v>
      </c>
      <c r="J1182" s="5">
        <v>49458.498262443303</v>
      </c>
      <c r="K1182" s="3">
        <v>209</v>
      </c>
      <c r="L1182" s="3" t="s">
        <v>22</v>
      </c>
      <c r="M1182" s="4">
        <v>44543</v>
      </c>
      <c r="N1182" s="3" t="s">
        <v>40</v>
      </c>
      <c r="O1182" s="3" t="s">
        <v>33</v>
      </c>
      <c r="P1182" s="3" t="str">
        <f>IF(Table1[[#This Row],[Billing Amount]]&lt;5000,"Low",IF(Table1[[#This Row],[Billing Amount]]&lt;=15000,"Medium","High"))</f>
        <v>High</v>
      </c>
      <c r="Q1182" s="3" t="str">
        <f>IF(Table1[[#This Row],[Discharge Date]]="Yes","Discharged","Under Treatment")</f>
        <v>Under Treatment</v>
      </c>
      <c r="R1182" s="3" t="str">
        <f>IF(Table1[[#This Row],[Test Results]]&gt;120,"High Risk","Normal")</f>
        <v>High Risk</v>
      </c>
      <c r="S1182" s="3" t="str">
        <f>IF(Table1[[#This Row],[Age]]&lt;=18,"0-18",IF(Table1[[#This Row],[Age]]&lt;=35,"19-35",IF(Table1[[#This Row],[Age]]&lt;=50,"36-50",IF(Table1[[#This Row],[Age]]&lt;=65,"51-65","65+"))))</f>
        <v>36-50</v>
      </c>
    </row>
    <row r="1183" spans="1:19" x14ac:dyDescent="0.3">
      <c r="A1183" s="3" t="s">
        <v>3586</v>
      </c>
      <c r="B1183" s="3">
        <v>77</v>
      </c>
      <c r="C1183" s="3" t="s">
        <v>35</v>
      </c>
      <c r="D1183" s="3" t="s">
        <v>103</v>
      </c>
      <c r="E1183" s="3" t="s">
        <v>93</v>
      </c>
      <c r="F1183" s="4">
        <v>45005</v>
      </c>
      <c r="G1183" s="3" t="s">
        <v>3587</v>
      </c>
      <c r="H1183" s="3" t="s">
        <v>3588</v>
      </c>
      <c r="I1183" s="3" t="s">
        <v>21</v>
      </c>
      <c r="J1183" s="5">
        <v>33999.229816971798</v>
      </c>
      <c r="K1183" s="3">
        <v>296</v>
      </c>
      <c r="L1183" s="3" t="s">
        <v>22</v>
      </c>
      <c r="M1183" s="4">
        <v>45020</v>
      </c>
      <c r="N1183" s="3" t="s">
        <v>40</v>
      </c>
      <c r="O1183" s="3" t="s">
        <v>47</v>
      </c>
      <c r="P1183" s="3" t="str">
        <f>IF(Table1[[#This Row],[Billing Amount]]&lt;5000,"Low",IF(Table1[[#This Row],[Billing Amount]]&lt;=15000,"Medium","High"))</f>
        <v>High</v>
      </c>
      <c r="Q1183" s="3" t="str">
        <f>IF(Table1[[#This Row],[Discharge Date]]="Yes","Discharged","Under Treatment")</f>
        <v>Under Treatment</v>
      </c>
      <c r="R1183" s="3" t="str">
        <f>IF(Table1[[#This Row],[Test Results]]&gt;120,"High Risk","Normal")</f>
        <v>High Risk</v>
      </c>
      <c r="S1183" s="3" t="str">
        <f>IF(Table1[[#This Row],[Age]]&lt;=18,"0-18",IF(Table1[[#This Row],[Age]]&lt;=35,"19-35",IF(Table1[[#This Row],[Age]]&lt;=50,"36-50",IF(Table1[[#This Row],[Age]]&lt;=65,"51-65","65+"))))</f>
        <v>65+</v>
      </c>
    </row>
    <row r="1184" spans="1:19" x14ac:dyDescent="0.3">
      <c r="A1184" s="3" t="s">
        <v>3590</v>
      </c>
      <c r="B1184" s="3">
        <v>22</v>
      </c>
      <c r="C1184" s="3" t="s">
        <v>16</v>
      </c>
      <c r="D1184" s="3" t="s">
        <v>59</v>
      </c>
      <c r="E1184" s="3" t="s">
        <v>18</v>
      </c>
      <c r="F1184" s="4">
        <v>44828</v>
      </c>
      <c r="G1184" s="3" t="s">
        <v>3591</v>
      </c>
      <c r="H1184" s="3" t="s">
        <v>703</v>
      </c>
      <c r="I1184" s="3" t="s">
        <v>39</v>
      </c>
      <c r="J1184" s="5">
        <v>29133.322029068098</v>
      </c>
      <c r="K1184" s="3">
        <v>354</v>
      </c>
      <c r="L1184" s="3" t="s">
        <v>46</v>
      </c>
      <c r="M1184" s="4">
        <v>44829</v>
      </c>
      <c r="N1184" s="3" t="s">
        <v>52</v>
      </c>
      <c r="O1184" s="3" t="s">
        <v>24</v>
      </c>
      <c r="P1184" s="3" t="str">
        <f>IF(Table1[[#This Row],[Billing Amount]]&lt;5000,"Low",IF(Table1[[#This Row],[Billing Amount]]&lt;=15000,"Medium","High"))</f>
        <v>High</v>
      </c>
      <c r="Q1184" s="3" t="str">
        <f>IF(Table1[[#This Row],[Discharge Date]]="Yes","Discharged","Under Treatment")</f>
        <v>Under Treatment</v>
      </c>
      <c r="R1184" s="3" t="str">
        <f>IF(Table1[[#This Row],[Test Results]]&gt;120,"High Risk","Normal")</f>
        <v>High Risk</v>
      </c>
      <c r="S1184" s="3" t="str">
        <f>IF(Table1[[#This Row],[Age]]&lt;=18,"0-18",IF(Table1[[#This Row],[Age]]&lt;=35,"19-35",IF(Table1[[#This Row],[Age]]&lt;=50,"36-50",IF(Table1[[#This Row],[Age]]&lt;=65,"51-65","65+"))))</f>
        <v>19-35</v>
      </c>
    </row>
    <row r="1185" spans="1:19" x14ac:dyDescent="0.3">
      <c r="A1185" s="3" t="s">
        <v>3592</v>
      </c>
      <c r="B1185" s="3">
        <v>57</v>
      </c>
      <c r="C1185" s="3" t="s">
        <v>16</v>
      </c>
      <c r="D1185" s="3" t="s">
        <v>103</v>
      </c>
      <c r="E1185" s="3" t="s">
        <v>27</v>
      </c>
      <c r="F1185" s="4">
        <v>45216</v>
      </c>
      <c r="G1185" s="3" t="s">
        <v>3593</v>
      </c>
      <c r="H1185" s="3" t="s">
        <v>3594</v>
      </c>
      <c r="I1185" s="3" t="s">
        <v>21</v>
      </c>
      <c r="J1185" s="5">
        <v>34264.865479276901</v>
      </c>
      <c r="K1185" s="3">
        <v>142</v>
      </c>
      <c r="L1185" s="3" t="s">
        <v>22</v>
      </c>
      <c r="M1185" s="4">
        <v>45229</v>
      </c>
      <c r="N1185" s="3" t="s">
        <v>23</v>
      </c>
      <c r="O1185" s="3" t="s">
        <v>33</v>
      </c>
      <c r="P1185" s="3" t="str">
        <f>IF(Table1[[#This Row],[Billing Amount]]&lt;5000,"Low",IF(Table1[[#This Row],[Billing Amount]]&lt;=15000,"Medium","High"))</f>
        <v>High</v>
      </c>
      <c r="Q1185" s="3" t="str">
        <f>IF(Table1[[#This Row],[Discharge Date]]="Yes","Discharged","Under Treatment")</f>
        <v>Under Treatment</v>
      </c>
      <c r="R1185" s="3" t="str">
        <f>IF(Table1[[#This Row],[Test Results]]&gt;120,"High Risk","Normal")</f>
        <v>High Risk</v>
      </c>
      <c r="S1185" s="3" t="str">
        <f>IF(Table1[[#This Row],[Age]]&lt;=18,"0-18",IF(Table1[[#This Row],[Age]]&lt;=35,"19-35",IF(Table1[[#This Row],[Age]]&lt;=50,"36-50",IF(Table1[[#This Row],[Age]]&lt;=65,"51-65","65+"))))</f>
        <v>51-65</v>
      </c>
    </row>
    <row r="1186" spans="1:19" x14ac:dyDescent="0.3">
      <c r="A1186" s="3" t="s">
        <v>3595</v>
      </c>
      <c r="B1186" s="3">
        <v>64</v>
      </c>
      <c r="C1186" s="3" t="s">
        <v>35</v>
      </c>
      <c r="D1186" s="3" t="s">
        <v>26</v>
      </c>
      <c r="E1186" s="3" t="s">
        <v>54</v>
      </c>
      <c r="F1186" s="4">
        <v>44552</v>
      </c>
      <c r="G1186" s="3" t="s">
        <v>3596</v>
      </c>
      <c r="H1186" s="3" t="s">
        <v>3597</v>
      </c>
      <c r="I1186" s="3" t="s">
        <v>21</v>
      </c>
      <c r="J1186" s="5">
        <v>34508.720315772502</v>
      </c>
      <c r="K1186" s="3">
        <v>389</v>
      </c>
      <c r="L1186" s="3" t="s">
        <v>31</v>
      </c>
      <c r="M1186" s="4">
        <v>44574</v>
      </c>
      <c r="N1186" s="3" t="s">
        <v>52</v>
      </c>
      <c r="O1186" s="3" t="s">
        <v>47</v>
      </c>
      <c r="P1186" s="3" t="str">
        <f>IF(Table1[[#This Row],[Billing Amount]]&lt;5000,"Low",IF(Table1[[#This Row],[Billing Amount]]&lt;=15000,"Medium","High"))</f>
        <v>High</v>
      </c>
      <c r="Q1186" s="3" t="str">
        <f>IF(Table1[[#This Row],[Discharge Date]]="Yes","Discharged","Under Treatment")</f>
        <v>Under Treatment</v>
      </c>
      <c r="R1186" s="3" t="str">
        <f>IF(Table1[[#This Row],[Test Results]]&gt;120,"High Risk","Normal")</f>
        <v>High Risk</v>
      </c>
      <c r="S1186" s="3" t="str">
        <f>IF(Table1[[#This Row],[Age]]&lt;=18,"0-18",IF(Table1[[#This Row],[Age]]&lt;=35,"19-35",IF(Table1[[#This Row],[Age]]&lt;=50,"36-50",IF(Table1[[#This Row],[Age]]&lt;=65,"51-65","65+"))))</f>
        <v>51-65</v>
      </c>
    </row>
    <row r="1187" spans="1:19" x14ac:dyDescent="0.3">
      <c r="A1187" s="3" t="s">
        <v>3598</v>
      </c>
      <c r="B1187" s="3">
        <v>57</v>
      </c>
      <c r="C1187" s="3" t="s">
        <v>16</v>
      </c>
      <c r="D1187" s="3" t="s">
        <v>42</v>
      </c>
      <c r="E1187" s="3" t="s">
        <v>54</v>
      </c>
      <c r="F1187" s="4">
        <v>44108</v>
      </c>
      <c r="G1187" s="3" t="s">
        <v>3599</v>
      </c>
      <c r="H1187" s="3" t="s">
        <v>3600</v>
      </c>
      <c r="I1187" s="3" t="s">
        <v>39</v>
      </c>
      <c r="J1187" s="5">
        <v>34898.359062550102</v>
      </c>
      <c r="K1187" s="3">
        <v>168</v>
      </c>
      <c r="L1187" s="3" t="s">
        <v>22</v>
      </c>
      <c r="M1187" s="4">
        <v>44133</v>
      </c>
      <c r="N1187" s="3" t="s">
        <v>52</v>
      </c>
      <c r="O1187" s="3" t="s">
        <v>33</v>
      </c>
      <c r="P1187" s="3" t="str">
        <f>IF(Table1[[#This Row],[Billing Amount]]&lt;5000,"Low",IF(Table1[[#This Row],[Billing Amount]]&lt;=15000,"Medium","High"))</f>
        <v>High</v>
      </c>
      <c r="Q1187" s="3" t="str">
        <f>IF(Table1[[#This Row],[Discharge Date]]="Yes","Discharged","Under Treatment")</f>
        <v>Under Treatment</v>
      </c>
      <c r="R1187" s="3" t="str">
        <f>IF(Table1[[#This Row],[Test Results]]&gt;120,"High Risk","Normal")</f>
        <v>High Risk</v>
      </c>
      <c r="S1187" s="3" t="str">
        <f>IF(Table1[[#This Row],[Age]]&lt;=18,"0-18",IF(Table1[[#This Row],[Age]]&lt;=35,"19-35",IF(Table1[[#This Row],[Age]]&lt;=50,"36-50",IF(Table1[[#This Row],[Age]]&lt;=65,"51-65","65+"))))</f>
        <v>51-65</v>
      </c>
    </row>
    <row r="1188" spans="1:19" x14ac:dyDescent="0.3">
      <c r="A1188" s="3" t="s">
        <v>3601</v>
      </c>
      <c r="B1188" s="3">
        <v>41</v>
      </c>
      <c r="C1188" s="3" t="s">
        <v>16</v>
      </c>
      <c r="D1188" s="3" t="s">
        <v>59</v>
      </c>
      <c r="E1188" s="3" t="s">
        <v>27</v>
      </c>
      <c r="F1188" s="4">
        <v>45279</v>
      </c>
      <c r="G1188" s="3" t="s">
        <v>3602</v>
      </c>
      <c r="H1188" s="3" t="s">
        <v>3603</v>
      </c>
      <c r="I1188" s="3" t="s">
        <v>57</v>
      </c>
      <c r="J1188" s="5">
        <v>30881.359425522201</v>
      </c>
      <c r="K1188" s="3">
        <v>377</v>
      </c>
      <c r="L1188" s="3" t="s">
        <v>31</v>
      </c>
      <c r="M1188" s="4">
        <v>45285</v>
      </c>
      <c r="N1188" s="3" t="s">
        <v>52</v>
      </c>
      <c r="O1188" s="3" t="s">
        <v>33</v>
      </c>
      <c r="P1188" s="3" t="str">
        <f>IF(Table1[[#This Row],[Billing Amount]]&lt;5000,"Low",IF(Table1[[#This Row],[Billing Amount]]&lt;=15000,"Medium","High"))</f>
        <v>High</v>
      </c>
      <c r="Q1188" s="3" t="str">
        <f>IF(Table1[[#This Row],[Discharge Date]]="Yes","Discharged","Under Treatment")</f>
        <v>Under Treatment</v>
      </c>
      <c r="R1188" s="3" t="str">
        <f>IF(Table1[[#This Row],[Test Results]]&gt;120,"High Risk","Normal")</f>
        <v>High Risk</v>
      </c>
      <c r="S1188" s="3" t="str">
        <f>IF(Table1[[#This Row],[Age]]&lt;=18,"0-18",IF(Table1[[#This Row],[Age]]&lt;=35,"19-35",IF(Table1[[#This Row],[Age]]&lt;=50,"36-50",IF(Table1[[#This Row],[Age]]&lt;=65,"51-65","65+"))))</f>
        <v>36-50</v>
      </c>
    </row>
    <row r="1189" spans="1:19" x14ac:dyDescent="0.3">
      <c r="A1189" s="3" t="s">
        <v>3604</v>
      </c>
      <c r="B1189" s="3">
        <v>47</v>
      </c>
      <c r="C1189" s="3" t="s">
        <v>16</v>
      </c>
      <c r="D1189" s="3" t="s">
        <v>17</v>
      </c>
      <c r="E1189" s="3" t="s">
        <v>27</v>
      </c>
      <c r="F1189" s="4">
        <v>44710</v>
      </c>
      <c r="G1189" s="3" t="s">
        <v>3605</v>
      </c>
      <c r="H1189" s="3" t="s">
        <v>3606</v>
      </c>
      <c r="I1189" s="3" t="s">
        <v>30</v>
      </c>
      <c r="J1189" s="5">
        <v>12635.805365423401</v>
      </c>
      <c r="K1189" s="3">
        <v>483</v>
      </c>
      <c r="L1189" s="3" t="s">
        <v>22</v>
      </c>
      <c r="M1189" s="4">
        <v>44730</v>
      </c>
      <c r="N1189" s="3" t="s">
        <v>23</v>
      </c>
      <c r="O1189" s="3" t="s">
        <v>24</v>
      </c>
      <c r="P1189" s="3" t="str">
        <f>IF(Table1[[#This Row],[Billing Amount]]&lt;5000,"Low",IF(Table1[[#This Row],[Billing Amount]]&lt;=15000,"Medium","High"))</f>
        <v>Medium</v>
      </c>
      <c r="Q1189" s="3" t="str">
        <f>IF(Table1[[#This Row],[Discharge Date]]="Yes","Discharged","Under Treatment")</f>
        <v>Under Treatment</v>
      </c>
      <c r="R1189" s="3" t="str">
        <f>IF(Table1[[#This Row],[Test Results]]&gt;120,"High Risk","Normal")</f>
        <v>High Risk</v>
      </c>
      <c r="S1189" s="3" t="str">
        <f>IF(Table1[[#This Row],[Age]]&lt;=18,"0-18",IF(Table1[[#This Row],[Age]]&lt;=35,"19-35",IF(Table1[[#This Row],[Age]]&lt;=50,"36-50",IF(Table1[[#This Row],[Age]]&lt;=65,"51-65","65+"))))</f>
        <v>36-50</v>
      </c>
    </row>
    <row r="1190" spans="1:19" x14ac:dyDescent="0.3">
      <c r="A1190" s="3" t="s">
        <v>3607</v>
      </c>
      <c r="B1190" s="3">
        <v>33</v>
      </c>
      <c r="C1190" s="3" t="s">
        <v>16</v>
      </c>
      <c r="D1190" s="3" t="s">
        <v>26</v>
      </c>
      <c r="E1190" s="3" t="s">
        <v>18</v>
      </c>
      <c r="F1190" s="4">
        <v>44499</v>
      </c>
      <c r="G1190" s="3" t="s">
        <v>3608</v>
      </c>
      <c r="H1190" s="3" t="s">
        <v>3609</v>
      </c>
      <c r="I1190" s="3" t="s">
        <v>39</v>
      </c>
      <c r="J1190" s="5">
        <v>36340.426851139797</v>
      </c>
      <c r="K1190" s="3">
        <v>175</v>
      </c>
      <c r="L1190" s="3" t="s">
        <v>31</v>
      </c>
      <c r="M1190" s="4">
        <v>44508</v>
      </c>
      <c r="N1190" s="3" t="s">
        <v>79</v>
      </c>
      <c r="O1190" s="3" t="s">
        <v>24</v>
      </c>
      <c r="P1190" s="3" t="str">
        <f>IF(Table1[[#This Row],[Billing Amount]]&lt;5000,"Low",IF(Table1[[#This Row],[Billing Amount]]&lt;=15000,"Medium","High"))</f>
        <v>High</v>
      </c>
      <c r="Q1190" s="3" t="str">
        <f>IF(Table1[[#This Row],[Discharge Date]]="Yes","Discharged","Under Treatment")</f>
        <v>Under Treatment</v>
      </c>
      <c r="R1190" s="3" t="str">
        <f>IF(Table1[[#This Row],[Test Results]]&gt;120,"High Risk","Normal")</f>
        <v>High Risk</v>
      </c>
      <c r="S1190" s="3" t="str">
        <f>IF(Table1[[#This Row],[Age]]&lt;=18,"0-18",IF(Table1[[#This Row],[Age]]&lt;=35,"19-35",IF(Table1[[#This Row],[Age]]&lt;=50,"36-50",IF(Table1[[#This Row],[Age]]&lt;=65,"51-65","65+"))))</f>
        <v>19-35</v>
      </c>
    </row>
    <row r="1191" spans="1:19" x14ac:dyDescent="0.3">
      <c r="A1191" s="3" t="s">
        <v>3610</v>
      </c>
      <c r="B1191" s="3">
        <v>41</v>
      </c>
      <c r="C1191" s="3" t="s">
        <v>16</v>
      </c>
      <c r="D1191" s="3" t="s">
        <v>59</v>
      </c>
      <c r="E1191" s="3" t="s">
        <v>27</v>
      </c>
      <c r="F1191" s="4">
        <v>43987</v>
      </c>
      <c r="G1191" s="3" t="s">
        <v>3611</v>
      </c>
      <c r="H1191" s="3" t="s">
        <v>3612</v>
      </c>
      <c r="I1191" s="3" t="s">
        <v>21</v>
      </c>
      <c r="J1191" s="5">
        <v>18387.266955511001</v>
      </c>
      <c r="K1191" s="3">
        <v>455</v>
      </c>
      <c r="L1191" s="3" t="s">
        <v>46</v>
      </c>
      <c r="M1191" s="4">
        <v>43992</v>
      </c>
      <c r="N1191" s="3" t="s">
        <v>52</v>
      </c>
      <c r="O1191" s="3" t="s">
        <v>24</v>
      </c>
      <c r="P1191" s="3" t="str">
        <f>IF(Table1[[#This Row],[Billing Amount]]&lt;5000,"Low",IF(Table1[[#This Row],[Billing Amount]]&lt;=15000,"Medium","High"))</f>
        <v>High</v>
      </c>
      <c r="Q1191" s="3" t="str">
        <f>IF(Table1[[#This Row],[Discharge Date]]="Yes","Discharged","Under Treatment")</f>
        <v>Under Treatment</v>
      </c>
      <c r="R1191" s="3" t="str">
        <f>IF(Table1[[#This Row],[Test Results]]&gt;120,"High Risk","Normal")</f>
        <v>High Risk</v>
      </c>
      <c r="S1191" s="3" t="str">
        <f>IF(Table1[[#This Row],[Age]]&lt;=18,"0-18",IF(Table1[[#This Row],[Age]]&lt;=35,"19-35",IF(Table1[[#This Row],[Age]]&lt;=50,"36-50",IF(Table1[[#This Row],[Age]]&lt;=65,"51-65","65+"))))</f>
        <v>36-50</v>
      </c>
    </row>
    <row r="1192" spans="1:19" x14ac:dyDescent="0.3">
      <c r="A1192" s="3" t="s">
        <v>3613</v>
      </c>
      <c r="B1192" s="3">
        <v>23</v>
      </c>
      <c r="C1192" s="3" t="s">
        <v>35</v>
      </c>
      <c r="D1192" s="3" t="s">
        <v>26</v>
      </c>
      <c r="E1192" s="3" t="s">
        <v>27</v>
      </c>
      <c r="F1192" s="4">
        <v>45212</v>
      </c>
      <c r="G1192" s="3" t="s">
        <v>3614</v>
      </c>
      <c r="H1192" s="3" t="s">
        <v>3615</v>
      </c>
      <c r="I1192" s="3" t="s">
        <v>30</v>
      </c>
      <c r="J1192" s="5">
        <v>32731.724219053802</v>
      </c>
      <c r="K1192" s="3">
        <v>289</v>
      </c>
      <c r="L1192" s="3" t="s">
        <v>31</v>
      </c>
      <c r="M1192" s="4">
        <v>45236</v>
      </c>
      <c r="N1192" s="3" t="s">
        <v>79</v>
      </c>
      <c r="O1192" s="3" t="s">
        <v>24</v>
      </c>
      <c r="P1192" s="3" t="str">
        <f>IF(Table1[[#This Row],[Billing Amount]]&lt;5000,"Low",IF(Table1[[#This Row],[Billing Amount]]&lt;=15000,"Medium","High"))</f>
        <v>High</v>
      </c>
      <c r="Q1192" s="3" t="str">
        <f>IF(Table1[[#This Row],[Discharge Date]]="Yes","Discharged","Under Treatment")</f>
        <v>Under Treatment</v>
      </c>
      <c r="R1192" s="3" t="str">
        <f>IF(Table1[[#This Row],[Test Results]]&gt;120,"High Risk","Normal")</f>
        <v>High Risk</v>
      </c>
      <c r="S1192" s="3" t="str">
        <f>IF(Table1[[#This Row],[Age]]&lt;=18,"0-18",IF(Table1[[#This Row],[Age]]&lt;=35,"19-35",IF(Table1[[#This Row],[Age]]&lt;=50,"36-50",IF(Table1[[#This Row],[Age]]&lt;=65,"51-65","65+"))))</f>
        <v>19-35</v>
      </c>
    </row>
    <row r="1193" spans="1:19" x14ac:dyDescent="0.3">
      <c r="A1193" s="3" t="s">
        <v>3616</v>
      </c>
      <c r="B1193" s="3">
        <v>71</v>
      </c>
      <c r="C1193" s="3" t="s">
        <v>35</v>
      </c>
      <c r="D1193" s="3" t="s">
        <v>59</v>
      </c>
      <c r="E1193" s="3" t="s">
        <v>18</v>
      </c>
      <c r="F1193" s="4">
        <v>44072</v>
      </c>
      <c r="G1193" s="3" t="s">
        <v>3617</v>
      </c>
      <c r="H1193" s="3" t="s">
        <v>3618</v>
      </c>
      <c r="I1193" s="3" t="s">
        <v>30</v>
      </c>
      <c r="J1193" s="5">
        <v>34162.484810091599</v>
      </c>
      <c r="K1193" s="3">
        <v>255</v>
      </c>
      <c r="L1193" s="3" t="s">
        <v>22</v>
      </c>
      <c r="M1193" s="4">
        <v>44076</v>
      </c>
      <c r="N1193" s="3" t="s">
        <v>32</v>
      </c>
      <c r="O1193" s="3" t="s">
        <v>33</v>
      </c>
      <c r="P1193" s="3" t="str">
        <f>IF(Table1[[#This Row],[Billing Amount]]&lt;5000,"Low",IF(Table1[[#This Row],[Billing Amount]]&lt;=15000,"Medium","High"))</f>
        <v>High</v>
      </c>
      <c r="Q1193" s="3" t="str">
        <f>IF(Table1[[#This Row],[Discharge Date]]="Yes","Discharged","Under Treatment")</f>
        <v>Under Treatment</v>
      </c>
      <c r="R1193" s="3" t="str">
        <f>IF(Table1[[#This Row],[Test Results]]&gt;120,"High Risk","Normal")</f>
        <v>High Risk</v>
      </c>
      <c r="S1193" s="3" t="str">
        <f>IF(Table1[[#This Row],[Age]]&lt;=18,"0-18",IF(Table1[[#This Row],[Age]]&lt;=35,"19-35",IF(Table1[[#This Row],[Age]]&lt;=50,"36-50",IF(Table1[[#This Row],[Age]]&lt;=65,"51-65","65+"))))</f>
        <v>65+</v>
      </c>
    </row>
    <row r="1194" spans="1:19" x14ac:dyDescent="0.3">
      <c r="A1194" s="3" t="s">
        <v>3619</v>
      </c>
      <c r="B1194" s="3">
        <v>67</v>
      </c>
      <c r="C1194" s="3" t="s">
        <v>16</v>
      </c>
      <c r="D1194" s="3" t="s">
        <v>26</v>
      </c>
      <c r="E1194" s="3" t="s">
        <v>43</v>
      </c>
      <c r="F1194" s="4">
        <v>44682</v>
      </c>
      <c r="G1194" s="3" t="s">
        <v>3620</v>
      </c>
      <c r="H1194" s="3" t="s">
        <v>3621</v>
      </c>
      <c r="I1194" s="3" t="s">
        <v>65</v>
      </c>
      <c r="J1194" s="5">
        <v>20545.9393544294</v>
      </c>
      <c r="K1194" s="3">
        <v>242</v>
      </c>
      <c r="L1194" s="3" t="s">
        <v>22</v>
      </c>
      <c r="M1194" s="4">
        <v>44704</v>
      </c>
      <c r="N1194" s="3" t="s">
        <v>23</v>
      </c>
      <c r="O1194" s="3" t="s">
        <v>24</v>
      </c>
      <c r="P1194" s="3" t="str">
        <f>IF(Table1[[#This Row],[Billing Amount]]&lt;5000,"Low",IF(Table1[[#This Row],[Billing Amount]]&lt;=15000,"Medium","High"))</f>
        <v>High</v>
      </c>
      <c r="Q1194" s="3" t="str">
        <f>IF(Table1[[#This Row],[Discharge Date]]="Yes","Discharged","Under Treatment")</f>
        <v>Under Treatment</v>
      </c>
      <c r="R1194" s="3" t="str">
        <f>IF(Table1[[#This Row],[Test Results]]&gt;120,"High Risk","Normal")</f>
        <v>High Risk</v>
      </c>
      <c r="S1194" s="3" t="str">
        <f>IF(Table1[[#This Row],[Age]]&lt;=18,"0-18",IF(Table1[[#This Row],[Age]]&lt;=35,"19-35",IF(Table1[[#This Row],[Age]]&lt;=50,"36-50",IF(Table1[[#This Row],[Age]]&lt;=65,"51-65","65+"))))</f>
        <v>65+</v>
      </c>
    </row>
    <row r="1195" spans="1:19" x14ac:dyDescent="0.3">
      <c r="A1195" s="3" t="s">
        <v>3622</v>
      </c>
      <c r="B1195" s="3">
        <v>57</v>
      </c>
      <c r="C1195" s="3" t="s">
        <v>16</v>
      </c>
      <c r="D1195" s="3" t="s">
        <v>103</v>
      </c>
      <c r="E1195" s="3" t="s">
        <v>43</v>
      </c>
      <c r="F1195" s="4">
        <v>44663</v>
      </c>
      <c r="G1195" s="3" t="s">
        <v>3623</v>
      </c>
      <c r="H1195" s="3" t="s">
        <v>3624</v>
      </c>
      <c r="I1195" s="3" t="s">
        <v>65</v>
      </c>
      <c r="J1195" s="5">
        <v>14209.7600515217</v>
      </c>
      <c r="K1195" s="3">
        <v>160</v>
      </c>
      <c r="L1195" s="3" t="s">
        <v>22</v>
      </c>
      <c r="M1195" s="4">
        <v>44691</v>
      </c>
      <c r="N1195" s="3" t="s">
        <v>40</v>
      </c>
      <c r="O1195" s="3" t="s">
        <v>24</v>
      </c>
      <c r="P1195" s="3" t="str">
        <f>IF(Table1[[#This Row],[Billing Amount]]&lt;5000,"Low",IF(Table1[[#This Row],[Billing Amount]]&lt;=15000,"Medium","High"))</f>
        <v>Medium</v>
      </c>
      <c r="Q1195" s="3" t="str">
        <f>IF(Table1[[#This Row],[Discharge Date]]="Yes","Discharged","Under Treatment")</f>
        <v>Under Treatment</v>
      </c>
      <c r="R1195" s="3" t="str">
        <f>IF(Table1[[#This Row],[Test Results]]&gt;120,"High Risk","Normal")</f>
        <v>High Risk</v>
      </c>
      <c r="S1195" s="3" t="str">
        <f>IF(Table1[[#This Row],[Age]]&lt;=18,"0-18",IF(Table1[[#This Row],[Age]]&lt;=35,"19-35",IF(Table1[[#This Row],[Age]]&lt;=50,"36-50",IF(Table1[[#This Row],[Age]]&lt;=65,"51-65","65+"))))</f>
        <v>51-65</v>
      </c>
    </row>
    <row r="1196" spans="1:19" x14ac:dyDescent="0.3">
      <c r="A1196" s="3" t="s">
        <v>3625</v>
      </c>
      <c r="B1196" s="3">
        <v>36</v>
      </c>
      <c r="C1196" s="3" t="s">
        <v>35</v>
      </c>
      <c r="D1196" s="3" t="s">
        <v>26</v>
      </c>
      <c r="E1196" s="3" t="s">
        <v>18</v>
      </c>
      <c r="F1196" s="4">
        <v>44554</v>
      </c>
      <c r="G1196" s="3" t="s">
        <v>3626</v>
      </c>
      <c r="H1196" s="3" t="s">
        <v>3627</v>
      </c>
      <c r="I1196" s="3" t="s">
        <v>57</v>
      </c>
      <c r="J1196" s="5">
        <v>9588.9472214834004</v>
      </c>
      <c r="K1196" s="3">
        <v>117</v>
      </c>
      <c r="L1196" s="3" t="s">
        <v>22</v>
      </c>
      <c r="M1196" s="4">
        <v>44578</v>
      </c>
      <c r="N1196" s="3" t="s">
        <v>32</v>
      </c>
      <c r="O1196" s="3" t="s">
        <v>33</v>
      </c>
      <c r="P1196" s="3" t="str">
        <f>IF(Table1[[#This Row],[Billing Amount]]&lt;5000,"Low",IF(Table1[[#This Row],[Billing Amount]]&lt;=15000,"Medium","High"))</f>
        <v>Medium</v>
      </c>
      <c r="Q1196" s="3" t="str">
        <f>IF(Table1[[#This Row],[Discharge Date]]="Yes","Discharged","Under Treatment")</f>
        <v>Under Treatment</v>
      </c>
      <c r="R1196" s="3" t="str">
        <f>IF(Table1[[#This Row],[Test Results]]&gt;120,"High Risk","Normal")</f>
        <v>High Risk</v>
      </c>
      <c r="S1196" s="3" t="str">
        <f>IF(Table1[[#This Row],[Age]]&lt;=18,"0-18",IF(Table1[[#This Row],[Age]]&lt;=35,"19-35",IF(Table1[[#This Row],[Age]]&lt;=50,"36-50",IF(Table1[[#This Row],[Age]]&lt;=65,"51-65","65+"))))</f>
        <v>36-50</v>
      </c>
    </row>
    <row r="1197" spans="1:19" x14ac:dyDescent="0.3">
      <c r="A1197" s="3" t="s">
        <v>3628</v>
      </c>
      <c r="B1197" s="3">
        <v>85</v>
      </c>
      <c r="C1197" s="3" t="s">
        <v>35</v>
      </c>
      <c r="D1197" s="3" t="s">
        <v>26</v>
      </c>
      <c r="E1197" s="3" t="s">
        <v>43</v>
      </c>
      <c r="F1197" s="4">
        <v>44395</v>
      </c>
      <c r="G1197" s="3" t="s">
        <v>3629</v>
      </c>
      <c r="H1197" s="3" t="s">
        <v>3630</v>
      </c>
      <c r="I1197" s="3" t="s">
        <v>65</v>
      </c>
      <c r="J1197" s="5">
        <v>35006.015877985097</v>
      </c>
      <c r="K1197" s="3">
        <v>138</v>
      </c>
      <c r="L1197" s="3" t="s">
        <v>22</v>
      </c>
      <c r="M1197" s="4">
        <v>44398</v>
      </c>
      <c r="N1197" s="3" t="s">
        <v>79</v>
      </c>
      <c r="O1197" s="3" t="s">
        <v>47</v>
      </c>
      <c r="P1197" s="3" t="str">
        <f>IF(Table1[[#This Row],[Billing Amount]]&lt;5000,"Low",IF(Table1[[#This Row],[Billing Amount]]&lt;=15000,"Medium","High"))</f>
        <v>High</v>
      </c>
      <c r="Q1197" s="3" t="str">
        <f>IF(Table1[[#This Row],[Discharge Date]]="Yes","Discharged","Under Treatment")</f>
        <v>Under Treatment</v>
      </c>
      <c r="R1197" s="3" t="str">
        <f>IF(Table1[[#This Row],[Test Results]]&gt;120,"High Risk","Normal")</f>
        <v>High Risk</v>
      </c>
      <c r="S1197" s="3" t="str">
        <f>IF(Table1[[#This Row],[Age]]&lt;=18,"0-18",IF(Table1[[#This Row],[Age]]&lt;=35,"19-35",IF(Table1[[#This Row],[Age]]&lt;=50,"36-50",IF(Table1[[#This Row],[Age]]&lt;=65,"51-65","65+"))))</f>
        <v>65+</v>
      </c>
    </row>
    <row r="1198" spans="1:19" x14ac:dyDescent="0.3">
      <c r="A1198" s="3" t="s">
        <v>3631</v>
      </c>
      <c r="B1198" s="3">
        <v>76</v>
      </c>
      <c r="C1198" s="3" t="s">
        <v>16</v>
      </c>
      <c r="D1198" s="3" t="s">
        <v>122</v>
      </c>
      <c r="E1198" s="3" t="s">
        <v>93</v>
      </c>
      <c r="F1198" s="4">
        <v>43921</v>
      </c>
      <c r="G1198" s="3" t="s">
        <v>3632</v>
      </c>
      <c r="H1198" s="3" t="s">
        <v>3633</v>
      </c>
      <c r="I1198" s="3" t="s">
        <v>39</v>
      </c>
      <c r="J1198" s="5">
        <v>38755.113450823897</v>
      </c>
      <c r="K1198" s="3">
        <v>484</v>
      </c>
      <c r="L1198" s="3" t="s">
        <v>46</v>
      </c>
      <c r="M1198" s="4">
        <v>43936</v>
      </c>
      <c r="N1198" s="3" t="s">
        <v>23</v>
      </c>
      <c r="O1198" s="3" t="s">
        <v>47</v>
      </c>
      <c r="P1198" s="3" t="str">
        <f>IF(Table1[[#This Row],[Billing Amount]]&lt;5000,"Low",IF(Table1[[#This Row],[Billing Amount]]&lt;=15000,"Medium","High"))</f>
        <v>High</v>
      </c>
      <c r="Q1198" s="3" t="str">
        <f>IF(Table1[[#This Row],[Discharge Date]]="Yes","Discharged","Under Treatment")</f>
        <v>Under Treatment</v>
      </c>
      <c r="R1198" s="3" t="str">
        <f>IF(Table1[[#This Row],[Test Results]]&gt;120,"High Risk","Normal")</f>
        <v>High Risk</v>
      </c>
      <c r="S1198" s="3" t="str">
        <f>IF(Table1[[#This Row],[Age]]&lt;=18,"0-18",IF(Table1[[#This Row],[Age]]&lt;=35,"19-35",IF(Table1[[#This Row],[Age]]&lt;=50,"36-50",IF(Table1[[#This Row],[Age]]&lt;=65,"51-65","65+"))))</f>
        <v>65+</v>
      </c>
    </row>
    <row r="1199" spans="1:19" x14ac:dyDescent="0.3">
      <c r="A1199" s="3" t="s">
        <v>3634</v>
      </c>
      <c r="B1199" s="3">
        <v>25</v>
      </c>
      <c r="C1199" s="3" t="s">
        <v>35</v>
      </c>
      <c r="D1199" s="3" t="s">
        <v>49</v>
      </c>
      <c r="E1199" s="3" t="s">
        <v>76</v>
      </c>
      <c r="F1199" s="4">
        <v>45159</v>
      </c>
      <c r="G1199" s="3" t="s">
        <v>3635</v>
      </c>
      <c r="H1199" s="3" t="s">
        <v>3636</v>
      </c>
      <c r="I1199" s="3" t="s">
        <v>30</v>
      </c>
      <c r="J1199" s="5">
        <v>49400.2140280116</v>
      </c>
      <c r="K1199" s="3">
        <v>296</v>
      </c>
      <c r="L1199" s="3" t="s">
        <v>22</v>
      </c>
      <c r="M1199" s="4">
        <v>45162</v>
      </c>
      <c r="N1199" s="3" t="s">
        <v>52</v>
      </c>
      <c r="O1199" s="3" t="s">
        <v>24</v>
      </c>
      <c r="P1199" s="3" t="str">
        <f>IF(Table1[[#This Row],[Billing Amount]]&lt;5000,"Low",IF(Table1[[#This Row],[Billing Amount]]&lt;=15000,"Medium","High"))</f>
        <v>High</v>
      </c>
      <c r="Q1199" s="3" t="str">
        <f>IF(Table1[[#This Row],[Discharge Date]]="Yes","Discharged","Under Treatment")</f>
        <v>Under Treatment</v>
      </c>
      <c r="R1199" s="3" t="str">
        <f>IF(Table1[[#This Row],[Test Results]]&gt;120,"High Risk","Normal")</f>
        <v>High Risk</v>
      </c>
      <c r="S1199" s="3" t="str">
        <f>IF(Table1[[#This Row],[Age]]&lt;=18,"0-18",IF(Table1[[#This Row],[Age]]&lt;=35,"19-35",IF(Table1[[#This Row],[Age]]&lt;=50,"36-50",IF(Table1[[#This Row],[Age]]&lt;=65,"51-65","65+"))))</f>
        <v>19-35</v>
      </c>
    </row>
    <row r="1200" spans="1:19" x14ac:dyDescent="0.3">
      <c r="A1200" s="3" t="s">
        <v>3637</v>
      </c>
      <c r="B1200" s="3">
        <v>38</v>
      </c>
      <c r="C1200" s="3" t="s">
        <v>35</v>
      </c>
      <c r="D1200" s="3" t="s">
        <v>103</v>
      </c>
      <c r="E1200" s="3" t="s">
        <v>93</v>
      </c>
      <c r="F1200" s="4">
        <v>45397</v>
      </c>
      <c r="G1200" s="3" t="s">
        <v>3638</v>
      </c>
      <c r="H1200" s="3" t="s">
        <v>3639</v>
      </c>
      <c r="I1200" s="3" t="s">
        <v>65</v>
      </c>
      <c r="J1200" s="5">
        <v>36067.821911880797</v>
      </c>
      <c r="K1200" s="3">
        <v>194</v>
      </c>
      <c r="L1200" s="3" t="s">
        <v>46</v>
      </c>
      <c r="M1200" s="4">
        <v>45421</v>
      </c>
      <c r="N1200" s="3" t="s">
        <v>23</v>
      </c>
      <c r="O1200" s="3" t="s">
        <v>33</v>
      </c>
      <c r="P1200" s="3" t="str">
        <f>IF(Table1[[#This Row],[Billing Amount]]&lt;5000,"Low",IF(Table1[[#This Row],[Billing Amount]]&lt;=15000,"Medium","High"))</f>
        <v>High</v>
      </c>
      <c r="Q1200" s="3" t="str">
        <f>IF(Table1[[#This Row],[Discharge Date]]="Yes","Discharged","Under Treatment")</f>
        <v>Under Treatment</v>
      </c>
      <c r="R1200" s="3" t="str">
        <f>IF(Table1[[#This Row],[Test Results]]&gt;120,"High Risk","Normal")</f>
        <v>High Risk</v>
      </c>
      <c r="S1200" s="3" t="str">
        <f>IF(Table1[[#This Row],[Age]]&lt;=18,"0-18",IF(Table1[[#This Row],[Age]]&lt;=35,"19-35",IF(Table1[[#This Row],[Age]]&lt;=50,"36-50",IF(Table1[[#This Row],[Age]]&lt;=65,"51-65","65+"))))</f>
        <v>36-50</v>
      </c>
    </row>
    <row r="1201" spans="1:19" x14ac:dyDescent="0.3">
      <c r="A1201" s="3" t="s">
        <v>3640</v>
      </c>
      <c r="B1201" s="3">
        <v>59</v>
      </c>
      <c r="C1201" s="3" t="s">
        <v>16</v>
      </c>
      <c r="D1201" s="3" t="s">
        <v>59</v>
      </c>
      <c r="E1201" s="3" t="s">
        <v>18</v>
      </c>
      <c r="F1201" s="4">
        <v>45160</v>
      </c>
      <c r="G1201" s="3" t="s">
        <v>3641</v>
      </c>
      <c r="H1201" s="3" t="s">
        <v>3642</v>
      </c>
      <c r="I1201" s="3" t="s">
        <v>65</v>
      </c>
      <c r="J1201" s="5">
        <v>34318.346456887499</v>
      </c>
      <c r="K1201" s="3">
        <v>319</v>
      </c>
      <c r="L1201" s="3" t="s">
        <v>22</v>
      </c>
      <c r="M1201" s="4">
        <v>45165</v>
      </c>
      <c r="N1201" s="3" t="s">
        <v>40</v>
      </c>
      <c r="O1201" s="3" t="s">
        <v>33</v>
      </c>
      <c r="P1201" s="3" t="str">
        <f>IF(Table1[[#This Row],[Billing Amount]]&lt;5000,"Low",IF(Table1[[#This Row],[Billing Amount]]&lt;=15000,"Medium","High"))</f>
        <v>High</v>
      </c>
      <c r="Q1201" s="3" t="str">
        <f>IF(Table1[[#This Row],[Discharge Date]]="Yes","Discharged","Under Treatment")</f>
        <v>Under Treatment</v>
      </c>
      <c r="R1201" s="3" t="str">
        <f>IF(Table1[[#This Row],[Test Results]]&gt;120,"High Risk","Normal")</f>
        <v>High Risk</v>
      </c>
      <c r="S1201" s="3" t="str">
        <f>IF(Table1[[#This Row],[Age]]&lt;=18,"0-18",IF(Table1[[#This Row],[Age]]&lt;=35,"19-35",IF(Table1[[#This Row],[Age]]&lt;=50,"36-50",IF(Table1[[#This Row],[Age]]&lt;=65,"51-65","65+"))))</f>
        <v>51-65</v>
      </c>
    </row>
    <row r="1202" spans="1:19" x14ac:dyDescent="0.3">
      <c r="A1202" s="3" t="s">
        <v>3643</v>
      </c>
      <c r="B1202" s="3">
        <v>21</v>
      </c>
      <c r="C1202" s="3" t="s">
        <v>16</v>
      </c>
      <c r="D1202" s="3" t="s">
        <v>36</v>
      </c>
      <c r="E1202" s="3" t="s">
        <v>54</v>
      </c>
      <c r="F1202" s="4">
        <v>44994</v>
      </c>
      <c r="G1202" s="3" t="s">
        <v>3644</v>
      </c>
      <c r="H1202" s="3" t="s">
        <v>3645</v>
      </c>
      <c r="I1202" s="3" t="s">
        <v>65</v>
      </c>
      <c r="J1202" s="5">
        <v>26527.557302404701</v>
      </c>
      <c r="K1202" s="3">
        <v>137</v>
      </c>
      <c r="L1202" s="3" t="s">
        <v>46</v>
      </c>
      <c r="M1202" s="4">
        <v>45013</v>
      </c>
      <c r="N1202" s="3" t="s">
        <v>52</v>
      </c>
      <c r="O1202" s="3" t="s">
        <v>33</v>
      </c>
      <c r="P1202" s="3" t="str">
        <f>IF(Table1[[#This Row],[Billing Amount]]&lt;5000,"Low",IF(Table1[[#This Row],[Billing Amount]]&lt;=15000,"Medium","High"))</f>
        <v>High</v>
      </c>
      <c r="Q1202" s="3" t="str">
        <f>IF(Table1[[#This Row],[Discharge Date]]="Yes","Discharged","Under Treatment")</f>
        <v>Under Treatment</v>
      </c>
      <c r="R1202" s="3" t="str">
        <f>IF(Table1[[#This Row],[Test Results]]&gt;120,"High Risk","Normal")</f>
        <v>High Risk</v>
      </c>
      <c r="S1202" s="3" t="str">
        <f>IF(Table1[[#This Row],[Age]]&lt;=18,"0-18",IF(Table1[[#This Row],[Age]]&lt;=35,"19-35",IF(Table1[[#This Row],[Age]]&lt;=50,"36-50",IF(Table1[[#This Row],[Age]]&lt;=65,"51-65","65+"))))</f>
        <v>19-35</v>
      </c>
    </row>
    <row r="1203" spans="1:19" x14ac:dyDescent="0.3">
      <c r="A1203" s="3" t="s">
        <v>3646</v>
      </c>
      <c r="B1203" s="3">
        <v>50</v>
      </c>
      <c r="C1203" s="3" t="s">
        <v>35</v>
      </c>
      <c r="D1203" s="3" t="s">
        <v>26</v>
      </c>
      <c r="E1203" s="3" t="s">
        <v>18</v>
      </c>
      <c r="F1203" s="4">
        <v>44829</v>
      </c>
      <c r="G1203" s="3" t="s">
        <v>3647</v>
      </c>
      <c r="H1203" s="3" t="s">
        <v>3648</v>
      </c>
      <c r="I1203" s="3" t="s">
        <v>65</v>
      </c>
      <c r="J1203" s="5">
        <v>23698.708553919201</v>
      </c>
      <c r="K1203" s="3">
        <v>467</v>
      </c>
      <c r="L1203" s="3" t="s">
        <v>22</v>
      </c>
      <c r="M1203" s="4">
        <v>44859</v>
      </c>
      <c r="N1203" s="3" t="s">
        <v>32</v>
      </c>
      <c r="O1203" s="3" t="s">
        <v>24</v>
      </c>
      <c r="P1203" s="3" t="str">
        <f>IF(Table1[[#This Row],[Billing Amount]]&lt;5000,"Low",IF(Table1[[#This Row],[Billing Amount]]&lt;=15000,"Medium","High"))</f>
        <v>High</v>
      </c>
      <c r="Q1203" s="3" t="str">
        <f>IF(Table1[[#This Row],[Discharge Date]]="Yes","Discharged","Under Treatment")</f>
        <v>Under Treatment</v>
      </c>
      <c r="R1203" s="3" t="str">
        <f>IF(Table1[[#This Row],[Test Results]]&gt;120,"High Risk","Normal")</f>
        <v>High Risk</v>
      </c>
      <c r="S1203" s="3" t="str">
        <f>IF(Table1[[#This Row],[Age]]&lt;=18,"0-18",IF(Table1[[#This Row],[Age]]&lt;=35,"19-35",IF(Table1[[#This Row],[Age]]&lt;=50,"36-50",IF(Table1[[#This Row],[Age]]&lt;=65,"51-65","65+"))))</f>
        <v>36-50</v>
      </c>
    </row>
    <row r="1204" spans="1:19" x14ac:dyDescent="0.3">
      <c r="A1204" s="3" t="s">
        <v>3649</v>
      </c>
      <c r="B1204" s="3">
        <v>64</v>
      </c>
      <c r="C1204" s="3" t="s">
        <v>16</v>
      </c>
      <c r="D1204" s="3" t="s">
        <v>59</v>
      </c>
      <c r="E1204" s="3" t="s">
        <v>27</v>
      </c>
      <c r="F1204" s="4">
        <v>45346</v>
      </c>
      <c r="G1204" s="3" t="s">
        <v>2839</v>
      </c>
      <c r="H1204" s="3" t="s">
        <v>3650</v>
      </c>
      <c r="I1204" s="3" t="s">
        <v>39</v>
      </c>
      <c r="J1204" s="5">
        <v>38160.744868472801</v>
      </c>
      <c r="K1204" s="3">
        <v>257</v>
      </c>
      <c r="L1204" s="3" t="s">
        <v>22</v>
      </c>
      <c r="M1204" s="4">
        <v>45351</v>
      </c>
      <c r="N1204" s="3" t="s">
        <v>52</v>
      </c>
      <c r="O1204" s="3" t="s">
        <v>47</v>
      </c>
      <c r="P1204" s="3" t="str">
        <f>IF(Table1[[#This Row],[Billing Amount]]&lt;5000,"Low",IF(Table1[[#This Row],[Billing Amount]]&lt;=15000,"Medium","High"))</f>
        <v>High</v>
      </c>
      <c r="Q1204" s="3" t="str">
        <f>IF(Table1[[#This Row],[Discharge Date]]="Yes","Discharged","Under Treatment")</f>
        <v>Under Treatment</v>
      </c>
      <c r="R1204" s="3" t="str">
        <f>IF(Table1[[#This Row],[Test Results]]&gt;120,"High Risk","Normal")</f>
        <v>High Risk</v>
      </c>
      <c r="S1204" s="3" t="str">
        <f>IF(Table1[[#This Row],[Age]]&lt;=18,"0-18",IF(Table1[[#This Row],[Age]]&lt;=35,"19-35",IF(Table1[[#This Row],[Age]]&lt;=50,"36-50",IF(Table1[[#This Row],[Age]]&lt;=65,"51-65","65+"))))</f>
        <v>51-65</v>
      </c>
    </row>
    <row r="1205" spans="1:19" x14ac:dyDescent="0.3">
      <c r="A1205" s="3" t="s">
        <v>3651</v>
      </c>
      <c r="B1205" s="3">
        <v>68</v>
      </c>
      <c r="C1205" s="3" t="s">
        <v>35</v>
      </c>
      <c r="D1205" s="3" t="s">
        <v>26</v>
      </c>
      <c r="E1205" s="3" t="s">
        <v>93</v>
      </c>
      <c r="F1205" s="4">
        <v>44951</v>
      </c>
      <c r="G1205" s="3" t="s">
        <v>3652</v>
      </c>
      <c r="H1205" s="3" t="s">
        <v>3653</v>
      </c>
      <c r="I1205" s="3" t="s">
        <v>21</v>
      </c>
      <c r="J1205" s="5">
        <v>8976.3981887850696</v>
      </c>
      <c r="K1205" s="3">
        <v>462</v>
      </c>
      <c r="L1205" s="3" t="s">
        <v>31</v>
      </c>
      <c r="M1205" s="4">
        <v>44952</v>
      </c>
      <c r="N1205" s="3" t="s">
        <v>40</v>
      </c>
      <c r="O1205" s="3" t="s">
        <v>33</v>
      </c>
      <c r="P1205" s="3" t="str">
        <f>IF(Table1[[#This Row],[Billing Amount]]&lt;5000,"Low",IF(Table1[[#This Row],[Billing Amount]]&lt;=15000,"Medium","High"))</f>
        <v>Medium</v>
      </c>
      <c r="Q1205" s="3" t="str">
        <f>IF(Table1[[#This Row],[Discharge Date]]="Yes","Discharged","Under Treatment")</f>
        <v>Under Treatment</v>
      </c>
      <c r="R1205" s="3" t="str">
        <f>IF(Table1[[#This Row],[Test Results]]&gt;120,"High Risk","Normal")</f>
        <v>High Risk</v>
      </c>
      <c r="S1205" s="3" t="str">
        <f>IF(Table1[[#This Row],[Age]]&lt;=18,"0-18",IF(Table1[[#This Row],[Age]]&lt;=35,"19-35",IF(Table1[[#This Row],[Age]]&lt;=50,"36-50",IF(Table1[[#This Row],[Age]]&lt;=65,"51-65","65+"))))</f>
        <v>65+</v>
      </c>
    </row>
    <row r="1206" spans="1:19" x14ac:dyDescent="0.3">
      <c r="A1206" s="3" t="s">
        <v>3654</v>
      </c>
      <c r="B1206" s="3">
        <v>30</v>
      </c>
      <c r="C1206" s="3" t="s">
        <v>16</v>
      </c>
      <c r="D1206" s="3" t="s">
        <v>36</v>
      </c>
      <c r="E1206" s="3" t="s">
        <v>43</v>
      </c>
      <c r="F1206" s="4">
        <v>44007</v>
      </c>
      <c r="G1206" s="3" t="s">
        <v>3655</v>
      </c>
      <c r="H1206" s="3" t="s">
        <v>3656</v>
      </c>
      <c r="I1206" s="3" t="s">
        <v>21</v>
      </c>
      <c r="J1206" s="5">
        <v>26138.880435518298</v>
      </c>
      <c r="K1206" s="3">
        <v>132</v>
      </c>
      <c r="L1206" s="3" t="s">
        <v>31</v>
      </c>
      <c r="M1206" s="4">
        <v>44022</v>
      </c>
      <c r="N1206" s="3" t="s">
        <v>23</v>
      </c>
      <c r="O1206" s="3" t="s">
        <v>47</v>
      </c>
      <c r="P1206" s="3" t="str">
        <f>IF(Table1[[#This Row],[Billing Amount]]&lt;5000,"Low",IF(Table1[[#This Row],[Billing Amount]]&lt;=15000,"Medium","High"))</f>
        <v>High</v>
      </c>
      <c r="Q1206" s="3" t="str">
        <f>IF(Table1[[#This Row],[Discharge Date]]="Yes","Discharged","Under Treatment")</f>
        <v>Under Treatment</v>
      </c>
      <c r="R1206" s="3" t="str">
        <f>IF(Table1[[#This Row],[Test Results]]&gt;120,"High Risk","Normal")</f>
        <v>High Risk</v>
      </c>
      <c r="S1206" s="3" t="str">
        <f>IF(Table1[[#This Row],[Age]]&lt;=18,"0-18",IF(Table1[[#This Row],[Age]]&lt;=35,"19-35",IF(Table1[[#This Row],[Age]]&lt;=50,"36-50",IF(Table1[[#This Row],[Age]]&lt;=65,"51-65","65+"))))</f>
        <v>19-35</v>
      </c>
    </row>
    <row r="1207" spans="1:19" x14ac:dyDescent="0.3">
      <c r="A1207" s="3" t="s">
        <v>3657</v>
      </c>
      <c r="B1207" s="3">
        <v>51</v>
      </c>
      <c r="C1207" s="3" t="s">
        <v>35</v>
      </c>
      <c r="D1207" s="3" t="s">
        <v>17</v>
      </c>
      <c r="E1207" s="3" t="s">
        <v>27</v>
      </c>
      <c r="F1207" s="4">
        <v>45367</v>
      </c>
      <c r="G1207" s="3" t="s">
        <v>3658</v>
      </c>
      <c r="H1207" s="3" t="s">
        <v>3659</v>
      </c>
      <c r="I1207" s="3" t="s">
        <v>30</v>
      </c>
      <c r="J1207" s="5">
        <v>5264.1773476844601</v>
      </c>
      <c r="K1207" s="3">
        <v>459</v>
      </c>
      <c r="L1207" s="3" t="s">
        <v>31</v>
      </c>
      <c r="M1207" s="4">
        <v>45369</v>
      </c>
      <c r="N1207" s="3" t="s">
        <v>79</v>
      </c>
      <c r="O1207" s="3" t="s">
        <v>47</v>
      </c>
      <c r="P1207" s="3" t="str">
        <f>IF(Table1[[#This Row],[Billing Amount]]&lt;5000,"Low",IF(Table1[[#This Row],[Billing Amount]]&lt;=15000,"Medium","High"))</f>
        <v>Medium</v>
      </c>
      <c r="Q1207" s="3" t="str">
        <f>IF(Table1[[#This Row],[Discharge Date]]="Yes","Discharged","Under Treatment")</f>
        <v>Under Treatment</v>
      </c>
      <c r="R1207" s="3" t="str">
        <f>IF(Table1[[#This Row],[Test Results]]&gt;120,"High Risk","Normal")</f>
        <v>High Risk</v>
      </c>
      <c r="S1207" s="3" t="str">
        <f>IF(Table1[[#This Row],[Age]]&lt;=18,"0-18",IF(Table1[[#This Row],[Age]]&lt;=35,"19-35",IF(Table1[[#This Row],[Age]]&lt;=50,"36-50",IF(Table1[[#This Row],[Age]]&lt;=65,"51-65","65+"))))</f>
        <v>51-65</v>
      </c>
    </row>
    <row r="1208" spans="1:19" x14ac:dyDescent="0.3">
      <c r="A1208" s="3" t="s">
        <v>3660</v>
      </c>
      <c r="B1208" s="3">
        <v>81</v>
      </c>
      <c r="C1208" s="3" t="s">
        <v>35</v>
      </c>
      <c r="D1208" s="3" t="s">
        <v>36</v>
      </c>
      <c r="E1208" s="3" t="s">
        <v>93</v>
      </c>
      <c r="F1208" s="4">
        <v>44176</v>
      </c>
      <c r="G1208" s="3" t="s">
        <v>3661</v>
      </c>
      <c r="H1208" s="3" t="s">
        <v>3662</v>
      </c>
      <c r="I1208" s="3" t="s">
        <v>57</v>
      </c>
      <c r="J1208" s="5">
        <v>13386.3520571022</v>
      </c>
      <c r="K1208" s="3">
        <v>189</v>
      </c>
      <c r="L1208" s="3" t="s">
        <v>22</v>
      </c>
      <c r="M1208" s="4">
        <v>44177</v>
      </c>
      <c r="N1208" s="3" t="s">
        <v>79</v>
      </c>
      <c r="O1208" s="3" t="s">
        <v>33</v>
      </c>
      <c r="P1208" s="3" t="str">
        <f>IF(Table1[[#This Row],[Billing Amount]]&lt;5000,"Low",IF(Table1[[#This Row],[Billing Amount]]&lt;=15000,"Medium","High"))</f>
        <v>Medium</v>
      </c>
      <c r="Q1208" s="3" t="str">
        <f>IF(Table1[[#This Row],[Discharge Date]]="Yes","Discharged","Under Treatment")</f>
        <v>Under Treatment</v>
      </c>
      <c r="R1208" s="3" t="str">
        <f>IF(Table1[[#This Row],[Test Results]]&gt;120,"High Risk","Normal")</f>
        <v>High Risk</v>
      </c>
      <c r="S1208" s="3" t="str">
        <f>IF(Table1[[#This Row],[Age]]&lt;=18,"0-18",IF(Table1[[#This Row],[Age]]&lt;=35,"19-35",IF(Table1[[#This Row],[Age]]&lt;=50,"36-50",IF(Table1[[#This Row],[Age]]&lt;=65,"51-65","65+"))))</f>
        <v>65+</v>
      </c>
    </row>
    <row r="1209" spans="1:19" x14ac:dyDescent="0.3">
      <c r="A1209" s="3" t="s">
        <v>3663</v>
      </c>
      <c r="B1209" s="3">
        <v>27</v>
      </c>
      <c r="C1209" s="3" t="s">
        <v>16</v>
      </c>
      <c r="D1209" s="3" t="s">
        <v>49</v>
      </c>
      <c r="E1209" s="3" t="s">
        <v>18</v>
      </c>
      <c r="F1209" s="4">
        <v>44968</v>
      </c>
      <c r="G1209" s="3" t="s">
        <v>3664</v>
      </c>
      <c r="H1209" s="3" t="s">
        <v>3665</v>
      </c>
      <c r="I1209" s="3" t="s">
        <v>21</v>
      </c>
      <c r="J1209" s="5">
        <v>21528.2607578475</v>
      </c>
      <c r="K1209" s="3">
        <v>180</v>
      </c>
      <c r="L1209" s="3" t="s">
        <v>22</v>
      </c>
      <c r="M1209" s="4">
        <v>44987</v>
      </c>
      <c r="N1209" s="3" t="s">
        <v>52</v>
      </c>
      <c r="O1209" s="3" t="s">
        <v>24</v>
      </c>
      <c r="P1209" s="3" t="str">
        <f>IF(Table1[[#This Row],[Billing Amount]]&lt;5000,"Low",IF(Table1[[#This Row],[Billing Amount]]&lt;=15000,"Medium","High"))</f>
        <v>High</v>
      </c>
      <c r="Q1209" s="3" t="str">
        <f>IF(Table1[[#This Row],[Discharge Date]]="Yes","Discharged","Under Treatment")</f>
        <v>Under Treatment</v>
      </c>
      <c r="R1209" s="3" t="str">
        <f>IF(Table1[[#This Row],[Test Results]]&gt;120,"High Risk","Normal")</f>
        <v>High Risk</v>
      </c>
      <c r="S1209" s="3" t="str">
        <f>IF(Table1[[#This Row],[Age]]&lt;=18,"0-18",IF(Table1[[#This Row],[Age]]&lt;=35,"19-35",IF(Table1[[#This Row],[Age]]&lt;=50,"36-50",IF(Table1[[#This Row],[Age]]&lt;=65,"51-65","65+"))))</f>
        <v>19-35</v>
      </c>
    </row>
    <row r="1210" spans="1:19" x14ac:dyDescent="0.3">
      <c r="A1210" s="3" t="s">
        <v>3666</v>
      </c>
      <c r="B1210" s="3">
        <v>42</v>
      </c>
      <c r="C1210" s="3" t="s">
        <v>35</v>
      </c>
      <c r="D1210" s="3" t="s">
        <v>122</v>
      </c>
      <c r="E1210" s="3" t="s">
        <v>93</v>
      </c>
      <c r="F1210" s="4">
        <v>44669</v>
      </c>
      <c r="G1210" s="3" t="s">
        <v>3667</v>
      </c>
      <c r="H1210" s="3" t="s">
        <v>3668</v>
      </c>
      <c r="I1210" s="3" t="s">
        <v>57</v>
      </c>
      <c r="J1210" s="5">
        <v>44407.343247251003</v>
      </c>
      <c r="K1210" s="3">
        <v>192</v>
      </c>
      <c r="L1210" s="3" t="s">
        <v>22</v>
      </c>
      <c r="M1210" s="4">
        <v>44673</v>
      </c>
      <c r="N1210" s="3" t="s">
        <v>23</v>
      </c>
      <c r="O1210" s="3" t="s">
        <v>47</v>
      </c>
      <c r="P1210" s="3" t="str">
        <f>IF(Table1[[#This Row],[Billing Amount]]&lt;5000,"Low",IF(Table1[[#This Row],[Billing Amount]]&lt;=15000,"Medium","High"))</f>
        <v>High</v>
      </c>
      <c r="Q1210" s="3" t="str">
        <f>IF(Table1[[#This Row],[Discharge Date]]="Yes","Discharged","Under Treatment")</f>
        <v>Under Treatment</v>
      </c>
      <c r="R1210" s="3" t="str">
        <f>IF(Table1[[#This Row],[Test Results]]&gt;120,"High Risk","Normal")</f>
        <v>High Risk</v>
      </c>
      <c r="S1210" s="3" t="str">
        <f>IF(Table1[[#This Row],[Age]]&lt;=18,"0-18",IF(Table1[[#This Row],[Age]]&lt;=35,"19-35",IF(Table1[[#This Row],[Age]]&lt;=50,"36-50",IF(Table1[[#This Row],[Age]]&lt;=65,"51-65","65+"))))</f>
        <v>36-50</v>
      </c>
    </row>
    <row r="1211" spans="1:19" x14ac:dyDescent="0.3">
      <c r="A1211" s="3" t="s">
        <v>3669</v>
      </c>
      <c r="B1211" s="3">
        <v>35</v>
      </c>
      <c r="C1211" s="3" t="s">
        <v>35</v>
      </c>
      <c r="D1211" s="3" t="s">
        <v>36</v>
      </c>
      <c r="E1211" s="3" t="s">
        <v>18</v>
      </c>
      <c r="F1211" s="4">
        <v>44541</v>
      </c>
      <c r="G1211" s="3" t="s">
        <v>3670</v>
      </c>
      <c r="H1211" s="3" t="s">
        <v>3671</v>
      </c>
      <c r="I1211" s="3" t="s">
        <v>65</v>
      </c>
      <c r="J1211" s="5">
        <v>10498.9947844259</v>
      </c>
      <c r="K1211" s="3">
        <v>426</v>
      </c>
      <c r="L1211" s="3" t="s">
        <v>46</v>
      </c>
      <c r="M1211" s="4">
        <v>44547</v>
      </c>
      <c r="N1211" s="3" t="s">
        <v>40</v>
      </c>
      <c r="O1211" s="3" t="s">
        <v>33</v>
      </c>
      <c r="P1211" s="3" t="str">
        <f>IF(Table1[[#This Row],[Billing Amount]]&lt;5000,"Low",IF(Table1[[#This Row],[Billing Amount]]&lt;=15000,"Medium","High"))</f>
        <v>Medium</v>
      </c>
      <c r="Q1211" s="3" t="str">
        <f>IF(Table1[[#This Row],[Discharge Date]]="Yes","Discharged","Under Treatment")</f>
        <v>Under Treatment</v>
      </c>
      <c r="R1211" s="3" t="str">
        <f>IF(Table1[[#This Row],[Test Results]]&gt;120,"High Risk","Normal")</f>
        <v>High Risk</v>
      </c>
      <c r="S1211" s="3" t="str">
        <f>IF(Table1[[#This Row],[Age]]&lt;=18,"0-18",IF(Table1[[#This Row],[Age]]&lt;=35,"19-35",IF(Table1[[#This Row],[Age]]&lt;=50,"36-50",IF(Table1[[#This Row],[Age]]&lt;=65,"51-65","65+"))))</f>
        <v>19-35</v>
      </c>
    </row>
    <row r="1212" spans="1:19" x14ac:dyDescent="0.3">
      <c r="A1212" s="3" t="s">
        <v>3672</v>
      </c>
      <c r="B1212" s="3">
        <v>44</v>
      </c>
      <c r="C1212" s="3" t="s">
        <v>16</v>
      </c>
      <c r="D1212" s="3" t="s">
        <v>26</v>
      </c>
      <c r="E1212" s="3" t="s">
        <v>43</v>
      </c>
      <c r="F1212" s="4">
        <v>44046</v>
      </c>
      <c r="G1212" s="3" t="s">
        <v>3673</v>
      </c>
      <c r="H1212" s="3" t="s">
        <v>3674</v>
      </c>
      <c r="I1212" s="3" t="s">
        <v>57</v>
      </c>
      <c r="J1212" s="5">
        <v>14558.1904366169</v>
      </c>
      <c r="K1212" s="3">
        <v>121</v>
      </c>
      <c r="L1212" s="3" t="s">
        <v>46</v>
      </c>
      <c r="M1212" s="4">
        <v>44074</v>
      </c>
      <c r="N1212" s="3" t="s">
        <v>32</v>
      </c>
      <c r="O1212" s="3" t="s">
        <v>33</v>
      </c>
      <c r="P1212" s="3" t="str">
        <f>IF(Table1[[#This Row],[Billing Amount]]&lt;5000,"Low",IF(Table1[[#This Row],[Billing Amount]]&lt;=15000,"Medium","High"))</f>
        <v>Medium</v>
      </c>
      <c r="Q1212" s="3" t="str">
        <f>IF(Table1[[#This Row],[Discharge Date]]="Yes","Discharged","Under Treatment")</f>
        <v>Under Treatment</v>
      </c>
      <c r="R1212" s="3" t="str">
        <f>IF(Table1[[#This Row],[Test Results]]&gt;120,"High Risk","Normal")</f>
        <v>High Risk</v>
      </c>
      <c r="S1212" s="3" t="str">
        <f>IF(Table1[[#This Row],[Age]]&lt;=18,"0-18",IF(Table1[[#This Row],[Age]]&lt;=35,"19-35",IF(Table1[[#This Row],[Age]]&lt;=50,"36-50",IF(Table1[[#This Row],[Age]]&lt;=65,"51-65","65+"))))</f>
        <v>36-50</v>
      </c>
    </row>
    <row r="1213" spans="1:19" x14ac:dyDescent="0.3">
      <c r="A1213" s="3" t="s">
        <v>3675</v>
      </c>
      <c r="B1213" s="3">
        <v>49</v>
      </c>
      <c r="C1213" s="3" t="s">
        <v>35</v>
      </c>
      <c r="D1213" s="3" t="s">
        <v>42</v>
      </c>
      <c r="E1213" s="3" t="s">
        <v>27</v>
      </c>
      <c r="F1213" s="4">
        <v>43849</v>
      </c>
      <c r="G1213" s="3" t="s">
        <v>3676</v>
      </c>
      <c r="H1213" s="3" t="s">
        <v>3677</v>
      </c>
      <c r="I1213" s="3" t="s">
        <v>21</v>
      </c>
      <c r="J1213" s="5">
        <v>18181.5338369007</v>
      </c>
      <c r="K1213" s="3">
        <v>416</v>
      </c>
      <c r="L1213" s="3" t="s">
        <v>31</v>
      </c>
      <c r="M1213" s="4">
        <v>43871</v>
      </c>
      <c r="N1213" s="3" t="s">
        <v>40</v>
      </c>
      <c r="O1213" s="3" t="s">
        <v>33</v>
      </c>
      <c r="P1213" s="3" t="str">
        <f>IF(Table1[[#This Row],[Billing Amount]]&lt;5000,"Low",IF(Table1[[#This Row],[Billing Amount]]&lt;=15000,"Medium","High"))</f>
        <v>High</v>
      </c>
      <c r="Q1213" s="3" t="str">
        <f>IF(Table1[[#This Row],[Discharge Date]]="Yes","Discharged","Under Treatment")</f>
        <v>Under Treatment</v>
      </c>
      <c r="R1213" s="3" t="str">
        <f>IF(Table1[[#This Row],[Test Results]]&gt;120,"High Risk","Normal")</f>
        <v>High Risk</v>
      </c>
      <c r="S1213" s="3" t="str">
        <f>IF(Table1[[#This Row],[Age]]&lt;=18,"0-18",IF(Table1[[#This Row],[Age]]&lt;=35,"19-35",IF(Table1[[#This Row],[Age]]&lt;=50,"36-50",IF(Table1[[#This Row],[Age]]&lt;=65,"51-65","65+"))))</f>
        <v>36-50</v>
      </c>
    </row>
    <row r="1214" spans="1:19" x14ac:dyDescent="0.3">
      <c r="A1214" s="3" t="s">
        <v>3679</v>
      </c>
      <c r="B1214" s="3">
        <v>73</v>
      </c>
      <c r="C1214" s="3" t="s">
        <v>16</v>
      </c>
      <c r="D1214" s="3" t="s">
        <v>49</v>
      </c>
      <c r="E1214" s="3" t="s">
        <v>54</v>
      </c>
      <c r="F1214" s="4">
        <v>44190</v>
      </c>
      <c r="G1214" s="3" t="s">
        <v>3680</v>
      </c>
      <c r="H1214" s="3" t="s">
        <v>3681</v>
      </c>
      <c r="I1214" s="3" t="s">
        <v>21</v>
      </c>
      <c r="J1214" s="5">
        <v>23934.241144489501</v>
      </c>
      <c r="K1214" s="3">
        <v>366</v>
      </c>
      <c r="L1214" s="3" t="s">
        <v>22</v>
      </c>
      <c r="M1214" s="4">
        <v>44207</v>
      </c>
      <c r="N1214" s="3" t="s">
        <v>52</v>
      </c>
      <c r="O1214" s="3" t="s">
        <v>24</v>
      </c>
      <c r="P1214" s="3" t="str">
        <f>IF(Table1[[#This Row],[Billing Amount]]&lt;5000,"Low",IF(Table1[[#This Row],[Billing Amount]]&lt;=15000,"Medium","High"))</f>
        <v>High</v>
      </c>
      <c r="Q1214" s="3" t="str">
        <f>IF(Table1[[#This Row],[Discharge Date]]="Yes","Discharged","Under Treatment")</f>
        <v>Under Treatment</v>
      </c>
      <c r="R1214" s="3" t="str">
        <f>IF(Table1[[#This Row],[Test Results]]&gt;120,"High Risk","Normal")</f>
        <v>High Risk</v>
      </c>
      <c r="S1214" s="3" t="str">
        <f>IF(Table1[[#This Row],[Age]]&lt;=18,"0-18",IF(Table1[[#This Row],[Age]]&lt;=35,"19-35",IF(Table1[[#This Row],[Age]]&lt;=50,"36-50",IF(Table1[[#This Row],[Age]]&lt;=65,"51-65","65+"))))</f>
        <v>65+</v>
      </c>
    </row>
    <row r="1215" spans="1:19" x14ac:dyDescent="0.3">
      <c r="A1215" s="3" t="s">
        <v>3682</v>
      </c>
      <c r="B1215" s="3">
        <v>40</v>
      </c>
      <c r="C1215" s="3" t="s">
        <v>16</v>
      </c>
      <c r="D1215" s="3" t="s">
        <v>103</v>
      </c>
      <c r="E1215" s="3" t="s">
        <v>76</v>
      </c>
      <c r="F1215" s="4">
        <v>44676</v>
      </c>
      <c r="G1215" s="3" t="s">
        <v>3683</v>
      </c>
      <c r="H1215" s="3" t="s">
        <v>3684</v>
      </c>
      <c r="I1215" s="3" t="s">
        <v>30</v>
      </c>
      <c r="J1215" s="5">
        <v>41365.004775171103</v>
      </c>
      <c r="K1215" s="3">
        <v>265</v>
      </c>
      <c r="L1215" s="3" t="s">
        <v>46</v>
      </c>
      <c r="M1215" s="4">
        <v>44680</v>
      </c>
      <c r="N1215" s="3" t="s">
        <v>23</v>
      </c>
      <c r="O1215" s="3" t="s">
        <v>33</v>
      </c>
      <c r="P1215" s="3" t="str">
        <f>IF(Table1[[#This Row],[Billing Amount]]&lt;5000,"Low",IF(Table1[[#This Row],[Billing Amount]]&lt;=15000,"Medium","High"))</f>
        <v>High</v>
      </c>
      <c r="Q1215" s="3" t="str">
        <f>IF(Table1[[#This Row],[Discharge Date]]="Yes","Discharged","Under Treatment")</f>
        <v>Under Treatment</v>
      </c>
      <c r="R1215" s="3" t="str">
        <f>IF(Table1[[#This Row],[Test Results]]&gt;120,"High Risk","Normal")</f>
        <v>High Risk</v>
      </c>
      <c r="S1215" s="3" t="str">
        <f>IF(Table1[[#This Row],[Age]]&lt;=18,"0-18",IF(Table1[[#This Row],[Age]]&lt;=35,"19-35",IF(Table1[[#This Row],[Age]]&lt;=50,"36-50",IF(Table1[[#This Row],[Age]]&lt;=65,"51-65","65+"))))</f>
        <v>36-50</v>
      </c>
    </row>
    <row r="1216" spans="1:19" x14ac:dyDescent="0.3">
      <c r="A1216" s="3" t="s">
        <v>3685</v>
      </c>
      <c r="B1216" s="3">
        <v>81</v>
      </c>
      <c r="C1216" s="3" t="s">
        <v>16</v>
      </c>
      <c r="D1216" s="3" t="s">
        <v>42</v>
      </c>
      <c r="E1216" s="3" t="s">
        <v>18</v>
      </c>
      <c r="F1216" s="4">
        <v>44924</v>
      </c>
      <c r="G1216" s="3" t="s">
        <v>3686</v>
      </c>
      <c r="H1216" s="3" t="s">
        <v>3687</v>
      </c>
      <c r="I1216" s="3" t="s">
        <v>39</v>
      </c>
      <c r="J1216" s="5">
        <v>33473.550132043703</v>
      </c>
      <c r="K1216" s="3">
        <v>132</v>
      </c>
      <c r="L1216" s="3" t="s">
        <v>46</v>
      </c>
      <c r="M1216" s="4">
        <v>44930</v>
      </c>
      <c r="N1216" s="3" t="s">
        <v>79</v>
      </c>
      <c r="O1216" s="3" t="s">
        <v>33</v>
      </c>
      <c r="P1216" s="3" t="str">
        <f>IF(Table1[[#This Row],[Billing Amount]]&lt;5000,"Low",IF(Table1[[#This Row],[Billing Amount]]&lt;=15000,"Medium","High"))</f>
        <v>High</v>
      </c>
      <c r="Q1216" s="3" t="str">
        <f>IF(Table1[[#This Row],[Discharge Date]]="Yes","Discharged","Under Treatment")</f>
        <v>Under Treatment</v>
      </c>
      <c r="R1216" s="3" t="str">
        <f>IF(Table1[[#This Row],[Test Results]]&gt;120,"High Risk","Normal")</f>
        <v>High Risk</v>
      </c>
      <c r="S1216" s="3" t="str">
        <f>IF(Table1[[#This Row],[Age]]&lt;=18,"0-18",IF(Table1[[#This Row],[Age]]&lt;=35,"19-35",IF(Table1[[#This Row],[Age]]&lt;=50,"36-50",IF(Table1[[#This Row],[Age]]&lt;=65,"51-65","65+"))))</f>
        <v>65+</v>
      </c>
    </row>
    <row r="1217" spans="1:19" x14ac:dyDescent="0.3">
      <c r="A1217" s="3" t="s">
        <v>3688</v>
      </c>
      <c r="B1217" s="3">
        <v>38</v>
      </c>
      <c r="C1217" s="3" t="s">
        <v>35</v>
      </c>
      <c r="D1217" s="3" t="s">
        <v>42</v>
      </c>
      <c r="E1217" s="3" t="s">
        <v>27</v>
      </c>
      <c r="F1217" s="4">
        <v>44254</v>
      </c>
      <c r="G1217" s="3" t="s">
        <v>3689</v>
      </c>
      <c r="H1217" s="3" t="s">
        <v>3690</v>
      </c>
      <c r="I1217" s="3" t="s">
        <v>21</v>
      </c>
      <c r="J1217" s="5">
        <v>31013.919504426402</v>
      </c>
      <c r="K1217" s="3">
        <v>317</v>
      </c>
      <c r="L1217" s="3" t="s">
        <v>22</v>
      </c>
      <c r="M1217" s="4">
        <v>44271</v>
      </c>
      <c r="N1217" s="3" t="s">
        <v>40</v>
      </c>
      <c r="O1217" s="3" t="s">
        <v>33</v>
      </c>
      <c r="P1217" s="3" t="str">
        <f>IF(Table1[[#This Row],[Billing Amount]]&lt;5000,"Low",IF(Table1[[#This Row],[Billing Amount]]&lt;=15000,"Medium","High"))</f>
        <v>High</v>
      </c>
      <c r="Q1217" s="3" t="str">
        <f>IF(Table1[[#This Row],[Discharge Date]]="Yes","Discharged","Under Treatment")</f>
        <v>Under Treatment</v>
      </c>
      <c r="R1217" s="3" t="str">
        <f>IF(Table1[[#This Row],[Test Results]]&gt;120,"High Risk","Normal")</f>
        <v>High Risk</v>
      </c>
      <c r="S1217" s="3" t="str">
        <f>IF(Table1[[#This Row],[Age]]&lt;=18,"0-18",IF(Table1[[#This Row],[Age]]&lt;=35,"19-35",IF(Table1[[#This Row],[Age]]&lt;=50,"36-50",IF(Table1[[#This Row],[Age]]&lt;=65,"51-65","65+"))))</f>
        <v>36-50</v>
      </c>
    </row>
    <row r="1218" spans="1:19" x14ac:dyDescent="0.3">
      <c r="A1218" s="3" t="s">
        <v>3691</v>
      </c>
      <c r="B1218" s="3">
        <v>58</v>
      </c>
      <c r="C1218" s="3" t="s">
        <v>35</v>
      </c>
      <c r="D1218" s="3" t="s">
        <v>49</v>
      </c>
      <c r="E1218" s="3" t="s">
        <v>76</v>
      </c>
      <c r="F1218" s="4">
        <v>45150</v>
      </c>
      <c r="G1218" s="3" t="s">
        <v>3692</v>
      </c>
      <c r="H1218" s="3" t="s">
        <v>3693</v>
      </c>
      <c r="I1218" s="3" t="s">
        <v>39</v>
      </c>
      <c r="J1218" s="5">
        <v>41438.753496191297</v>
      </c>
      <c r="K1218" s="3">
        <v>363</v>
      </c>
      <c r="L1218" s="3" t="s">
        <v>22</v>
      </c>
      <c r="M1218" s="4">
        <v>45156</v>
      </c>
      <c r="N1218" s="3" t="s">
        <v>79</v>
      </c>
      <c r="O1218" s="3" t="s">
        <v>33</v>
      </c>
      <c r="P1218" s="3" t="str">
        <f>IF(Table1[[#This Row],[Billing Amount]]&lt;5000,"Low",IF(Table1[[#This Row],[Billing Amount]]&lt;=15000,"Medium","High"))</f>
        <v>High</v>
      </c>
      <c r="Q1218" s="3" t="str">
        <f>IF(Table1[[#This Row],[Discharge Date]]="Yes","Discharged","Under Treatment")</f>
        <v>Under Treatment</v>
      </c>
      <c r="R1218" s="3" t="str">
        <f>IF(Table1[[#This Row],[Test Results]]&gt;120,"High Risk","Normal")</f>
        <v>High Risk</v>
      </c>
      <c r="S1218" s="3" t="str">
        <f>IF(Table1[[#This Row],[Age]]&lt;=18,"0-18",IF(Table1[[#This Row],[Age]]&lt;=35,"19-35",IF(Table1[[#This Row],[Age]]&lt;=50,"36-50",IF(Table1[[#This Row],[Age]]&lt;=65,"51-65","65+"))))</f>
        <v>51-65</v>
      </c>
    </row>
    <row r="1219" spans="1:19" x14ac:dyDescent="0.3">
      <c r="A1219" s="3" t="s">
        <v>3694</v>
      </c>
      <c r="B1219" s="3">
        <v>67</v>
      </c>
      <c r="C1219" s="3" t="s">
        <v>35</v>
      </c>
      <c r="D1219" s="3" t="s">
        <v>103</v>
      </c>
      <c r="E1219" s="3" t="s">
        <v>54</v>
      </c>
      <c r="F1219" s="4">
        <v>44414</v>
      </c>
      <c r="G1219" s="3" t="s">
        <v>3695</v>
      </c>
      <c r="H1219" s="3" t="s">
        <v>3696</v>
      </c>
      <c r="I1219" s="3" t="s">
        <v>57</v>
      </c>
      <c r="J1219" s="5">
        <v>6186.1333073834203</v>
      </c>
      <c r="K1219" s="3">
        <v>434</v>
      </c>
      <c r="L1219" s="3" t="s">
        <v>22</v>
      </c>
      <c r="M1219" s="4">
        <v>44439</v>
      </c>
      <c r="N1219" s="3" t="s">
        <v>52</v>
      </c>
      <c r="O1219" s="3" t="s">
        <v>33</v>
      </c>
      <c r="P1219" s="3" t="str">
        <f>IF(Table1[[#This Row],[Billing Amount]]&lt;5000,"Low",IF(Table1[[#This Row],[Billing Amount]]&lt;=15000,"Medium","High"))</f>
        <v>Medium</v>
      </c>
      <c r="Q1219" s="3" t="str">
        <f>IF(Table1[[#This Row],[Discharge Date]]="Yes","Discharged","Under Treatment")</f>
        <v>Under Treatment</v>
      </c>
      <c r="R1219" s="3" t="str">
        <f>IF(Table1[[#This Row],[Test Results]]&gt;120,"High Risk","Normal")</f>
        <v>High Risk</v>
      </c>
      <c r="S1219" s="3" t="str">
        <f>IF(Table1[[#This Row],[Age]]&lt;=18,"0-18",IF(Table1[[#This Row],[Age]]&lt;=35,"19-35",IF(Table1[[#This Row],[Age]]&lt;=50,"36-50",IF(Table1[[#This Row],[Age]]&lt;=65,"51-65","65+"))))</f>
        <v>65+</v>
      </c>
    </row>
    <row r="1220" spans="1:19" x14ac:dyDescent="0.3">
      <c r="A1220" s="3" t="s">
        <v>3697</v>
      </c>
      <c r="B1220" s="3">
        <v>41</v>
      </c>
      <c r="C1220" s="3" t="s">
        <v>16</v>
      </c>
      <c r="D1220" s="3" t="s">
        <v>17</v>
      </c>
      <c r="E1220" s="3" t="s">
        <v>43</v>
      </c>
      <c r="F1220" s="4">
        <v>45088</v>
      </c>
      <c r="G1220" s="3" t="s">
        <v>3698</v>
      </c>
      <c r="H1220" s="3" t="s">
        <v>3699</v>
      </c>
      <c r="I1220" s="3" t="s">
        <v>30</v>
      </c>
      <c r="J1220" s="5">
        <v>45005.5538859023</v>
      </c>
      <c r="K1220" s="3">
        <v>155</v>
      </c>
      <c r="L1220" s="3" t="s">
        <v>31</v>
      </c>
      <c r="M1220" s="4">
        <v>45090</v>
      </c>
      <c r="N1220" s="3" t="s">
        <v>23</v>
      </c>
      <c r="O1220" s="3" t="s">
        <v>24</v>
      </c>
      <c r="P1220" s="3" t="str">
        <f>IF(Table1[[#This Row],[Billing Amount]]&lt;5000,"Low",IF(Table1[[#This Row],[Billing Amount]]&lt;=15000,"Medium","High"))</f>
        <v>High</v>
      </c>
      <c r="Q1220" s="3" t="str">
        <f>IF(Table1[[#This Row],[Discharge Date]]="Yes","Discharged","Under Treatment")</f>
        <v>Under Treatment</v>
      </c>
      <c r="R1220" s="3" t="str">
        <f>IF(Table1[[#This Row],[Test Results]]&gt;120,"High Risk","Normal")</f>
        <v>High Risk</v>
      </c>
      <c r="S1220" s="3" t="str">
        <f>IF(Table1[[#This Row],[Age]]&lt;=18,"0-18",IF(Table1[[#This Row],[Age]]&lt;=35,"19-35",IF(Table1[[#This Row],[Age]]&lt;=50,"36-50",IF(Table1[[#This Row],[Age]]&lt;=65,"51-65","65+"))))</f>
        <v>36-50</v>
      </c>
    </row>
    <row r="1221" spans="1:19" x14ac:dyDescent="0.3">
      <c r="A1221" s="3" t="s">
        <v>3700</v>
      </c>
      <c r="B1221" s="3">
        <v>22</v>
      </c>
      <c r="C1221" s="3" t="s">
        <v>16</v>
      </c>
      <c r="D1221" s="3" t="s">
        <v>49</v>
      </c>
      <c r="E1221" s="3" t="s">
        <v>43</v>
      </c>
      <c r="F1221" s="4">
        <v>44327</v>
      </c>
      <c r="G1221" s="3" t="s">
        <v>3701</v>
      </c>
      <c r="H1221" s="3" t="s">
        <v>3702</v>
      </c>
      <c r="I1221" s="3" t="s">
        <v>39</v>
      </c>
      <c r="J1221" s="5">
        <v>20874.0430262462</v>
      </c>
      <c r="K1221" s="3">
        <v>108</v>
      </c>
      <c r="L1221" s="3" t="s">
        <v>46</v>
      </c>
      <c r="M1221" s="4">
        <v>44332</v>
      </c>
      <c r="N1221" s="3" t="s">
        <v>23</v>
      </c>
      <c r="O1221" s="3" t="s">
        <v>33</v>
      </c>
      <c r="P1221" s="3" t="str">
        <f>IF(Table1[[#This Row],[Billing Amount]]&lt;5000,"Low",IF(Table1[[#This Row],[Billing Amount]]&lt;=15000,"Medium","High"))</f>
        <v>High</v>
      </c>
      <c r="Q1221" s="3" t="str">
        <f>IF(Table1[[#This Row],[Discharge Date]]="Yes","Discharged","Under Treatment")</f>
        <v>Under Treatment</v>
      </c>
      <c r="R1221" s="3" t="str">
        <f>IF(Table1[[#This Row],[Test Results]]&gt;120,"High Risk","Normal")</f>
        <v>High Risk</v>
      </c>
      <c r="S1221" s="3" t="str">
        <f>IF(Table1[[#This Row],[Age]]&lt;=18,"0-18",IF(Table1[[#This Row],[Age]]&lt;=35,"19-35",IF(Table1[[#This Row],[Age]]&lt;=50,"36-50",IF(Table1[[#This Row],[Age]]&lt;=65,"51-65","65+"))))</f>
        <v>19-35</v>
      </c>
    </row>
    <row r="1222" spans="1:19" x14ac:dyDescent="0.3">
      <c r="A1222" s="3" t="s">
        <v>3703</v>
      </c>
      <c r="B1222" s="3">
        <v>55</v>
      </c>
      <c r="C1222" s="3" t="s">
        <v>35</v>
      </c>
      <c r="D1222" s="3" t="s">
        <v>42</v>
      </c>
      <c r="E1222" s="3" t="s">
        <v>18</v>
      </c>
      <c r="F1222" s="4">
        <v>45033</v>
      </c>
      <c r="G1222" s="3" t="s">
        <v>3704</v>
      </c>
      <c r="H1222" s="3" t="s">
        <v>3705</v>
      </c>
      <c r="I1222" s="3" t="s">
        <v>57</v>
      </c>
      <c r="J1222" s="5">
        <v>13964.1548057158</v>
      </c>
      <c r="K1222" s="3">
        <v>146</v>
      </c>
      <c r="L1222" s="3" t="s">
        <v>31</v>
      </c>
      <c r="M1222" s="4">
        <v>45052</v>
      </c>
      <c r="N1222" s="3" t="s">
        <v>32</v>
      </c>
      <c r="O1222" s="3" t="s">
        <v>33</v>
      </c>
      <c r="P1222" s="3" t="str">
        <f>IF(Table1[[#This Row],[Billing Amount]]&lt;5000,"Low",IF(Table1[[#This Row],[Billing Amount]]&lt;=15000,"Medium","High"))</f>
        <v>Medium</v>
      </c>
      <c r="Q1222" s="3" t="str">
        <f>IF(Table1[[#This Row],[Discharge Date]]="Yes","Discharged","Under Treatment")</f>
        <v>Under Treatment</v>
      </c>
      <c r="R1222" s="3" t="str">
        <f>IF(Table1[[#This Row],[Test Results]]&gt;120,"High Risk","Normal")</f>
        <v>High Risk</v>
      </c>
      <c r="S1222" s="3" t="str">
        <f>IF(Table1[[#This Row],[Age]]&lt;=18,"0-18",IF(Table1[[#This Row],[Age]]&lt;=35,"19-35",IF(Table1[[#This Row],[Age]]&lt;=50,"36-50",IF(Table1[[#This Row],[Age]]&lt;=65,"51-65","65+"))))</f>
        <v>51-65</v>
      </c>
    </row>
    <row r="1223" spans="1:19" x14ac:dyDescent="0.3">
      <c r="A1223" s="3" t="s">
        <v>3706</v>
      </c>
      <c r="B1223" s="3">
        <v>45</v>
      </c>
      <c r="C1223" s="3" t="s">
        <v>35</v>
      </c>
      <c r="D1223" s="3" t="s">
        <v>42</v>
      </c>
      <c r="E1223" s="3" t="s">
        <v>43</v>
      </c>
      <c r="F1223" s="4">
        <v>44309</v>
      </c>
      <c r="G1223" s="3" t="s">
        <v>3707</v>
      </c>
      <c r="H1223" s="3" t="s">
        <v>3708</v>
      </c>
      <c r="I1223" s="3" t="s">
        <v>39</v>
      </c>
      <c r="J1223" s="5">
        <v>38146.999686757801</v>
      </c>
      <c r="K1223" s="3">
        <v>491</v>
      </c>
      <c r="L1223" s="3" t="s">
        <v>22</v>
      </c>
      <c r="M1223" s="4">
        <v>44327</v>
      </c>
      <c r="N1223" s="3" t="s">
        <v>40</v>
      </c>
      <c r="O1223" s="3" t="s">
        <v>47</v>
      </c>
      <c r="P1223" s="3" t="str">
        <f>IF(Table1[[#This Row],[Billing Amount]]&lt;5000,"Low",IF(Table1[[#This Row],[Billing Amount]]&lt;=15000,"Medium","High"))</f>
        <v>High</v>
      </c>
      <c r="Q1223" s="3" t="str">
        <f>IF(Table1[[#This Row],[Discharge Date]]="Yes","Discharged","Under Treatment")</f>
        <v>Under Treatment</v>
      </c>
      <c r="R1223" s="3" t="str">
        <f>IF(Table1[[#This Row],[Test Results]]&gt;120,"High Risk","Normal")</f>
        <v>High Risk</v>
      </c>
      <c r="S1223" s="3" t="str">
        <f>IF(Table1[[#This Row],[Age]]&lt;=18,"0-18",IF(Table1[[#This Row],[Age]]&lt;=35,"19-35",IF(Table1[[#This Row],[Age]]&lt;=50,"36-50",IF(Table1[[#This Row],[Age]]&lt;=65,"51-65","65+"))))</f>
        <v>36-50</v>
      </c>
    </row>
    <row r="1224" spans="1:19" x14ac:dyDescent="0.3">
      <c r="A1224" s="3" t="s">
        <v>3709</v>
      </c>
      <c r="B1224" s="3">
        <v>77</v>
      </c>
      <c r="C1224" s="3" t="s">
        <v>35</v>
      </c>
      <c r="D1224" s="3" t="s">
        <v>17</v>
      </c>
      <c r="E1224" s="3" t="s">
        <v>54</v>
      </c>
      <c r="F1224" s="4">
        <v>44433</v>
      </c>
      <c r="G1224" s="3" t="s">
        <v>3710</v>
      </c>
      <c r="H1224" s="3" t="s">
        <v>3711</v>
      </c>
      <c r="I1224" s="3" t="s">
        <v>39</v>
      </c>
      <c r="J1224" s="5">
        <v>7271.6441842424902</v>
      </c>
      <c r="K1224" s="3">
        <v>352</v>
      </c>
      <c r="L1224" s="3" t="s">
        <v>46</v>
      </c>
      <c r="M1224" s="4">
        <v>44434</v>
      </c>
      <c r="N1224" s="3" t="s">
        <v>40</v>
      </c>
      <c r="O1224" s="3" t="s">
        <v>47</v>
      </c>
      <c r="P1224" s="3" t="str">
        <f>IF(Table1[[#This Row],[Billing Amount]]&lt;5000,"Low",IF(Table1[[#This Row],[Billing Amount]]&lt;=15000,"Medium","High"))</f>
        <v>Medium</v>
      </c>
      <c r="Q1224" s="3" t="str">
        <f>IF(Table1[[#This Row],[Discharge Date]]="Yes","Discharged","Under Treatment")</f>
        <v>Under Treatment</v>
      </c>
      <c r="R1224" s="3" t="str">
        <f>IF(Table1[[#This Row],[Test Results]]&gt;120,"High Risk","Normal")</f>
        <v>High Risk</v>
      </c>
      <c r="S1224" s="3" t="str">
        <f>IF(Table1[[#This Row],[Age]]&lt;=18,"0-18",IF(Table1[[#This Row],[Age]]&lt;=35,"19-35",IF(Table1[[#This Row],[Age]]&lt;=50,"36-50",IF(Table1[[#This Row],[Age]]&lt;=65,"51-65","65+"))))</f>
        <v>65+</v>
      </c>
    </row>
    <row r="1225" spans="1:19" x14ac:dyDescent="0.3">
      <c r="A1225" s="3" t="s">
        <v>3712</v>
      </c>
      <c r="B1225" s="3">
        <v>43</v>
      </c>
      <c r="C1225" s="3" t="s">
        <v>35</v>
      </c>
      <c r="D1225" s="3" t="s">
        <v>49</v>
      </c>
      <c r="E1225" s="3" t="s">
        <v>76</v>
      </c>
      <c r="F1225" s="4">
        <v>44335</v>
      </c>
      <c r="G1225" s="3" t="s">
        <v>3713</v>
      </c>
      <c r="H1225" s="3" t="s">
        <v>3714</v>
      </c>
      <c r="I1225" s="3" t="s">
        <v>30</v>
      </c>
      <c r="J1225" s="5">
        <v>8590.1907719611409</v>
      </c>
      <c r="K1225" s="3">
        <v>350</v>
      </c>
      <c r="L1225" s="3" t="s">
        <v>31</v>
      </c>
      <c r="M1225" s="4">
        <v>44346</v>
      </c>
      <c r="N1225" s="3" t="s">
        <v>23</v>
      </c>
      <c r="O1225" s="3" t="s">
        <v>24</v>
      </c>
      <c r="P1225" s="3" t="str">
        <f>IF(Table1[[#This Row],[Billing Amount]]&lt;5000,"Low",IF(Table1[[#This Row],[Billing Amount]]&lt;=15000,"Medium","High"))</f>
        <v>Medium</v>
      </c>
      <c r="Q1225" s="3" t="str">
        <f>IF(Table1[[#This Row],[Discharge Date]]="Yes","Discharged","Under Treatment")</f>
        <v>Under Treatment</v>
      </c>
      <c r="R1225" s="3" t="str">
        <f>IF(Table1[[#This Row],[Test Results]]&gt;120,"High Risk","Normal")</f>
        <v>High Risk</v>
      </c>
      <c r="S1225" s="3" t="str">
        <f>IF(Table1[[#This Row],[Age]]&lt;=18,"0-18",IF(Table1[[#This Row],[Age]]&lt;=35,"19-35",IF(Table1[[#This Row],[Age]]&lt;=50,"36-50",IF(Table1[[#This Row],[Age]]&lt;=65,"51-65","65+"))))</f>
        <v>36-50</v>
      </c>
    </row>
    <row r="1226" spans="1:19" x14ac:dyDescent="0.3">
      <c r="A1226" s="3" t="s">
        <v>3715</v>
      </c>
      <c r="B1226" s="3">
        <v>19</v>
      </c>
      <c r="C1226" s="3" t="s">
        <v>35</v>
      </c>
      <c r="D1226" s="3" t="s">
        <v>26</v>
      </c>
      <c r="E1226" s="3" t="s">
        <v>18</v>
      </c>
      <c r="F1226" s="4">
        <v>44472</v>
      </c>
      <c r="G1226" s="3" t="s">
        <v>3716</v>
      </c>
      <c r="H1226" s="3" t="s">
        <v>3717</v>
      </c>
      <c r="I1226" s="3" t="s">
        <v>30</v>
      </c>
      <c r="J1226" s="5">
        <v>18563.4476177777</v>
      </c>
      <c r="K1226" s="3">
        <v>242</v>
      </c>
      <c r="L1226" s="3" t="s">
        <v>31</v>
      </c>
      <c r="M1226" s="4">
        <v>44484</v>
      </c>
      <c r="N1226" s="3" t="s">
        <v>32</v>
      </c>
      <c r="O1226" s="3" t="s">
        <v>47</v>
      </c>
      <c r="P1226" s="3" t="str">
        <f>IF(Table1[[#This Row],[Billing Amount]]&lt;5000,"Low",IF(Table1[[#This Row],[Billing Amount]]&lt;=15000,"Medium","High"))</f>
        <v>High</v>
      </c>
      <c r="Q1226" s="3" t="str">
        <f>IF(Table1[[#This Row],[Discharge Date]]="Yes","Discharged","Under Treatment")</f>
        <v>Under Treatment</v>
      </c>
      <c r="R1226" s="3" t="str">
        <f>IF(Table1[[#This Row],[Test Results]]&gt;120,"High Risk","Normal")</f>
        <v>High Risk</v>
      </c>
      <c r="S1226" s="3" t="str">
        <f>IF(Table1[[#This Row],[Age]]&lt;=18,"0-18",IF(Table1[[#This Row],[Age]]&lt;=35,"19-35",IF(Table1[[#This Row],[Age]]&lt;=50,"36-50",IF(Table1[[#This Row],[Age]]&lt;=65,"51-65","65+"))))</f>
        <v>19-35</v>
      </c>
    </row>
    <row r="1227" spans="1:19" x14ac:dyDescent="0.3">
      <c r="A1227" s="3" t="s">
        <v>3718</v>
      </c>
      <c r="B1227" s="3">
        <v>57</v>
      </c>
      <c r="C1227" s="3" t="s">
        <v>35</v>
      </c>
      <c r="D1227" s="3" t="s">
        <v>103</v>
      </c>
      <c r="E1227" s="3" t="s">
        <v>18</v>
      </c>
      <c r="F1227" s="4">
        <v>44708</v>
      </c>
      <c r="G1227" s="3" t="s">
        <v>3719</v>
      </c>
      <c r="H1227" s="3" t="s">
        <v>3720</v>
      </c>
      <c r="I1227" s="3" t="s">
        <v>21</v>
      </c>
      <c r="J1227" s="5">
        <v>40700.102063818798</v>
      </c>
      <c r="K1227" s="3">
        <v>285</v>
      </c>
      <c r="L1227" s="3" t="s">
        <v>22</v>
      </c>
      <c r="M1227" s="4">
        <v>44734</v>
      </c>
      <c r="N1227" s="3" t="s">
        <v>52</v>
      </c>
      <c r="O1227" s="3" t="s">
        <v>47</v>
      </c>
      <c r="P1227" s="3" t="str">
        <f>IF(Table1[[#This Row],[Billing Amount]]&lt;5000,"Low",IF(Table1[[#This Row],[Billing Amount]]&lt;=15000,"Medium","High"))</f>
        <v>High</v>
      </c>
      <c r="Q1227" s="3" t="str">
        <f>IF(Table1[[#This Row],[Discharge Date]]="Yes","Discharged","Under Treatment")</f>
        <v>Under Treatment</v>
      </c>
      <c r="R1227" s="3" t="str">
        <f>IF(Table1[[#This Row],[Test Results]]&gt;120,"High Risk","Normal")</f>
        <v>High Risk</v>
      </c>
      <c r="S1227" s="3" t="str">
        <f>IF(Table1[[#This Row],[Age]]&lt;=18,"0-18",IF(Table1[[#This Row],[Age]]&lt;=35,"19-35",IF(Table1[[#This Row],[Age]]&lt;=50,"36-50",IF(Table1[[#This Row],[Age]]&lt;=65,"51-65","65+"))))</f>
        <v>51-65</v>
      </c>
    </row>
    <row r="1228" spans="1:19" x14ac:dyDescent="0.3">
      <c r="A1228" s="3" t="s">
        <v>3721</v>
      </c>
      <c r="B1228" s="3">
        <v>72</v>
      </c>
      <c r="C1228" s="3" t="s">
        <v>16</v>
      </c>
      <c r="D1228" s="3" t="s">
        <v>122</v>
      </c>
      <c r="E1228" s="3" t="s">
        <v>54</v>
      </c>
      <c r="F1228" s="4">
        <v>44307</v>
      </c>
      <c r="G1228" s="3" t="s">
        <v>3722</v>
      </c>
      <c r="H1228" s="3" t="s">
        <v>3723</v>
      </c>
      <c r="I1228" s="3" t="s">
        <v>30</v>
      </c>
      <c r="J1228" s="5">
        <v>27271.219659320999</v>
      </c>
      <c r="K1228" s="3">
        <v>204</v>
      </c>
      <c r="L1228" s="3" t="s">
        <v>31</v>
      </c>
      <c r="M1228" s="4">
        <v>44333</v>
      </c>
      <c r="N1228" s="3" t="s">
        <v>40</v>
      </c>
      <c r="O1228" s="3" t="s">
        <v>47</v>
      </c>
      <c r="P1228" s="3" t="str">
        <f>IF(Table1[[#This Row],[Billing Amount]]&lt;5000,"Low",IF(Table1[[#This Row],[Billing Amount]]&lt;=15000,"Medium","High"))</f>
        <v>High</v>
      </c>
      <c r="Q1228" s="3" t="str">
        <f>IF(Table1[[#This Row],[Discharge Date]]="Yes","Discharged","Under Treatment")</f>
        <v>Under Treatment</v>
      </c>
      <c r="R1228" s="3" t="str">
        <f>IF(Table1[[#This Row],[Test Results]]&gt;120,"High Risk","Normal")</f>
        <v>High Risk</v>
      </c>
      <c r="S1228" s="3" t="str">
        <f>IF(Table1[[#This Row],[Age]]&lt;=18,"0-18",IF(Table1[[#This Row],[Age]]&lt;=35,"19-35",IF(Table1[[#This Row],[Age]]&lt;=50,"36-50",IF(Table1[[#This Row],[Age]]&lt;=65,"51-65","65+"))))</f>
        <v>65+</v>
      </c>
    </row>
    <row r="1229" spans="1:19" x14ac:dyDescent="0.3">
      <c r="A1229" s="3" t="s">
        <v>3724</v>
      </c>
      <c r="B1229" s="3">
        <v>30</v>
      </c>
      <c r="C1229" s="3" t="s">
        <v>35</v>
      </c>
      <c r="D1229" s="3" t="s">
        <v>36</v>
      </c>
      <c r="E1229" s="3" t="s">
        <v>27</v>
      </c>
      <c r="F1229" s="4">
        <v>45199</v>
      </c>
      <c r="G1229" s="3" t="s">
        <v>3725</v>
      </c>
      <c r="H1229" s="3" t="s">
        <v>3726</v>
      </c>
      <c r="I1229" s="3" t="s">
        <v>57</v>
      </c>
      <c r="J1229" s="5">
        <v>23082.2379996784</v>
      </c>
      <c r="K1229" s="3">
        <v>314</v>
      </c>
      <c r="L1229" s="3" t="s">
        <v>22</v>
      </c>
      <c r="M1229" s="4">
        <v>45211</v>
      </c>
      <c r="N1229" s="3" t="s">
        <v>40</v>
      </c>
      <c r="O1229" s="3" t="s">
        <v>33</v>
      </c>
      <c r="P1229" s="3" t="str">
        <f>IF(Table1[[#This Row],[Billing Amount]]&lt;5000,"Low",IF(Table1[[#This Row],[Billing Amount]]&lt;=15000,"Medium","High"))</f>
        <v>High</v>
      </c>
      <c r="Q1229" s="3" t="str">
        <f>IF(Table1[[#This Row],[Discharge Date]]="Yes","Discharged","Under Treatment")</f>
        <v>Under Treatment</v>
      </c>
      <c r="R1229" s="3" t="str">
        <f>IF(Table1[[#This Row],[Test Results]]&gt;120,"High Risk","Normal")</f>
        <v>High Risk</v>
      </c>
      <c r="S1229" s="3" t="str">
        <f>IF(Table1[[#This Row],[Age]]&lt;=18,"0-18",IF(Table1[[#This Row],[Age]]&lt;=35,"19-35",IF(Table1[[#This Row],[Age]]&lt;=50,"36-50",IF(Table1[[#This Row],[Age]]&lt;=65,"51-65","65+"))))</f>
        <v>19-35</v>
      </c>
    </row>
    <row r="1230" spans="1:19" x14ac:dyDescent="0.3">
      <c r="A1230" s="3" t="s">
        <v>3727</v>
      </c>
      <c r="B1230" s="3">
        <v>77</v>
      </c>
      <c r="C1230" s="3" t="s">
        <v>35</v>
      </c>
      <c r="D1230" s="3" t="s">
        <v>17</v>
      </c>
      <c r="E1230" s="3" t="s">
        <v>27</v>
      </c>
      <c r="F1230" s="4">
        <v>44644</v>
      </c>
      <c r="G1230" s="3" t="s">
        <v>3728</v>
      </c>
      <c r="H1230" s="3" t="s">
        <v>3729</v>
      </c>
      <c r="I1230" s="3" t="s">
        <v>39</v>
      </c>
      <c r="J1230" s="5">
        <v>45956.226297793903</v>
      </c>
      <c r="K1230" s="3">
        <v>111</v>
      </c>
      <c r="L1230" s="3" t="s">
        <v>46</v>
      </c>
      <c r="M1230" s="4">
        <v>44672</v>
      </c>
      <c r="N1230" s="3" t="s">
        <v>52</v>
      </c>
      <c r="O1230" s="3" t="s">
        <v>47</v>
      </c>
      <c r="P1230" s="3" t="str">
        <f>IF(Table1[[#This Row],[Billing Amount]]&lt;5000,"Low",IF(Table1[[#This Row],[Billing Amount]]&lt;=15000,"Medium","High"))</f>
        <v>High</v>
      </c>
      <c r="Q1230" s="3" t="str">
        <f>IF(Table1[[#This Row],[Discharge Date]]="Yes","Discharged","Under Treatment")</f>
        <v>Under Treatment</v>
      </c>
      <c r="R1230" s="3" t="str">
        <f>IF(Table1[[#This Row],[Test Results]]&gt;120,"High Risk","Normal")</f>
        <v>High Risk</v>
      </c>
      <c r="S1230" s="3" t="str">
        <f>IF(Table1[[#This Row],[Age]]&lt;=18,"0-18",IF(Table1[[#This Row],[Age]]&lt;=35,"19-35",IF(Table1[[#This Row],[Age]]&lt;=50,"36-50",IF(Table1[[#This Row],[Age]]&lt;=65,"51-65","65+"))))</f>
        <v>65+</v>
      </c>
    </row>
    <row r="1231" spans="1:19" x14ac:dyDescent="0.3">
      <c r="A1231" s="3" t="s">
        <v>3730</v>
      </c>
      <c r="B1231" s="3">
        <v>83</v>
      </c>
      <c r="C1231" s="3" t="s">
        <v>16</v>
      </c>
      <c r="D1231" s="3" t="s">
        <v>122</v>
      </c>
      <c r="E1231" s="3" t="s">
        <v>27</v>
      </c>
      <c r="F1231" s="4">
        <v>43666</v>
      </c>
      <c r="G1231" s="3" t="s">
        <v>3731</v>
      </c>
      <c r="H1231" s="3" t="s">
        <v>3732</v>
      </c>
      <c r="I1231" s="3" t="s">
        <v>21</v>
      </c>
      <c r="J1231" s="5">
        <v>25857.538782583099</v>
      </c>
      <c r="K1231" s="3">
        <v>339</v>
      </c>
      <c r="L1231" s="3" t="s">
        <v>31</v>
      </c>
      <c r="M1231" s="4">
        <v>43684</v>
      </c>
      <c r="N1231" s="3" t="s">
        <v>52</v>
      </c>
      <c r="O1231" s="3" t="s">
        <v>33</v>
      </c>
      <c r="P1231" s="3" t="str">
        <f>IF(Table1[[#This Row],[Billing Amount]]&lt;5000,"Low",IF(Table1[[#This Row],[Billing Amount]]&lt;=15000,"Medium","High"))</f>
        <v>High</v>
      </c>
      <c r="Q1231" s="3" t="str">
        <f>IF(Table1[[#This Row],[Discharge Date]]="Yes","Discharged","Under Treatment")</f>
        <v>Under Treatment</v>
      </c>
      <c r="R1231" s="3" t="str">
        <f>IF(Table1[[#This Row],[Test Results]]&gt;120,"High Risk","Normal")</f>
        <v>High Risk</v>
      </c>
      <c r="S1231" s="3" t="str">
        <f>IF(Table1[[#This Row],[Age]]&lt;=18,"0-18",IF(Table1[[#This Row],[Age]]&lt;=35,"19-35",IF(Table1[[#This Row],[Age]]&lt;=50,"36-50",IF(Table1[[#This Row],[Age]]&lt;=65,"51-65","65+"))))</f>
        <v>65+</v>
      </c>
    </row>
    <row r="1232" spans="1:19" x14ac:dyDescent="0.3">
      <c r="A1232" s="3" t="s">
        <v>3733</v>
      </c>
      <c r="B1232" s="3">
        <v>70</v>
      </c>
      <c r="C1232" s="3" t="s">
        <v>16</v>
      </c>
      <c r="D1232" s="3" t="s">
        <v>49</v>
      </c>
      <c r="E1232" s="3" t="s">
        <v>93</v>
      </c>
      <c r="F1232" s="4">
        <v>44290</v>
      </c>
      <c r="G1232" s="3" t="s">
        <v>3734</v>
      </c>
      <c r="H1232" s="3" t="s">
        <v>3735</v>
      </c>
      <c r="I1232" s="3" t="s">
        <v>21</v>
      </c>
      <c r="J1232" s="5">
        <v>24692.839105096999</v>
      </c>
      <c r="K1232" s="3">
        <v>362</v>
      </c>
      <c r="L1232" s="3" t="s">
        <v>31</v>
      </c>
      <c r="M1232" s="4">
        <v>44302</v>
      </c>
      <c r="N1232" s="3" t="s">
        <v>52</v>
      </c>
      <c r="O1232" s="3" t="s">
        <v>47</v>
      </c>
      <c r="P1232" s="3" t="str">
        <f>IF(Table1[[#This Row],[Billing Amount]]&lt;5000,"Low",IF(Table1[[#This Row],[Billing Amount]]&lt;=15000,"Medium","High"))</f>
        <v>High</v>
      </c>
      <c r="Q1232" s="3" t="str">
        <f>IF(Table1[[#This Row],[Discharge Date]]="Yes","Discharged","Under Treatment")</f>
        <v>Under Treatment</v>
      </c>
      <c r="R1232" s="3" t="str">
        <f>IF(Table1[[#This Row],[Test Results]]&gt;120,"High Risk","Normal")</f>
        <v>High Risk</v>
      </c>
      <c r="S1232" s="3" t="str">
        <f>IF(Table1[[#This Row],[Age]]&lt;=18,"0-18",IF(Table1[[#This Row],[Age]]&lt;=35,"19-35",IF(Table1[[#This Row],[Age]]&lt;=50,"36-50",IF(Table1[[#This Row],[Age]]&lt;=65,"51-65","65+"))))</f>
        <v>65+</v>
      </c>
    </row>
    <row r="1233" spans="1:19" x14ac:dyDescent="0.3">
      <c r="A1233" s="3" t="s">
        <v>3736</v>
      </c>
      <c r="B1233" s="3">
        <v>31</v>
      </c>
      <c r="C1233" s="3" t="s">
        <v>16</v>
      </c>
      <c r="D1233" s="3" t="s">
        <v>26</v>
      </c>
      <c r="E1233" s="3" t="s">
        <v>76</v>
      </c>
      <c r="F1233" s="4">
        <v>43925</v>
      </c>
      <c r="G1233" s="3" t="s">
        <v>3737</v>
      </c>
      <c r="H1233" s="3" t="s">
        <v>3738</v>
      </c>
      <c r="I1233" s="3" t="s">
        <v>21</v>
      </c>
      <c r="J1233" s="5">
        <v>40818.296958477003</v>
      </c>
      <c r="K1233" s="3">
        <v>158</v>
      </c>
      <c r="L1233" s="3" t="s">
        <v>46</v>
      </c>
      <c r="M1233" s="4">
        <v>43926</v>
      </c>
      <c r="N1233" s="3" t="s">
        <v>32</v>
      </c>
      <c r="O1233" s="3" t="s">
        <v>47</v>
      </c>
      <c r="P1233" s="3" t="str">
        <f>IF(Table1[[#This Row],[Billing Amount]]&lt;5000,"Low",IF(Table1[[#This Row],[Billing Amount]]&lt;=15000,"Medium","High"))</f>
        <v>High</v>
      </c>
      <c r="Q1233" s="3" t="str">
        <f>IF(Table1[[#This Row],[Discharge Date]]="Yes","Discharged","Under Treatment")</f>
        <v>Under Treatment</v>
      </c>
      <c r="R1233" s="3" t="str">
        <f>IF(Table1[[#This Row],[Test Results]]&gt;120,"High Risk","Normal")</f>
        <v>High Risk</v>
      </c>
      <c r="S1233" s="3" t="str">
        <f>IF(Table1[[#This Row],[Age]]&lt;=18,"0-18",IF(Table1[[#This Row],[Age]]&lt;=35,"19-35",IF(Table1[[#This Row],[Age]]&lt;=50,"36-50",IF(Table1[[#This Row],[Age]]&lt;=65,"51-65","65+"))))</f>
        <v>19-35</v>
      </c>
    </row>
    <row r="1234" spans="1:19" x14ac:dyDescent="0.3">
      <c r="A1234" s="3" t="s">
        <v>3739</v>
      </c>
      <c r="B1234" s="3">
        <v>36</v>
      </c>
      <c r="C1234" s="3" t="s">
        <v>35</v>
      </c>
      <c r="D1234" s="3" t="s">
        <v>17</v>
      </c>
      <c r="E1234" s="3" t="s">
        <v>76</v>
      </c>
      <c r="F1234" s="4">
        <v>44456</v>
      </c>
      <c r="G1234" s="3" t="s">
        <v>3740</v>
      </c>
      <c r="H1234" s="3" t="s">
        <v>3741</v>
      </c>
      <c r="I1234" s="3" t="s">
        <v>21</v>
      </c>
      <c r="J1234" s="5">
        <v>14854.8499839203</v>
      </c>
      <c r="K1234" s="3">
        <v>314</v>
      </c>
      <c r="L1234" s="3" t="s">
        <v>31</v>
      </c>
      <c r="M1234" s="4">
        <v>44464</v>
      </c>
      <c r="N1234" s="3" t="s">
        <v>40</v>
      </c>
      <c r="O1234" s="3" t="s">
        <v>33</v>
      </c>
      <c r="P1234" s="3" t="str">
        <f>IF(Table1[[#This Row],[Billing Amount]]&lt;5000,"Low",IF(Table1[[#This Row],[Billing Amount]]&lt;=15000,"Medium","High"))</f>
        <v>Medium</v>
      </c>
      <c r="Q1234" s="3" t="str">
        <f>IF(Table1[[#This Row],[Discharge Date]]="Yes","Discharged","Under Treatment")</f>
        <v>Under Treatment</v>
      </c>
      <c r="R1234" s="3" t="str">
        <f>IF(Table1[[#This Row],[Test Results]]&gt;120,"High Risk","Normal")</f>
        <v>High Risk</v>
      </c>
      <c r="S1234" s="3" t="str">
        <f>IF(Table1[[#This Row],[Age]]&lt;=18,"0-18",IF(Table1[[#This Row],[Age]]&lt;=35,"19-35",IF(Table1[[#This Row],[Age]]&lt;=50,"36-50",IF(Table1[[#This Row],[Age]]&lt;=65,"51-65","65+"))))</f>
        <v>36-50</v>
      </c>
    </row>
    <row r="1235" spans="1:19" x14ac:dyDescent="0.3">
      <c r="A1235" s="3" t="s">
        <v>3742</v>
      </c>
      <c r="B1235" s="3">
        <v>85</v>
      </c>
      <c r="C1235" s="3" t="s">
        <v>35</v>
      </c>
      <c r="D1235" s="3" t="s">
        <v>36</v>
      </c>
      <c r="E1235" s="3" t="s">
        <v>93</v>
      </c>
      <c r="F1235" s="4">
        <v>44929</v>
      </c>
      <c r="G1235" s="3" t="s">
        <v>3743</v>
      </c>
      <c r="H1235" s="3" t="s">
        <v>3744</v>
      </c>
      <c r="I1235" s="3" t="s">
        <v>21</v>
      </c>
      <c r="J1235" s="5">
        <v>28906.050682606001</v>
      </c>
      <c r="K1235" s="3">
        <v>267</v>
      </c>
      <c r="L1235" s="3" t="s">
        <v>31</v>
      </c>
      <c r="M1235" s="4">
        <v>44930</v>
      </c>
      <c r="N1235" s="3" t="s">
        <v>40</v>
      </c>
      <c r="O1235" s="3" t="s">
        <v>47</v>
      </c>
      <c r="P1235" s="3" t="str">
        <f>IF(Table1[[#This Row],[Billing Amount]]&lt;5000,"Low",IF(Table1[[#This Row],[Billing Amount]]&lt;=15000,"Medium","High"))</f>
        <v>High</v>
      </c>
      <c r="Q1235" s="3" t="str">
        <f>IF(Table1[[#This Row],[Discharge Date]]="Yes","Discharged","Under Treatment")</f>
        <v>Under Treatment</v>
      </c>
      <c r="R1235" s="3" t="str">
        <f>IF(Table1[[#This Row],[Test Results]]&gt;120,"High Risk","Normal")</f>
        <v>High Risk</v>
      </c>
      <c r="S1235" s="3" t="str">
        <f>IF(Table1[[#This Row],[Age]]&lt;=18,"0-18",IF(Table1[[#This Row],[Age]]&lt;=35,"19-35",IF(Table1[[#This Row],[Age]]&lt;=50,"36-50",IF(Table1[[#This Row],[Age]]&lt;=65,"51-65","65+"))))</f>
        <v>65+</v>
      </c>
    </row>
    <row r="1236" spans="1:19" x14ac:dyDescent="0.3">
      <c r="A1236" s="3" t="s">
        <v>3745</v>
      </c>
      <c r="B1236" s="3">
        <v>78</v>
      </c>
      <c r="C1236" s="3" t="s">
        <v>35</v>
      </c>
      <c r="D1236" s="3" t="s">
        <v>103</v>
      </c>
      <c r="E1236" s="3" t="s">
        <v>43</v>
      </c>
      <c r="F1236" s="4">
        <v>44865</v>
      </c>
      <c r="G1236" s="3" t="s">
        <v>3746</v>
      </c>
      <c r="H1236" s="3" t="s">
        <v>3747</v>
      </c>
      <c r="I1236" s="3" t="s">
        <v>21</v>
      </c>
      <c r="J1236" s="5">
        <v>11702.1199833262</v>
      </c>
      <c r="K1236" s="3">
        <v>462</v>
      </c>
      <c r="L1236" s="3" t="s">
        <v>31</v>
      </c>
      <c r="M1236" s="4">
        <v>44890</v>
      </c>
      <c r="N1236" s="3" t="s">
        <v>79</v>
      </c>
      <c r="O1236" s="3" t="s">
        <v>47</v>
      </c>
      <c r="P1236" s="3" t="str">
        <f>IF(Table1[[#This Row],[Billing Amount]]&lt;5000,"Low",IF(Table1[[#This Row],[Billing Amount]]&lt;=15000,"Medium","High"))</f>
        <v>Medium</v>
      </c>
      <c r="Q1236" s="3" t="str">
        <f>IF(Table1[[#This Row],[Discharge Date]]="Yes","Discharged","Under Treatment")</f>
        <v>Under Treatment</v>
      </c>
      <c r="R1236" s="3" t="str">
        <f>IF(Table1[[#This Row],[Test Results]]&gt;120,"High Risk","Normal")</f>
        <v>High Risk</v>
      </c>
      <c r="S1236" s="3" t="str">
        <f>IF(Table1[[#This Row],[Age]]&lt;=18,"0-18",IF(Table1[[#This Row],[Age]]&lt;=35,"19-35",IF(Table1[[#This Row],[Age]]&lt;=50,"36-50",IF(Table1[[#This Row],[Age]]&lt;=65,"51-65","65+"))))</f>
        <v>65+</v>
      </c>
    </row>
    <row r="1237" spans="1:19" x14ac:dyDescent="0.3">
      <c r="A1237" s="3" t="s">
        <v>3748</v>
      </c>
      <c r="B1237" s="3">
        <v>62</v>
      </c>
      <c r="C1237" s="3" t="s">
        <v>16</v>
      </c>
      <c r="D1237" s="3" t="s">
        <v>42</v>
      </c>
      <c r="E1237" s="3" t="s">
        <v>43</v>
      </c>
      <c r="F1237" s="4">
        <v>43821</v>
      </c>
      <c r="G1237" s="3" t="s">
        <v>3749</v>
      </c>
      <c r="H1237" s="3" t="s">
        <v>3750</v>
      </c>
      <c r="I1237" s="3" t="s">
        <v>30</v>
      </c>
      <c r="J1237" s="5">
        <v>17243.698276402301</v>
      </c>
      <c r="K1237" s="3">
        <v>145</v>
      </c>
      <c r="L1237" s="3" t="s">
        <v>22</v>
      </c>
      <c r="M1237" s="4">
        <v>43842</v>
      </c>
      <c r="N1237" s="3" t="s">
        <v>32</v>
      </c>
      <c r="O1237" s="3" t="s">
        <v>33</v>
      </c>
      <c r="P1237" s="3" t="str">
        <f>IF(Table1[[#This Row],[Billing Amount]]&lt;5000,"Low",IF(Table1[[#This Row],[Billing Amount]]&lt;=15000,"Medium","High"))</f>
        <v>High</v>
      </c>
      <c r="Q1237" s="3" t="str">
        <f>IF(Table1[[#This Row],[Discharge Date]]="Yes","Discharged","Under Treatment")</f>
        <v>Under Treatment</v>
      </c>
      <c r="R1237" s="3" t="str">
        <f>IF(Table1[[#This Row],[Test Results]]&gt;120,"High Risk","Normal")</f>
        <v>High Risk</v>
      </c>
      <c r="S1237" s="3" t="str">
        <f>IF(Table1[[#This Row],[Age]]&lt;=18,"0-18",IF(Table1[[#This Row],[Age]]&lt;=35,"19-35",IF(Table1[[#This Row],[Age]]&lt;=50,"36-50",IF(Table1[[#This Row],[Age]]&lt;=65,"51-65","65+"))))</f>
        <v>51-65</v>
      </c>
    </row>
    <row r="1238" spans="1:19" x14ac:dyDescent="0.3">
      <c r="A1238" s="3" t="s">
        <v>3751</v>
      </c>
      <c r="B1238" s="3">
        <v>59</v>
      </c>
      <c r="C1238" s="3" t="s">
        <v>35</v>
      </c>
      <c r="D1238" s="3" t="s">
        <v>36</v>
      </c>
      <c r="E1238" s="3" t="s">
        <v>43</v>
      </c>
      <c r="F1238" s="4">
        <v>44655</v>
      </c>
      <c r="G1238" s="3" t="s">
        <v>3752</v>
      </c>
      <c r="H1238" s="3" t="s">
        <v>3753</v>
      </c>
      <c r="I1238" s="3" t="s">
        <v>65</v>
      </c>
      <c r="J1238" s="5">
        <v>41851.423366199</v>
      </c>
      <c r="K1238" s="3">
        <v>331</v>
      </c>
      <c r="L1238" s="3" t="s">
        <v>22</v>
      </c>
      <c r="M1238" s="4">
        <v>44664</v>
      </c>
      <c r="N1238" s="3" t="s">
        <v>40</v>
      </c>
      <c r="O1238" s="3" t="s">
        <v>24</v>
      </c>
      <c r="P1238" s="3" t="str">
        <f>IF(Table1[[#This Row],[Billing Amount]]&lt;5000,"Low",IF(Table1[[#This Row],[Billing Amount]]&lt;=15000,"Medium","High"))</f>
        <v>High</v>
      </c>
      <c r="Q1238" s="3" t="str">
        <f>IF(Table1[[#This Row],[Discharge Date]]="Yes","Discharged","Under Treatment")</f>
        <v>Under Treatment</v>
      </c>
      <c r="R1238" s="3" t="str">
        <f>IF(Table1[[#This Row],[Test Results]]&gt;120,"High Risk","Normal")</f>
        <v>High Risk</v>
      </c>
      <c r="S1238" s="3" t="str">
        <f>IF(Table1[[#This Row],[Age]]&lt;=18,"0-18",IF(Table1[[#This Row],[Age]]&lt;=35,"19-35",IF(Table1[[#This Row],[Age]]&lt;=50,"36-50",IF(Table1[[#This Row],[Age]]&lt;=65,"51-65","65+"))))</f>
        <v>51-65</v>
      </c>
    </row>
    <row r="1239" spans="1:19" x14ac:dyDescent="0.3">
      <c r="A1239" s="3" t="s">
        <v>3754</v>
      </c>
      <c r="B1239" s="3">
        <v>36</v>
      </c>
      <c r="C1239" s="3" t="s">
        <v>35</v>
      </c>
      <c r="D1239" s="3" t="s">
        <v>103</v>
      </c>
      <c r="E1239" s="3" t="s">
        <v>27</v>
      </c>
      <c r="F1239" s="4">
        <v>45082</v>
      </c>
      <c r="G1239" s="3" t="s">
        <v>3755</v>
      </c>
      <c r="H1239" s="3" t="s">
        <v>3756</v>
      </c>
      <c r="I1239" s="3" t="s">
        <v>21</v>
      </c>
      <c r="J1239" s="5">
        <v>26725.433219464801</v>
      </c>
      <c r="K1239" s="3">
        <v>404</v>
      </c>
      <c r="L1239" s="3" t="s">
        <v>46</v>
      </c>
      <c r="M1239" s="4">
        <v>45102</v>
      </c>
      <c r="N1239" s="3" t="s">
        <v>32</v>
      </c>
      <c r="O1239" s="3" t="s">
        <v>33</v>
      </c>
      <c r="P1239" s="3" t="str">
        <f>IF(Table1[[#This Row],[Billing Amount]]&lt;5000,"Low",IF(Table1[[#This Row],[Billing Amount]]&lt;=15000,"Medium","High"))</f>
        <v>High</v>
      </c>
      <c r="Q1239" s="3" t="str">
        <f>IF(Table1[[#This Row],[Discharge Date]]="Yes","Discharged","Under Treatment")</f>
        <v>Under Treatment</v>
      </c>
      <c r="R1239" s="3" t="str">
        <f>IF(Table1[[#This Row],[Test Results]]&gt;120,"High Risk","Normal")</f>
        <v>High Risk</v>
      </c>
      <c r="S1239" s="3" t="str">
        <f>IF(Table1[[#This Row],[Age]]&lt;=18,"0-18",IF(Table1[[#This Row],[Age]]&lt;=35,"19-35",IF(Table1[[#This Row],[Age]]&lt;=50,"36-50",IF(Table1[[#This Row],[Age]]&lt;=65,"51-65","65+"))))</f>
        <v>36-50</v>
      </c>
    </row>
    <row r="1240" spans="1:19" x14ac:dyDescent="0.3">
      <c r="A1240" s="3" t="s">
        <v>3757</v>
      </c>
      <c r="B1240" s="3">
        <v>40</v>
      </c>
      <c r="C1240" s="3" t="s">
        <v>16</v>
      </c>
      <c r="D1240" s="3" t="s">
        <v>103</v>
      </c>
      <c r="E1240" s="3" t="s">
        <v>27</v>
      </c>
      <c r="F1240" s="4">
        <v>45257</v>
      </c>
      <c r="G1240" s="3" t="s">
        <v>3758</v>
      </c>
      <c r="H1240" s="3" t="s">
        <v>3759</v>
      </c>
      <c r="I1240" s="3" t="s">
        <v>30</v>
      </c>
      <c r="J1240" s="5">
        <v>26816.705862906099</v>
      </c>
      <c r="K1240" s="3">
        <v>353</v>
      </c>
      <c r="L1240" s="3" t="s">
        <v>22</v>
      </c>
      <c r="M1240" s="4">
        <v>45263</v>
      </c>
      <c r="N1240" s="3" t="s">
        <v>40</v>
      </c>
      <c r="O1240" s="3" t="s">
        <v>33</v>
      </c>
      <c r="P1240" s="3" t="str">
        <f>IF(Table1[[#This Row],[Billing Amount]]&lt;5000,"Low",IF(Table1[[#This Row],[Billing Amount]]&lt;=15000,"Medium","High"))</f>
        <v>High</v>
      </c>
      <c r="Q1240" s="3" t="str">
        <f>IF(Table1[[#This Row],[Discharge Date]]="Yes","Discharged","Under Treatment")</f>
        <v>Under Treatment</v>
      </c>
      <c r="R1240" s="3" t="str">
        <f>IF(Table1[[#This Row],[Test Results]]&gt;120,"High Risk","Normal")</f>
        <v>High Risk</v>
      </c>
      <c r="S1240" s="3" t="str">
        <f>IF(Table1[[#This Row],[Age]]&lt;=18,"0-18",IF(Table1[[#This Row],[Age]]&lt;=35,"19-35",IF(Table1[[#This Row],[Age]]&lt;=50,"36-50",IF(Table1[[#This Row],[Age]]&lt;=65,"51-65","65+"))))</f>
        <v>36-50</v>
      </c>
    </row>
    <row r="1241" spans="1:19" x14ac:dyDescent="0.3">
      <c r="A1241" s="3" t="s">
        <v>3760</v>
      </c>
      <c r="B1241" s="3">
        <v>74</v>
      </c>
      <c r="C1241" s="3" t="s">
        <v>35</v>
      </c>
      <c r="D1241" s="3" t="s">
        <v>59</v>
      </c>
      <c r="E1241" s="3" t="s">
        <v>43</v>
      </c>
      <c r="F1241" s="4">
        <v>44382</v>
      </c>
      <c r="G1241" s="3" t="s">
        <v>3761</v>
      </c>
      <c r="H1241" s="3" t="s">
        <v>3762</v>
      </c>
      <c r="I1241" s="3" t="s">
        <v>65</v>
      </c>
      <c r="J1241" s="5">
        <v>32667.246523797799</v>
      </c>
      <c r="K1241" s="3">
        <v>415</v>
      </c>
      <c r="L1241" s="3" t="s">
        <v>31</v>
      </c>
      <c r="M1241" s="4">
        <v>44392</v>
      </c>
      <c r="N1241" s="3" t="s">
        <v>23</v>
      </c>
      <c r="O1241" s="3" t="s">
        <v>47</v>
      </c>
      <c r="P1241" s="3" t="str">
        <f>IF(Table1[[#This Row],[Billing Amount]]&lt;5000,"Low",IF(Table1[[#This Row],[Billing Amount]]&lt;=15000,"Medium","High"))</f>
        <v>High</v>
      </c>
      <c r="Q1241" s="3" t="str">
        <f>IF(Table1[[#This Row],[Discharge Date]]="Yes","Discharged","Under Treatment")</f>
        <v>Under Treatment</v>
      </c>
      <c r="R1241" s="3" t="str">
        <f>IF(Table1[[#This Row],[Test Results]]&gt;120,"High Risk","Normal")</f>
        <v>High Risk</v>
      </c>
      <c r="S1241" s="3" t="str">
        <f>IF(Table1[[#This Row],[Age]]&lt;=18,"0-18",IF(Table1[[#This Row],[Age]]&lt;=35,"19-35",IF(Table1[[#This Row],[Age]]&lt;=50,"36-50",IF(Table1[[#This Row],[Age]]&lt;=65,"51-65","65+"))))</f>
        <v>65+</v>
      </c>
    </row>
    <row r="1242" spans="1:19" x14ac:dyDescent="0.3">
      <c r="A1242" s="3" t="s">
        <v>3763</v>
      </c>
      <c r="B1242" s="3">
        <v>85</v>
      </c>
      <c r="C1242" s="3" t="s">
        <v>16</v>
      </c>
      <c r="D1242" s="3" t="s">
        <v>36</v>
      </c>
      <c r="E1242" s="3" t="s">
        <v>76</v>
      </c>
      <c r="F1242" s="4">
        <v>45185</v>
      </c>
      <c r="G1242" s="3" t="s">
        <v>3764</v>
      </c>
      <c r="H1242" s="3" t="s">
        <v>3765</v>
      </c>
      <c r="I1242" s="3" t="s">
        <v>57</v>
      </c>
      <c r="J1242" s="5">
        <v>1041.7150226394201</v>
      </c>
      <c r="K1242" s="3">
        <v>387</v>
      </c>
      <c r="L1242" s="3" t="s">
        <v>22</v>
      </c>
      <c r="M1242" s="4">
        <v>45203</v>
      </c>
      <c r="N1242" s="3" t="s">
        <v>23</v>
      </c>
      <c r="O1242" s="3" t="s">
        <v>24</v>
      </c>
      <c r="P1242" s="3" t="str">
        <f>IF(Table1[[#This Row],[Billing Amount]]&lt;5000,"Low",IF(Table1[[#This Row],[Billing Amount]]&lt;=15000,"Medium","High"))</f>
        <v>Low</v>
      </c>
      <c r="Q1242" s="3" t="str">
        <f>IF(Table1[[#This Row],[Discharge Date]]="Yes","Discharged","Under Treatment")</f>
        <v>Under Treatment</v>
      </c>
      <c r="R1242" s="3" t="str">
        <f>IF(Table1[[#This Row],[Test Results]]&gt;120,"High Risk","Normal")</f>
        <v>High Risk</v>
      </c>
      <c r="S1242" s="3" t="str">
        <f>IF(Table1[[#This Row],[Age]]&lt;=18,"0-18",IF(Table1[[#This Row],[Age]]&lt;=35,"19-35",IF(Table1[[#This Row],[Age]]&lt;=50,"36-50",IF(Table1[[#This Row],[Age]]&lt;=65,"51-65","65+"))))</f>
        <v>65+</v>
      </c>
    </row>
    <row r="1243" spans="1:19" x14ac:dyDescent="0.3">
      <c r="A1243" s="3" t="s">
        <v>3766</v>
      </c>
      <c r="B1243" s="3">
        <v>70</v>
      </c>
      <c r="C1243" s="3" t="s">
        <v>35</v>
      </c>
      <c r="D1243" s="3" t="s">
        <v>122</v>
      </c>
      <c r="E1243" s="3" t="s">
        <v>27</v>
      </c>
      <c r="F1243" s="4">
        <v>43710</v>
      </c>
      <c r="G1243" s="3" t="s">
        <v>3767</v>
      </c>
      <c r="H1243" s="3" t="s">
        <v>3768</v>
      </c>
      <c r="I1243" s="3" t="s">
        <v>65</v>
      </c>
      <c r="J1243" s="5">
        <v>23792.250161739099</v>
      </c>
      <c r="K1243" s="3">
        <v>376</v>
      </c>
      <c r="L1243" s="3" t="s">
        <v>31</v>
      </c>
      <c r="M1243" s="4">
        <v>43722</v>
      </c>
      <c r="N1243" s="3" t="s">
        <v>40</v>
      </c>
      <c r="O1243" s="3" t="s">
        <v>24</v>
      </c>
      <c r="P1243" s="3" t="str">
        <f>IF(Table1[[#This Row],[Billing Amount]]&lt;5000,"Low",IF(Table1[[#This Row],[Billing Amount]]&lt;=15000,"Medium","High"))</f>
        <v>High</v>
      </c>
      <c r="Q1243" s="3" t="str">
        <f>IF(Table1[[#This Row],[Discharge Date]]="Yes","Discharged","Under Treatment")</f>
        <v>Under Treatment</v>
      </c>
      <c r="R1243" s="3" t="str">
        <f>IF(Table1[[#This Row],[Test Results]]&gt;120,"High Risk","Normal")</f>
        <v>High Risk</v>
      </c>
      <c r="S1243" s="3" t="str">
        <f>IF(Table1[[#This Row],[Age]]&lt;=18,"0-18",IF(Table1[[#This Row],[Age]]&lt;=35,"19-35",IF(Table1[[#This Row],[Age]]&lt;=50,"36-50",IF(Table1[[#This Row],[Age]]&lt;=65,"51-65","65+"))))</f>
        <v>65+</v>
      </c>
    </row>
    <row r="1244" spans="1:19" x14ac:dyDescent="0.3">
      <c r="A1244" s="3" t="s">
        <v>3769</v>
      </c>
      <c r="B1244" s="3">
        <v>68</v>
      </c>
      <c r="C1244" s="3" t="s">
        <v>16</v>
      </c>
      <c r="D1244" s="3" t="s">
        <v>42</v>
      </c>
      <c r="E1244" s="3" t="s">
        <v>43</v>
      </c>
      <c r="F1244" s="4">
        <v>44280</v>
      </c>
      <c r="G1244" s="3" t="s">
        <v>3770</v>
      </c>
      <c r="H1244" s="3" t="s">
        <v>3771</v>
      </c>
      <c r="I1244" s="3" t="s">
        <v>57</v>
      </c>
      <c r="J1244" s="5">
        <v>22355.778861862302</v>
      </c>
      <c r="K1244" s="3">
        <v>301</v>
      </c>
      <c r="L1244" s="3" t="s">
        <v>31</v>
      </c>
      <c r="M1244" s="4">
        <v>44286</v>
      </c>
      <c r="N1244" s="3" t="s">
        <v>40</v>
      </c>
      <c r="O1244" s="3" t="s">
        <v>33</v>
      </c>
      <c r="P1244" s="3" t="str">
        <f>IF(Table1[[#This Row],[Billing Amount]]&lt;5000,"Low",IF(Table1[[#This Row],[Billing Amount]]&lt;=15000,"Medium","High"))</f>
        <v>High</v>
      </c>
      <c r="Q1244" s="3" t="str">
        <f>IF(Table1[[#This Row],[Discharge Date]]="Yes","Discharged","Under Treatment")</f>
        <v>Under Treatment</v>
      </c>
      <c r="R1244" s="3" t="str">
        <f>IF(Table1[[#This Row],[Test Results]]&gt;120,"High Risk","Normal")</f>
        <v>High Risk</v>
      </c>
      <c r="S1244" s="3" t="str">
        <f>IF(Table1[[#This Row],[Age]]&lt;=18,"0-18",IF(Table1[[#This Row],[Age]]&lt;=35,"19-35",IF(Table1[[#This Row],[Age]]&lt;=50,"36-50",IF(Table1[[#This Row],[Age]]&lt;=65,"51-65","65+"))))</f>
        <v>65+</v>
      </c>
    </row>
    <row r="1245" spans="1:19" x14ac:dyDescent="0.3">
      <c r="A1245" s="3" t="s">
        <v>3772</v>
      </c>
      <c r="B1245" s="3">
        <v>47</v>
      </c>
      <c r="C1245" s="3" t="s">
        <v>35</v>
      </c>
      <c r="D1245" s="3" t="s">
        <v>122</v>
      </c>
      <c r="E1245" s="3" t="s">
        <v>18</v>
      </c>
      <c r="F1245" s="4">
        <v>44462</v>
      </c>
      <c r="G1245" s="3" t="s">
        <v>3773</v>
      </c>
      <c r="H1245" s="3" t="s">
        <v>3774</v>
      </c>
      <c r="I1245" s="3" t="s">
        <v>21</v>
      </c>
      <c r="J1245" s="5">
        <v>8982.4314908906599</v>
      </c>
      <c r="K1245" s="3">
        <v>460</v>
      </c>
      <c r="L1245" s="3" t="s">
        <v>22</v>
      </c>
      <c r="M1245" s="4">
        <v>44464</v>
      </c>
      <c r="N1245" s="3" t="s">
        <v>79</v>
      </c>
      <c r="O1245" s="3" t="s">
        <v>47</v>
      </c>
      <c r="P1245" s="3" t="str">
        <f>IF(Table1[[#This Row],[Billing Amount]]&lt;5000,"Low",IF(Table1[[#This Row],[Billing Amount]]&lt;=15000,"Medium","High"))</f>
        <v>Medium</v>
      </c>
      <c r="Q1245" s="3" t="str">
        <f>IF(Table1[[#This Row],[Discharge Date]]="Yes","Discharged","Under Treatment")</f>
        <v>Under Treatment</v>
      </c>
      <c r="R1245" s="3" t="str">
        <f>IF(Table1[[#This Row],[Test Results]]&gt;120,"High Risk","Normal")</f>
        <v>High Risk</v>
      </c>
      <c r="S1245" s="3" t="str">
        <f>IF(Table1[[#This Row],[Age]]&lt;=18,"0-18",IF(Table1[[#This Row],[Age]]&lt;=35,"19-35",IF(Table1[[#This Row],[Age]]&lt;=50,"36-50",IF(Table1[[#This Row],[Age]]&lt;=65,"51-65","65+"))))</f>
        <v>36-50</v>
      </c>
    </row>
    <row r="1246" spans="1:19" x14ac:dyDescent="0.3">
      <c r="A1246" s="3" t="s">
        <v>3775</v>
      </c>
      <c r="B1246" s="3">
        <v>69</v>
      </c>
      <c r="C1246" s="3" t="s">
        <v>16</v>
      </c>
      <c r="D1246" s="3" t="s">
        <v>26</v>
      </c>
      <c r="E1246" s="3" t="s">
        <v>18</v>
      </c>
      <c r="F1246" s="4">
        <v>44288</v>
      </c>
      <c r="G1246" s="3" t="s">
        <v>3776</v>
      </c>
      <c r="H1246" s="3" t="s">
        <v>3777</v>
      </c>
      <c r="I1246" s="3" t="s">
        <v>57</v>
      </c>
      <c r="J1246" s="5">
        <v>10276.908691971499</v>
      </c>
      <c r="K1246" s="3">
        <v>484</v>
      </c>
      <c r="L1246" s="3" t="s">
        <v>31</v>
      </c>
      <c r="M1246" s="4">
        <v>44317</v>
      </c>
      <c r="N1246" s="3" t="s">
        <v>40</v>
      </c>
      <c r="O1246" s="3" t="s">
        <v>24</v>
      </c>
      <c r="P1246" s="3" t="str">
        <f>IF(Table1[[#This Row],[Billing Amount]]&lt;5000,"Low",IF(Table1[[#This Row],[Billing Amount]]&lt;=15000,"Medium","High"))</f>
        <v>Medium</v>
      </c>
      <c r="Q1246" s="3" t="str">
        <f>IF(Table1[[#This Row],[Discharge Date]]="Yes","Discharged","Under Treatment")</f>
        <v>Under Treatment</v>
      </c>
      <c r="R1246" s="3" t="str">
        <f>IF(Table1[[#This Row],[Test Results]]&gt;120,"High Risk","Normal")</f>
        <v>High Risk</v>
      </c>
      <c r="S1246" s="3" t="str">
        <f>IF(Table1[[#This Row],[Age]]&lt;=18,"0-18",IF(Table1[[#This Row],[Age]]&lt;=35,"19-35",IF(Table1[[#This Row],[Age]]&lt;=50,"36-50",IF(Table1[[#This Row],[Age]]&lt;=65,"51-65","65+"))))</f>
        <v>65+</v>
      </c>
    </row>
    <row r="1247" spans="1:19" x14ac:dyDescent="0.3">
      <c r="A1247" s="3" t="s">
        <v>3778</v>
      </c>
      <c r="B1247" s="3">
        <v>77</v>
      </c>
      <c r="C1247" s="3" t="s">
        <v>16</v>
      </c>
      <c r="D1247" s="3" t="s">
        <v>59</v>
      </c>
      <c r="E1247" s="3" t="s">
        <v>43</v>
      </c>
      <c r="F1247" s="4">
        <v>44564</v>
      </c>
      <c r="G1247" s="3" t="s">
        <v>3566</v>
      </c>
      <c r="H1247" s="3" t="s">
        <v>3779</v>
      </c>
      <c r="I1247" s="3" t="s">
        <v>39</v>
      </c>
      <c r="J1247" s="5">
        <v>27741.495960093202</v>
      </c>
      <c r="K1247" s="3">
        <v>491</v>
      </c>
      <c r="L1247" s="3" t="s">
        <v>46</v>
      </c>
      <c r="M1247" s="4">
        <v>44586</v>
      </c>
      <c r="N1247" s="3" t="s">
        <v>79</v>
      </c>
      <c r="O1247" s="3" t="s">
        <v>33</v>
      </c>
      <c r="P1247" s="3" t="str">
        <f>IF(Table1[[#This Row],[Billing Amount]]&lt;5000,"Low",IF(Table1[[#This Row],[Billing Amount]]&lt;=15000,"Medium","High"))</f>
        <v>High</v>
      </c>
      <c r="Q1247" s="3" t="str">
        <f>IF(Table1[[#This Row],[Discharge Date]]="Yes","Discharged","Under Treatment")</f>
        <v>Under Treatment</v>
      </c>
      <c r="R1247" s="3" t="str">
        <f>IF(Table1[[#This Row],[Test Results]]&gt;120,"High Risk","Normal")</f>
        <v>High Risk</v>
      </c>
      <c r="S1247" s="3" t="str">
        <f>IF(Table1[[#This Row],[Age]]&lt;=18,"0-18",IF(Table1[[#This Row],[Age]]&lt;=35,"19-35",IF(Table1[[#This Row],[Age]]&lt;=50,"36-50",IF(Table1[[#This Row],[Age]]&lt;=65,"51-65","65+"))))</f>
        <v>65+</v>
      </c>
    </row>
    <row r="1248" spans="1:19" x14ac:dyDescent="0.3">
      <c r="A1248" s="3" t="s">
        <v>3780</v>
      </c>
      <c r="B1248" s="3">
        <v>70</v>
      </c>
      <c r="C1248" s="3" t="s">
        <v>35</v>
      </c>
      <c r="D1248" s="3" t="s">
        <v>103</v>
      </c>
      <c r="E1248" s="3" t="s">
        <v>27</v>
      </c>
      <c r="F1248" s="4">
        <v>43880</v>
      </c>
      <c r="G1248" s="3" t="s">
        <v>3781</v>
      </c>
      <c r="H1248" s="3" t="s">
        <v>3782</v>
      </c>
      <c r="I1248" s="3" t="s">
        <v>30</v>
      </c>
      <c r="J1248" s="5">
        <v>9218.6424068216402</v>
      </c>
      <c r="K1248" s="3">
        <v>402</v>
      </c>
      <c r="L1248" s="3" t="s">
        <v>22</v>
      </c>
      <c r="M1248" s="4">
        <v>43892</v>
      </c>
      <c r="N1248" s="3" t="s">
        <v>32</v>
      </c>
      <c r="O1248" s="3" t="s">
        <v>47</v>
      </c>
      <c r="P1248" s="3" t="str">
        <f>IF(Table1[[#This Row],[Billing Amount]]&lt;5000,"Low",IF(Table1[[#This Row],[Billing Amount]]&lt;=15000,"Medium","High"))</f>
        <v>Medium</v>
      </c>
      <c r="Q1248" s="3" t="str">
        <f>IF(Table1[[#This Row],[Discharge Date]]="Yes","Discharged","Under Treatment")</f>
        <v>Under Treatment</v>
      </c>
      <c r="R1248" s="3" t="str">
        <f>IF(Table1[[#This Row],[Test Results]]&gt;120,"High Risk","Normal")</f>
        <v>High Risk</v>
      </c>
      <c r="S1248" s="3" t="str">
        <f>IF(Table1[[#This Row],[Age]]&lt;=18,"0-18",IF(Table1[[#This Row],[Age]]&lt;=35,"19-35",IF(Table1[[#This Row],[Age]]&lt;=50,"36-50",IF(Table1[[#This Row],[Age]]&lt;=65,"51-65","65+"))))</f>
        <v>65+</v>
      </c>
    </row>
    <row r="1249" spans="1:19" x14ac:dyDescent="0.3">
      <c r="A1249" s="3" t="s">
        <v>3783</v>
      </c>
      <c r="B1249" s="3">
        <v>47</v>
      </c>
      <c r="C1249" s="3" t="s">
        <v>16</v>
      </c>
      <c r="D1249" s="3" t="s">
        <v>26</v>
      </c>
      <c r="E1249" s="3" t="s">
        <v>43</v>
      </c>
      <c r="F1249" s="4">
        <v>44423</v>
      </c>
      <c r="G1249" s="3" t="s">
        <v>3784</v>
      </c>
      <c r="H1249" s="3" t="s">
        <v>3785</v>
      </c>
      <c r="I1249" s="3" t="s">
        <v>65</v>
      </c>
      <c r="J1249" s="5">
        <v>50063.8199522328</v>
      </c>
      <c r="K1249" s="3">
        <v>449</v>
      </c>
      <c r="L1249" s="3" t="s">
        <v>22</v>
      </c>
      <c r="M1249" s="4">
        <v>44443</v>
      </c>
      <c r="N1249" s="3" t="s">
        <v>40</v>
      </c>
      <c r="O1249" s="3" t="s">
        <v>33</v>
      </c>
      <c r="P1249" s="3" t="str">
        <f>IF(Table1[[#This Row],[Billing Amount]]&lt;5000,"Low",IF(Table1[[#This Row],[Billing Amount]]&lt;=15000,"Medium","High"))</f>
        <v>High</v>
      </c>
      <c r="Q1249" s="3" t="str">
        <f>IF(Table1[[#This Row],[Discharge Date]]="Yes","Discharged","Under Treatment")</f>
        <v>Under Treatment</v>
      </c>
      <c r="R1249" s="3" t="str">
        <f>IF(Table1[[#This Row],[Test Results]]&gt;120,"High Risk","Normal")</f>
        <v>High Risk</v>
      </c>
      <c r="S1249" s="3" t="str">
        <f>IF(Table1[[#This Row],[Age]]&lt;=18,"0-18",IF(Table1[[#This Row],[Age]]&lt;=35,"19-35",IF(Table1[[#This Row],[Age]]&lt;=50,"36-50",IF(Table1[[#This Row],[Age]]&lt;=65,"51-65","65+"))))</f>
        <v>36-50</v>
      </c>
    </row>
    <row r="1250" spans="1:19" x14ac:dyDescent="0.3">
      <c r="A1250" s="3" t="s">
        <v>3786</v>
      </c>
      <c r="B1250" s="3">
        <v>79</v>
      </c>
      <c r="C1250" s="3" t="s">
        <v>35</v>
      </c>
      <c r="D1250" s="3" t="s">
        <v>42</v>
      </c>
      <c r="E1250" s="3" t="s">
        <v>43</v>
      </c>
      <c r="F1250" s="4">
        <v>44796</v>
      </c>
      <c r="G1250" s="3" t="s">
        <v>3787</v>
      </c>
      <c r="H1250" s="3" t="s">
        <v>3788</v>
      </c>
      <c r="I1250" s="3" t="s">
        <v>21</v>
      </c>
      <c r="J1250" s="5">
        <v>34828.812742335598</v>
      </c>
      <c r="K1250" s="3">
        <v>384</v>
      </c>
      <c r="L1250" s="3" t="s">
        <v>31</v>
      </c>
      <c r="M1250" s="4">
        <v>44822</v>
      </c>
      <c r="N1250" s="3" t="s">
        <v>79</v>
      </c>
      <c r="O1250" s="3" t="s">
        <v>24</v>
      </c>
      <c r="P1250" s="3" t="str">
        <f>IF(Table1[[#This Row],[Billing Amount]]&lt;5000,"Low",IF(Table1[[#This Row],[Billing Amount]]&lt;=15000,"Medium","High"))</f>
        <v>High</v>
      </c>
      <c r="Q1250" s="3" t="str">
        <f>IF(Table1[[#This Row],[Discharge Date]]="Yes","Discharged","Under Treatment")</f>
        <v>Under Treatment</v>
      </c>
      <c r="R1250" s="3" t="str">
        <f>IF(Table1[[#This Row],[Test Results]]&gt;120,"High Risk","Normal")</f>
        <v>High Risk</v>
      </c>
      <c r="S1250" s="3" t="str">
        <f>IF(Table1[[#This Row],[Age]]&lt;=18,"0-18",IF(Table1[[#This Row],[Age]]&lt;=35,"19-35",IF(Table1[[#This Row],[Age]]&lt;=50,"36-50",IF(Table1[[#This Row],[Age]]&lt;=65,"51-65","65+"))))</f>
        <v>65+</v>
      </c>
    </row>
    <row r="1251" spans="1:19" x14ac:dyDescent="0.3">
      <c r="A1251" s="3" t="s">
        <v>3789</v>
      </c>
      <c r="B1251" s="3">
        <v>20</v>
      </c>
      <c r="C1251" s="3" t="s">
        <v>35</v>
      </c>
      <c r="D1251" s="3" t="s">
        <v>26</v>
      </c>
      <c r="E1251" s="3" t="s">
        <v>43</v>
      </c>
      <c r="F1251" s="4">
        <v>45394</v>
      </c>
      <c r="G1251" s="3" t="s">
        <v>3790</v>
      </c>
      <c r="H1251" s="3" t="s">
        <v>3791</v>
      </c>
      <c r="I1251" s="3" t="s">
        <v>57</v>
      </c>
      <c r="J1251" s="5">
        <v>16521.901425304299</v>
      </c>
      <c r="K1251" s="3">
        <v>254</v>
      </c>
      <c r="L1251" s="3" t="s">
        <v>22</v>
      </c>
      <c r="M1251" s="4">
        <v>45402</v>
      </c>
      <c r="N1251" s="3" t="s">
        <v>79</v>
      </c>
      <c r="O1251" s="3" t="s">
        <v>24</v>
      </c>
      <c r="P1251" s="3" t="str">
        <f>IF(Table1[[#This Row],[Billing Amount]]&lt;5000,"Low",IF(Table1[[#This Row],[Billing Amount]]&lt;=15000,"Medium","High"))</f>
        <v>High</v>
      </c>
      <c r="Q1251" s="3" t="str">
        <f>IF(Table1[[#This Row],[Discharge Date]]="Yes","Discharged","Under Treatment")</f>
        <v>Under Treatment</v>
      </c>
      <c r="R1251" s="3" t="str">
        <f>IF(Table1[[#This Row],[Test Results]]&gt;120,"High Risk","Normal")</f>
        <v>High Risk</v>
      </c>
      <c r="S1251" s="3" t="str">
        <f>IF(Table1[[#This Row],[Age]]&lt;=18,"0-18",IF(Table1[[#This Row],[Age]]&lt;=35,"19-35",IF(Table1[[#This Row],[Age]]&lt;=50,"36-50",IF(Table1[[#This Row],[Age]]&lt;=65,"51-65","65+"))))</f>
        <v>19-35</v>
      </c>
    </row>
    <row r="1252" spans="1:19" x14ac:dyDescent="0.3">
      <c r="A1252" s="3" t="s">
        <v>3792</v>
      </c>
      <c r="B1252" s="3">
        <v>85</v>
      </c>
      <c r="C1252" s="3" t="s">
        <v>16</v>
      </c>
      <c r="D1252" s="3" t="s">
        <v>59</v>
      </c>
      <c r="E1252" s="3" t="s">
        <v>43</v>
      </c>
      <c r="F1252" s="4">
        <v>44585</v>
      </c>
      <c r="G1252" s="3" t="s">
        <v>3793</v>
      </c>
      <c r="H1252" s="3" t="s">
        <v>2959</v>
      </c>
      <c r="I1252" s="3" t="s">
        <v>39</v>
      </c>
      <c r="J1252" s="5">
        <v>45206.781566328602</v>
      </c>
      <c r="K1252" s="3">
        <v>320</v>
      </c>
      <c r="L1252" s="3" t="s">
        <v>22</v>
      </c>
      <c r="M1252" s="4">
        <v>44605</v>
      </c>
      <c r="N1252" s="3" t="s">
        <v>52</v>
      </c>
      <c r="O1252" s="3" t="s">
        <v>24</v>
      </c>
      <c r="P1252" s="3" t="str">
        <f>IF(Table1[[#This Row],[Billing Amount]]&lt;5000,"Low",IF(Table1[[#This Row],[Billing Amount]]&lt;=15000,"Medium","High"))</f>
        <v>High</v>
      </c>
      <c r="Q1252" s="3" t="str">
        <f>IF(Table1[[#This Row],[Discharge Date]]="Yes","Discharged","Under Treatment")</f>
        <v>Under Treatment</v>
      </c>
      <c r="R1252" s="3" t="str">
        <f>IF(Table1[[#This Row],[Test Results]]&gt;120,"High Risk","Normal")</f>
        <v>High Risk</v>
      </c>
      <c r="S1252" s="3" t="str">
        <f>IF(Table1[[#This Row],[Age]]&lt;=18,"0-18",IF(Table1[[#This Row],[Age]]&lt;=35,"19-35",IF(Table1[[#This Row],[Age]]&lt;=50,"36-50",IF(Table1[[#This Row],[Age]]&lt;=65,"51-65","65+"))))</f>
        <v>65+</v>
      </c>
    </row>
    <row r="1253" spans="1:19" x14ac:dyDescent="0.3">
      <c r="A1253" s="3" t="s">
        <v>3794</v>
      </c>
      <c r="B1253" s="3">
        <v>57</v>
      </c>
      <c r="C1253" s="3" t="s">
        <v>16</v>
      </c>
      <c r="D1253" s="3" t="s">
        <v>17</v>
      </c>
      <c r="E1253" s="3" t="s">
        <v>54</v>
      </c>
      <c r="F1253" s="4">
        <v>44166</v>
      </c>
      <c r="G1253" s="3" t="s">
        <v>3795</v>
      </c>
      <c r="H1253" s="3" t="s">
        <v>3796</v>
      </c>
      <c r="I1253" s="3" t="s">
        <v>39</v>
      </c>
      <c r="J1253" s="5">
        <v>4808.3130128666899</v>
      </c>
      <c r="K1253" s="3">
        <v>233</v>
      </c>
      <c r="L1253" s="3" t="s">
        <v>31</v>
      </c>
      <c r="M1253" s="4">
        <v>44193</v>
      </c>
      <c r="N1253" s="3" t="s">
        <v>32</v>
      </c>
      <c r="O1253" s="3" t="s">
        <v>24</v>
      </c>
      <c r="P1253" s="3" t="str">
        <f>IF(Table1[[#This Row],[Billing Amount]]&lt;5000,"Low",IF(Table1[[#This Row],[Billing Amount]]&lt;=15000,"Medium","High"))</f>
        <v>Low</v>
      </c>
      <c r="Q1253" s="3" t="str">
        <f>IF(Table1[[#This Row],[Discharge Date]]="Yes","Discharged","Under Treatment")</f>
        <v>Under Treatment</v>
      </c>
      <c r="R1253" s="3" t="str">
        <f>IF(Table1[[#This Row],[Test Results]]&gt;120,"High Risk","Normal")</f>
        <v>High Risk</v>
      </c>
      <c r="S1253" s="3" t="str">
        <f>IF(Table1[[#This Row],[Age]]&lt;=18,"0-18",IF(Table1[[#This Row],[Age]]&lt;=35,"19-35",IF(Table1[[#This Row],[Age]]&lt;=50,"36-50",IF(Table1[[#This Row],[Age]]&lt;=65,"51-65","65+"))))</f>
        <v>51-65</v>
      </c>
    </row>
    <row r="1254" spans="1:19" x14ac:dyDescent="0.3">
      <c r="A1254" s="3" t="s">
        <v>3797</v>
      </c>
      <c r="B1254" s="3">
        <v>51</v>
      </c>
      <c r="C1254" s="3" t="s">
        <v>35</v>
      </c>
      <c r="D1254" s="3" t="s">
        <v>42</v>
      </c>
      <c r="E1254" s="3" t="s">
        <v>93</v>
      </c>
      <c r="F1254" s="4">
        <v>44786</v>
      </c>
      <c r="G1254" s="3" t="s">
        <v>3798</v>
      </c>
      <c r="H1254" s="3" t="s">
        <v>3799</v>
      </c>
      <c r="I1254" s="3" t="s">
        <v>65</v>
      </c>
      <c r="J1254" s="5">
        <v>47173.491977834703</v>
      </c>
      <c r="K1254" s="3">
        <v>468</v>
      </c>
      <c r="L1254" s="3" t="s">
        <v>22</v>
      </c>
      <c r="M1254" s="4">
        <v>44806</v>
      </c>
      <c r="N1254" s="3" t="s">
        <v>40</v>
      </c>
      <c r="O1254" s="3" t="s">
        <v>47</v>
      </c>
      <c r="P1254" s="3" t="str">
        <f>IF(Table1[[#This Row],[Billing Amount]]&lt;5000,"Low",IF(Table1[[#This Row],[Billing Amount]]&lt;=15000,"Medium","High"))</f>
        <v>High</v>
      </c>
      <c r="Q1254" s="3" t="str">
        <f>IF(Table1[[#This Row],[Discharge Date]]="Yes","Discharged","Under Treatment")</f>
        <v>Under Treatment</v>
      </c>
      <c r="R1254" s="3" t="str">
        <f>IF(Table1[[#This Row],[Test Results]]&gt;120,"High Risk","Normal")</f>
        <v>High Risk</v>
      </c>
      <c r="S1254" s="3" t="str">
        <f>IF(Table1[[#This Row],[Age]]&lt;=18,"0-18",IF(Table1[[#This Row],[Age]]&lt;=35,"19-35",IF(Table1[[#This Row],[Age]]&lt;=50,"36-50",IF(Table1[[#This Row],[Age]]&lt;=65,"51-65","65+"))))</f>
        <v>51-65</v>
      </c>
    </row>
    <row r="1255" spans="1:19" x14ac:dyDescent="0.3">
      <c r="A1255" s="3" t="s">
        <v>3800</v>
      </c>
      <c r="B1255" s="3">
        <v>24</v>
      </c>
      <c r="C1255" s="3" t="s">
        <v>16</v>
      </c>
      <c r="D1255" s="3" t="s">
        <v>49</v>
      </c>
      <c r="E1255" s="3" t="s">
        <v>93</v>
      </c>
      <c r="F1255" s="4">
        <v>43633</v>
      </c>
      <c r="G1255" s="3" t="s">
        <v>3801</v>
      </c>
      <c r="H1255" s="3" t="s">
        <v>3802</v>
      </c>
      <c r="I1255" s="3" t="s">
        <v>57</v>
      </c>
      <c r="J1255" s="5">
        <v>42201.900655099103</v>
      </c>
      <c r="K1255" s="3">
        <v>213</v>
      </c>
      <c r="L1255" s="3" t="s">
        <v>22</v>
      </c>
      <c r="M1255" s="4">
        <v>43635</v>
      </c>
      <c r="N1255" s="3" t="s">
        <v>23</v>
      </c>
      <c r="O1255" s="3" t="s">
        <v>47</v>
      </c>
      <c r="P1255" s="3" t="str">
        <f>IF(Table1[[#This Row],[Billing Amount]]&lt;5000,"Low",IF(Table1[[#This Row],[Billing Amount]]&lt;=15000,"Medium","High"))</f>
        <v>High</v>
      </c>
      <c r="Q1255" s="3" t="str">
        <f>IF(Table1[[#This Row],[Discharge Date]]="Yes","Discharged","Under Treatment")</f>
        <v>Under Treatment</v>
      </c>
      <c r="R1255" s="3" t="str">
        <f>IF(Table1[[#This Row],[Test Results]]&gt;120,"High Risk","Normal")</f>
        <v>High Risk</v>
      </c>
      <c r="S1255" s="3" t="str">
        <f>IF(Table1[[#This Row],[Age]]&lt;=18,"0-18",IF(Table1[[#This Row],[Age]]&lt;=35,"19-35",IF(Table1[[#This Row],[Age]]&lt;=50,"36-50",IF(Table1[[#This Row],[Age]]&lt;=65,"51-65","65+"))))</f>
        <v>19-35</v>
      </c>
    </row>
    <row r="1256" spans="1:19" x14ac:dyDescent="0.3">
      <c r="A1256" s="3" t="s">
        <v>3803</v>
      </c>
      <c r="B1256" s="3">
        <v>63</v>
      </c>
      <c r="C1256" s="3" t="s">
        <v>16</v>
      </c>
      <c r="D1256" s="3" t="s">
        <v>42</v>
      </c>
      <c r="E1256" s="3" t="s">
        <v>43</v>
      </c>
      <c r="F1256" s="4">
        <v>44168</v>
      </c>
      <c r="G1256" s="3" t="s">
        <v>3804</v>
      </c>
      <c r="H1256" s="3" t="s">
        <v>3805</v>
      </c>
      <c r="I1256" s="3" t="s">
        <v>39</v>
      </c>
      <c r="J1256" s="5">
        <v>6395.2462683250897</v>
      </c>
      <c r="K1256" s="3">
        <v>204</v>
      </c>
      <c r="L1256" s="3" t="s">
        <v>31</v>
      </c>
      <c r="M1256" s="4">
        <v>44177</v>
      </c>
      <c r="N1256" s="3" t="s">
        <v>79</v>
      </c>
      <c r="O1256" s="3" t="s">
        <v>24</v>
      </c>
      <c r="P1256" s="3" t="str">
        <f>IF(Table1[[#This Row],[Billing Amount]]&lt;5000,"Low",IF(Table1[[#This Row],[Billing Amount]]&lt;=15000,"Medium","High"))</f>
        <v>Medium</v>
      </c>
      <c r="Q1256" s="3" t="str">
        <f>IF(Table1[[#This Row],[Discharge Date]]="Yes","Discharged","Under Treatment")</f>
        <v>Under Treatment</v>
      </c>
      <c r="R1256" s="3" t="str">
        <f>IF(Table1[[#This Row],[Test Results]]&gt;120,"High Risk","Normal")</f>
        <v>High Risk</v>
      </c>
      <c r="S1256" s="3" t="str">
        <f>IF(Table1[[#This Row],[Age]]&lt;=18,"0-18",IF(Table1[[#This Row],[Age]]&lt;=35,"19-35",IF(Table1[[#This Row],[Age]]&lt;=50,"36-50",IF(Table1[[#This Row],[Age]]&lt;=65,"51-65","65+"))))</f>
        <v>51-65</v>
      </c>
    </row>
    <row r="1257" spans="1:19" x14ac:dyDescent="0.3">
      <c r="A1257" s="3" t="s">
        <v>3806</v>
      </c>
      <c r="B1257" s="3">
        <v>27</v>
      </c>
      <c r="C1257" s="3" t="s">
        <v>35</v>
      </c>
      <c r="D1257" s="3" t="s">
        <v>36</v>
      </c>
      <c r="E1257" s="3" t="s">
        <v>54</v>
      </c>
      <c r="F1257" s="4">
        <v>43918</v>
      </c>
      <c r="G1257" s="3" t="s">
        <v>3807</v>
      </c>
      <c r="H1257" s="3" t="s">
        <v>3808</v>
      </c>
      <c r="I1257" s="3" t="s">
        <v>39</v>
      </c>
      <c r="J1257" s="5">
        <v>47087.827380218798</v>
      </c>
      <c r="K1257" s="3">
        <v>310</v>
      </c>
      <c r="L1257" s="3" t="s">
        <v>46</v>
      </c>
      <c r="M1257" s="4">
        <v>43946</v>
      </c>
      <c r="N1257" s="3" t="s">
        <v>32</v>
      </c>
      <c r="O1257" s="3" t="s">
        <v>33</v>
      </c>
      <c r="P1257" s="3" t="str">
        <f>IF(Table1[[#This Row],[Billing Amount]]&lt;5000,"Low",IF(Table1[[#This Row],[Billing Amount]]&lt;=15000,"Medium","High"))</f>
        <v>High</v>
      </c>
      <c r="Q1257" s="3" t="str">
        <f>IF(Table1[[#This Row],[Discharge Date]]="Yes","Discharged","Under Treatment")</f>
        <v>Under Treatment</v>
      </c>
      <c r="R1257" s="3" t="str">
        <f>IF(Table1[[#This Row],[Test Results]]&gt;120,"High Risk","Normal")</f>
        <v>High Risk</v>
      </c>
      <c r="S1257" s="3" t="str">
        <f>IF(Table1[[#This Row],[Age]]&lt;=18,"0-18",IF(Table1[[#This Row],[Age]]&lt;=35,"19-35",IF(Table1[[#This Row],[Age]]&lt;=50,"36-50",IF(Table1[[#This Row],[Age]]&lt;=65,"51-65","65+"))))</f>
        <v>19-35</v>
      </c>
    </row>
    <row r="1258" spans="1:19" x14ac:dyDescent="0.3">
      <c r="A1258" s="3" t="s">
        <v>3809</v>
      </c>
      <c r="B1258" s="3">
        <v>47</v>
      </c>
      <c r="C1258" s="3" t="s">
        <v>16</v>
      </c>
      <c r="D1258" s="3" t="s">
        <v>122</v>
      </c>
      <c r="E1258" s="3" t="s">
        <v>54</v>
      </c>
      <c r="F1258" s="4">
        <v>44346</v>
      </c>
      <c r="G1258" s="3" t="s">
        <v>3810</v>
      </c>
      <c r="H1258" s="3" t="s">
        <v>3811</v>
      </c>
      <c r="I1258" s="3" t="s">
        <v>21</v>
      </c>
      <c r="J1258" s="5">
        <v>18465.920352652302</v>
      </c>
      <c r="K1258" s="3">
        <v>381</v>
      </c>
      <c r="L1258" s="3" t="s">
        <v>31</v>
      </c>
      <c r="M1258" s="4">
        <v>44370</v>
      </c>
      <c r="N1258" s="3" t="s">
        <v>52</v>
      </c>
      <c r="O1258" s="3" t="s">
        <v>24</v>
      </c>
      <c r="P1258" s="3" t="str">
        <f>IF(Table1[[#This Row],[Billing Amount]]&lt;5000,"Low",IF(Table1[[#This Row],[Billing Amount]]&lt;=15000,"Medium","High"))</f>
        <v>High</v>
      </c>
      <c r="Q1258" s="3" t="str">
        <f>IF(Table1[[#This Row],[Discharge Date]]="Yes","Discharged","Under Treatment")</f>
        <v>Under Treatment</v>
      </c>
      <c r="R1258" s="3" t="str">
        <f>IF(Table1[[#This Row],[Test Results]]&gt;120,"High Risk","Normal")</f>
        <v>High Risk</v>
      </c>
      <c r="S1258" s="3" t="str">
        <f>IF(Table1[[#This Row],[Age]]&lt;=18,"0-18",IF(Table1[[#This Row],[Age]]&lt;=35,"19-35",IF(Table1[[#This Row],[Age]]&lt;=50,"36-50",IF(Table1[[#This Row],[Age]]&lt;=65,"51-65","65+"))))</f>
        <v>36-50</v>
      </c>
    </row>
    <row r="1259" spans="1:19" x14ac:dyDescent="0.3">
      <c r="A1259" s="3" t="s">
        <v>3812</v>
      </c>
      <c r="B1259" s="3">
        <v>18</v>
      </c>
      <c r="C1259" s="3" t="s">
        <v>35</v>
      </c>
      <c r="D1259" s="3" t="s">
        <v>42</v>
      </c>
      <c r="E1259" s="3" t="s">
        <v>76</v>
      </c>
      <c r="F1259" s="4">
        <v>44076</v>
      </c>
      <c r="G1259" s="3" t="s">
        <v>3813</v>
      </c>
      <c r="H1259" s="3" t="s">
        <v>3814</v>
      </c>
      <c r="I1259" s="3" t="s">
        <v>39</v>
      </c>
      <c r="J1259" s="5">
        <v>46334.881941777101</v>
      </c>
      <c r="K1259" s="3">
        <v>338</v>
      </c>
      <c r="L1259" s="3" t="s">
        <v>46</v>
      </c>
      <c r="M1259" s="4">
        <v>44090</v>
      </c>
      <c r="N1259" s="3" t="s">
        <v>23</v>
      </c>
      <c r="O1259" s="3" t="s">
        <v>24</v>
      </c>
      <c r="P1259" s="3" t="str">
        <f>IF(Table1[[#This Row],[Billing Amount]]&lt;5000,"Low",IF(Table1[[#This Row],[Billing Amount]]&lt;=15000,"Medium","High"))</f>
        <v>High</v>
      </c>
      <c r="Q1259" s="3" t="str">
        <f>IF(Table1[[#This Row],[Discharge Date]]="Yes","Discharged","Under Treatment")</f>
        <v>Under Treatment</v>
      </c>
      <c r="R1259" s="3" t="str">
        <f>IF(Table1[[#This Row],[Test Results]]&gt;120,"High Risk","Normal")</f>
        <v>High Risk</v>
      </c>
      <c r="S1259" s="3" t="str">
        <f>IF(Table1[[#This Row],[Age]]&lt;=18,"0-18",IF(Table1[[#This Row],[Age]]&lt;=35,"19-35",IF(Table1[[#This Row],[Age]]&lt;=50,"36-50",IF(Table1[[#This Row],[Age]]&lt;=65,"51-65","65+"))))</f>
        <v>0-18</v>
      </c>
    </row>
    <row r="1260" spans="1:19" x14ac:dyDescent="0.3">
      <c r="A1260" s="3" t="s">
        <v>3815</v>
      </c>
      <c r="B1260" s="3">
        <v>18</v>
      </c>
      <c r="C1260" s="3" t="s">
        <v>35</v>
      </c>
      <c r="D1260" s="3" t="s">
        <v>36</v>
      </c>
      <c r="E1260" s="3" t="s">
        <v>27</v>
      </c>
      <c r="F1260" s="4">
        <v>45152</v>
      </c>
      <c r="G1260" s="3" t="s">
        <v>3816</v>
      </c>
      <c r="H1260" s="3" t="s">
        <v>3817</v>
      </c>
      <c r="I1260" s="3" t="s">
        <v>30</v>
      </c>
      <c r="J1260" s="5">
        <v>19359.614620972501</v>
      </c>
      <c r="K1260" s="3">
        <v>150</v>
      </c>
      <c r="L1260" s="3" t="s">
        <v>22</v>
      </c>
      <c r="M1260" s="4">
        <v>45180</v>
      </c>
      <c r="N1260" s="3" t="s">
        <v>32</v>
      </c>
      <c r="O1260" s="3" t="s">
        <v>47</v>
      </c>
      <c r="P1260" s="3" t="str">
        <f>IF(Table1[[#This Row],[Billing Amount]]&lt;5000,"Low",IF(Table1[[#This Row],[Billing Amount]]&lt;=15000,"Medium","High"))</f>
        <v>High</v>
      </c>
      <c r="Q1260" s="3" t="str">
        <f>IF(Table1[[#This Row],[Discharge Date]]="Yes","Discharged","Under Treatment")</f>
        <v>Under Treatment</v>
      </c>
      <c r="R1260" s="3" t="str">
        <f>IF(Table1[[#This Row],[Test Results]]&gt;120,"High Risk","Normal")</f>
        <v>High Risk</v>
      </c>
      <c r="S1260" s="3" t="str">
        <f>IF(Table1[[#This Row],[Age]]&lt;=18,"0-18",IF(Table1[[#This Row],[Age]]&lt;=35,"19-35",IF(Table1[[#This Row],[Age]]&lt;=50,"36-50",IF(Table1[[#This Row],[Age]]&lt;=65,"51-65","65+"))))</f>
        <v>0-18</v>
      </c>
    </row>
    <row r="1261" spans="1:19" x14ac:dyDescent="0.3">
      <c r="A1261" s="3" t="s">
        <v>3818</v>
      </c>
      <c r="B1261" s="3">
        <v>33</v>
      </c>
      <c r="C1261" s="3" t="s">
        <v>16</v>
      </c>
      <c r="D1261" s="3" t="s">
        <v>26</v>
      </c>
      <c r="E1261" s="3" t="s">
        <v>43</v>
      </c>
      <c r="F1261" s="4">
        <v>44008</v>
      </c>
      <c r="G1261" s="3" t="s">
        <v>3819</v>
      </c>
      <c r="H1261" s="3" t="s">
        <v>3820</v>
      </c>
      <c r="I1261" s="3" t="s">
        <v>57</v>
      </c>
      <c r="J1261" s="5">
        <v>48607.418575997697</v>
      </c>
      <c r="K1261" s="3">
        <v>118</v>
      </c>
      <c r="L1261" s="3" t="s">
        <v>46</v>
      </c>
      <c r="M1261" s="4">
        <v>44029</v>
      </c>
      <c r="N1261" s="3" t="s">
        <v>52</v>
      </c>
      <c r="O1261" s="3" t="s">
        <v>33</v>
      </c>
      <c r="P1261" s="3" t="str">
        <f>IF(Table1[[#This Row],[Billing Amount]]&lt;5000,"Low",IF(Table1[[#This Row],[Billing Amount]]&lt;=15000,"Medium","High"))</f>
        <v>High</v>
      </c>
      <c r="Q1261" s="3" t="str">
        <f>IF(Table1[[#This Row],[Discharge Date]]="Yes","Discharged","Under Treatment")</f>
        <v>Under Treatment</v>
      </c>
      <c r="R1261" s="3" t="str">
        <f>IF(Table1[[#This Row],[Test Results]]&gt;120,"High Risk","Normal")</f>
        <v>High Risk</v>
      </c>
      <c r="S1261" s="3" t="str">
        <f>IF(Table1[[#This Row],[Age]]&lt;=18,"0-18",IF(Table1[[#This Row],[Age]]&lt;=35,"19-35",IF(Table1[[#This Row],[Age]]&lt;=50,"36-50",IF(Table1[[#This Row],[Age]]&lt;=65,"51-65","65+"))))</f>
        <v>19-35</v>
      </c>
    </row>
    <row r="1262" spans="1:19" x14ac:dyDescent="0.3">
      <c r="A1262" s="3" t="s">
        <v>3821</v>
      </c>
      <c r="B1262" s="3">
        <v>49</v>
      </c>
      <c r="C1262" s="3" t="s">
        <v>35</v>
      </c>
      <c r="D1262" s="3" t="s">
        <v>49</v>
      </c>
      <c r="E1262" s="3" t="s">
        <v>76</v>
      </c>
      <c r="F1262" s="4">
        <v>44360</v>
      </c>
      <c r="G1262" s="3" t="s">
        <v>3822</v>
      </c>
      <c r="H1262" s="3" t="s">
        <v>3823</v>
      </c>
      <c r="I1262" s="3" t="s">
        <v>65</v>
      </c>
      <c r="J1262" s="5">
        <v>16666.097096605099</v>
      </c>
      <c r="K1262" s="3">
        <v>447</v>
      </c>
      <c r="L1262" s="3" t="s">
        <v>22</v>
      </c>
      <c r="M1262" s="4">
        <v>44388</v>
      </c>
      <c r="N1262" s="3" t="s">
        <v>32</v>
      </c>
      <c r="O1262" s="3" t="s">
        <v>24</v>
      </c>
      <c r="P1262" s="3" t="str">
        <f>IF(Table1[[#This Row],[Billing Amount]]&lt;5000,"Low",IF(Table1[[#This Row],[Billing Amount]]&lt;=15000,"Medium","High"))</f>
        <v>High</v>
      </c>
      <c r="Q1262" s="3" t="str">
        <f>IF(Table1[[#This Row],[Discharge Date]]="Yes","Discharged","Under Treatment")</f>
        <v>Under Treatment</v>
      </c>
      <c r="R1262" s="3" t="str">
        <f>IF(Table1[[#This Row],[Test Results]]&gt;120,"High Risk","Normal")</f>
        <v>High Risk</v>
      </c>
      <c r="S1262" s="3" t="str">
        <f>IF(Table1[[#This Row],[Age]]&lt;=18,"0-18",IF(Table1[[#This Row],[Age]]&lt;=35,"19-35",IF(Table1[[#This Row],[Age]]&lt;=50,"36-50",IF(Table1[[#This Row],[Age]]&lt;=65,"51-65","65+"))))</f>
        <v>36-50</v>
      </c>
    </row>
    <row r="1263" spans="1:19" x14ac:dyDescent="0.3">
      <c r="A1263" s="3" t="s">
        <v>3824</v>
      </c>
      <c r="B1263" s="3">
        <v>84</v>
      </c>
      <c r="C1263" s="3" t="s">
        <v>35</v>
      </c>
      <c r="D1263" s="3" t="s">
        <v>36</v>
      </c>
      <c r="E1263" s="3" t="s">
        <v>27</v>
      </c>
      <c r="F1263" s="4">
        <v>44015</v>
      </c>
      <c r="G1263" s="3" t="s">
        <v>3825</v>
      </c>
      <c r="H1263" s="3" t="s">
        <v>3826</v>
      </c>
      <c r="I1263" s="3" t="s">
        <v>65</v>
      </c>
      <c r="J1263" s="5">
        <v>5228.6330314535799</v>
      </c>
      <c r="K1263" s="3">
        <v>342</v>
      </c>
      <c r="L1263" s="3" t="s">
        <v>46</v>
      </c>
      <c r="M1263" s="4">
        <v>44039</v>
      </c>
      <c r="N1263" s="3" t="s">
        <v>23</v>
      </c>
      <c r="O1263" s="3" t="s">
        <v>33</v>
      </c>
      <c r="P1263" s="3" t="str">
        <f>IF(Table1[[#This Row],[Billing Amount]]&lt;5000,"Low",IF(Table1[[#This Row],[Billing Amount]]&lt;=15000,"Medium","High"))</f>
        <v>Medium</v>
      </c>
      <c r="Q1263" s="3" t="str">
        <f>IF(Table1[[#This Row],[Discharge Date]]="Yes","Discharged","Under Treatment")</f>
        <v>Under Treatment</v>
      </c>
      <c r="R1263" s="3" t="str">
        <f>IF(Table1[[#This Row],[Test Results]]&gt;120,"High Risk","Normal")</f>
        <v>High Risk</v>
      </c>
      <c r="S1263" s="3" t="str">
        <f>IF(Table1[[#This Row],[Age]]&lt;=18,"0-18",IF(Table1[[#This Row],[Age]]&lt;=35,"19-35",IF(Table1[[#This Row],[Age]]&lt;=50,"36-50",IF(Table1[[#This Row],[Age]]&lt;=65,"51-65","65+"))))</f>
        <v>65+</v>
      </c>
    </row>
    <row r="1264" spans="1:19" x14ac:dyDescent="0.3">
      <c r="A1264" s="3" t="s">
        <v>3827</v>
      </c>
      <c r="B1264" s="3">
        <v>79</v>
      </c>
      <c r="C1264" s="3" t="s">
        <v>35</v>
      </c>
      <c r="D1264" s="3" t="s">
        <v>49</v>
      </c>
      <c r="E1264" s="3" t="s">
        <v>18</v>
      </c>
      <c r="F1264" s="4">
        <v>44848</v>
      </c>
      <c r="G1264" s="3" t="s">
        <v>3828</v>
      </c>
      <c r="H1264" s="3" t="s">
        <v>3829</v>
      </c>
      <c r="I1264" s="3" t="s">
        <v>39</v>
      </c>
      <c r="J1264" s="5">
        <v>3028.8257841035502</v>
      </c>
      <c r="K1264" s="3">
        <v>157</v>
      </c>
      <c r="L1264" s="3" t="s">
        <v>31</v>
      </c>
      <c r="M1264" s="4">
        <v>44862</v>
      </c>
      <c r="N1264" s="3" t="s">
        <v>52</v>
      </c>
      <c r="O1264" s="3" t="s">
        <v>24</v>
      </c>
      <c r="P1264" s="3" t="str">
        <f>IF(Table1[[#This Row],[Billing Amount]]&lt;5000,"Low",IF(Table1[[#This Row],[Billing Amount]]&lt;=15000,"Medium","High"))</f>
        <v>Low</v>
      </c>
      <c r="Q1264" s="3" t="str">
        <f>IF(Table1[[#This Row],[Discharge Date]]="Yes","Discharged","Under Treatment")</f>
        <v>Under Treatment</v>
      </c>
      <c r="R1264" s="3" t="str">
        <f>IF(Table1[[#This Row],[Test Results]]&gt;120,"High Risk","Normal")</f>
        <v>High Risk</v>
      </c>
      <c r="S1264" s="3" t="str">
        <f>IF(Table1[[#This Row],[Age]]&lt;=18,"0-18",IF(Table1[[#This Row],[Age]]&lt;=35,"19-35",IF(Table1[[#This Row],[Age]]&lt;=50,"36-50",IF(Table1[[#This Row],[Age]]&lt;=65,"51-65","65+"))))</f>
        <v>65+</v>
      </c>
    </row>
    <row r="1265" spans="1:19" x14ac:dyDescent="0.3">
      <c r="A1265" s="3" t="s">
        <v>3830</v>
      </c>
      <c r="B1265" s="3">
        <v>27</v>
      </c>
      <c r="C1265" s="3" t="s">
        <v>35</v>
      </c>
      <c r="D1265" s="3" t="s">
        <v>49</v>
      </c>
      <c r="E1265" s="3" t="s">
        <v>27</v>
      </c>
      <c r="F1265" s="4">
        <v>44411</v>
      </c>
      <c r="G1265" s="3" t="s">
        <v>3831</v>
      </c>
      <c r="H1265" s="3" t="s">
        <v>3832</v>
      </c>
      <c r="I1265" s="3" t="s">
        <v>39</v>
      </c>
      <c r="J1265" s="5">
        <v>22579.839968191201</v>
      </c>
      <c r="K1265" s="3">
        <v>169</v>
      </c>
      <c r="L1265" s="3" t="s">
        <v>22</v>
      </c>
      <c r="M1265" s="4">
        <v>44435</v>
      </c>
      <c r="N1265" s="3" t="s">
        <v>52</v>
      </c>
      <c r="O1265" s="3" t="s">
        <v>47</v>
      </c>
      <c r="P1265" s="3" t="str">
        <f>IF(Table1[[#This Row],[Billing Amount]]&lt;5000,"Low",IF(Table1[[#This Row],[Billing Amount]]&lt;=15000,"Medium","High"))</f>
        <v>High</v>
      </c>
      <c r="Q1265" s="3" t="str">
        <f>IF(Table1[[#This Row],[Discharge Date]]="Yes","Discharged","Under Treatment")</f>
        <v>Under Treatment</v>
      </c>
      <c r="R1265" s="3" t="str">
        <f>IF(Table1[[#This Row],[Test Results]]&gt;120,"High Risk","Normal")</f>
        <v>High Risk</v>
      </c>
      <c r="S1265" s="3" t="str">
        <f>IF(Table1[[#This Row],[Age]]&lt;=18,"0-18",IF(Table1[[#This Row],[Age]]&lt;=35,"19-35",IF(Table1[[#This Row],[Age]]&lt;=50,"36-50",IF(Table1[[#This Row],[Age]]&lt;=65,"51-65","65+"))))</f>
        <v>19-35</v>
      </c>
    </row>
    <row r="1266" spans="1:19" x14ac:dyDescent="0.3">
      <c r="A1266" s="3" t="s">
        <v>3833</v>
      </c>
      <c r="B1266" s="3">
        <v>61</v>
      </c>
      <c r="C1266" s="3" t="s">
        <v>35</v>
      </c>
      <c r="D1266" s="3" t="s">
        <v>122</v>
      </c>
      <c r="E1266" s="3" t="s">
        <v>76</v>
      </c>
      <c r="F1266" s="4">
        <v>44560</v>
      </c>
      <c r="G1266" s="3" t="s">
        <v>3834</v>
      </c>
      <c r="H1266" s="3" t="s">
        <v>3835</v>
      </c>
      <c r="I1266" s="3" t="s">
        <v>57</v>
      </c>
      <c r="J1266" s="5">
        <v>27764.229220400099</v>
      </c>
      <c r="K1266" s="3">
        <v>172</v>
      </c>
      <c r="L1266" s="3" t="s">
        <v>22</v>
      </c>
      <c r="M1266" s="4">
        <v>44581</v>
      </c>
      <c r="N1266" s="3" t="s">
        <v>40</v>
      </c>
      <c r="O1266" s="3" t="s">
        <v>33</v>
      </c>
      <c r="P1266" s="3" t="str">
        <f>IF(Table1[[#This Row],[Billing Amount]]&lt;5000,"Low",IF(Table1[[#This Row],[Billing Amount]]&lt;=15000,"Medium","High"))</f>
        <v>High</v>
      </c>
      <c r="Q1266" s="3" t="str">
        <f>IF(Table1[[#This Row],[Discharge Date]]="Yes","Discharged","Under Treatment")</f>
        <v>Under Treatment</v>
      </c>
      <c r="R1266" s="3" t="str">
        <f>IF(Table1[[#This Row],[Test Results]]&gt;120,"High Risk","Normal")</f>
        <v>High Risk</v>
      </c>
      <c r="S1266" s="3" t="str">
        <f>IF(Table1[[#This Row],[Age]]&lt;=18,"0-18",IF(Table1[[#This Row],[Age]]&lt;=35,"19-35",IF(Table1[[#This Row],[Age]]&lt;=50,"36-50",IF(Table1[[#This Row],[Age]]&lt;=65,"51-65","65+"))))</f>
        <v>51-65</v>
      </c>
    </row>
    <row r="1267" spans="1:19" x14ac:dyDescent="0.3">
      <c r="A1267" s="3" t="s">
        <v>3836</v>
      </c>
      <c r="B1267" s="3">
        <v>72</v>
      </c>
      <c r="C1267" s="3" t="s">
        <v>35</v>
      </c>
      <c r="D1267" s="3" t="s">
        <v>59</v>
      </c>
      <c r="E1267" s="3" t="s">
        <v>54</v>
      </c>
      <c r="F1267" s="4">
        <v>44737</v>
      </c>
      <c r="G1267" s="3" t="s">
        <v>3837</v>
      </c>
      <c r="H1267" s="3" t="s">
        <v>2184</v>
      </c>
      <c r="I1267" s="3" t="s">
        <v>65</v>
      </c>
      <c r="J1267" s="5">
        <v>20216.372031328301</v>
      </c>
      <c r="K1267" s="3">
        <v>209</v>
      </c>
      <c r="L1267" s="3" t="s">
        <v>31</v>
      </c>
      <c r="M1267" s="4">
        <v>44744</v>
      </c>
      <c r="N1267" s="3" t="s">
        <v>52</v>
      </c>
      <c r="O1267" s="3" t="s">
        <v>33</v>
      </c>
      <c r="P1267" s="3" t="str">
        <f>IF(Table1[[#This Row],[Billing Amount]]&lt;5000,"Low",IF(Table1[[#This Row],[Billing Amount]]&lt;=15000,"Medium","High"))</f>
        <v>High</v>
      </c>
      <c r="Q1267" s="3" t="str">
        <f>IF(Table1[[#This Row],[Discharge Date]]="Yes","Discharged","Under Treatment")</f>
        <v>Under Treatment</v>
      </c>
      <c r="R1267" s="3" t="str">
        <f>IF(Table1[[#This Row],[Test Results]]&gt;120,"High Risk","Normal")</f>
        <v>High Risk</v>
      </c>
      <c r="S1267" s="3" t="str">
        <f>IF(Table1[[#This Row],[Age]]&lt;=18,"0-18",IF(Table1[[#This Row],[Age]]&lt;=35,"19-35",IF(Table1[[#This Row],[Age]]&lt;=50,"36-50",IF(Table1[[#This Row],[Age]]&lt;=65,"51-65","65+"))))</f>
        <v>65+</v>
      </c>
    </row>
    <row r="1268" spans="1:19" x14ac:dyDescent="0.3">
      <c r="A1268" s="3" t="s">
        <v>3838</v>
      </c>
      <c r="B1268" s="3">
        <v>32</v>
      </c>
      <c r="C1268" s="3" t="s">
        <v>35</v>
      </c>
      <c r="D1268" s="3" t="s">
        <v>17</v>
      </c>
      <c r="E1268" s="3" t="s">
        <v>54</v>
      </c>
      <c r="F1268" s="4">
        <v>43780</v>
      </c>
      <c r="G1268" s="3" t="s">
        <v>3839</v>
      </c>
      <c r="H1268" s="3" t="s">
        <v>3840</v>
      </c>
      <c r="I1268" s="3" t="s">
        <v>39</v>
      </c>
      <c r="J1268" s="5">
        <v>33762.125937360601</v>
      </c>
      <c r="K1268" s="3">
        <v>151</v>
      </c>
      <c r="L1268" s="3" t="s">
        <v>31</v>
      </c>
      <c r="M1268" s="4">
        <v>43783</v>
      </c>
      <c r="N1268" s="3" t="s">
        <v>52</v>
      </c>
      <c r="O1268" s="3" t="s">
        <v>33</v>
      </c>
      <c r="P1268" s="3" t="str">
        <f>IF(Table1[[#This Row],[Billing Amount]]&lt;5000,"Low",IF(Table1[[#This Row],[Billing Amount]]&lt;=15000,"Medium","High"))</f>
        <v>High</v>
      </c>
      <c r="Q1268" s="3" t="str">
        <f>IF(Table1[[#This Row],[Discharge Date]]="Yes","Discharged","Under Treatment")</f>
        <v>Under Treatment</v>
      </c>
      <c r="R1268" s="3" t="str">
        <f>IF(Table1[[#This Row],[Test Results]]&gt;120,"High Risk","Normal")</f>
        <v>High Risk</v>
      </c>
      <c r="S1268" s="3" t="str">
        <f>IF(Table1[[#This Row],[Age]]&lt;=18,"0-18",IF(Table1[[#This Row],[Age]]&lt;=35,"19-35",IF(Table1[[#This Row],[Age]]&lt;=50,"36-50",IF(Table1[[#This Row],[Age]]&lt;=65,"51-65","65+"))))</f>
        <v>19-35</v>
      </c>
    </row>
    <row r="1269" spans="1:19" x14ac:dyDescent="0.3">
      <c r="A1269" s="3" t="s">
        <v>3841</v>
      </c>
      <c r="B1269" s="3">
        <v>83</v>
      </c>
      <c r="C1269" s="3" t="s">
        <v>35</v>
      </c>
      <c r="D1269" s="3" t="s">
        <v>42</v>
      </c>
      <c r="E1269" s="3" t="s">
        <v>93</v>
      </c>
      <c r="F1269" s="4">
        <v>44205</v>
      </c>
      <c r="G1269" s="3" t="s">
        <v>3589</v>
      </c>
      <c r="H1269" s="3" t="s">
        <v>3842</v>
      </c>
      <c r="I1269" s="3" t="s">
        <v>57</v>
      </c>
      <c r="J1269" s="5">
        <v>27927.094280524299</v>
      </c>
      <c r="K1269" s="3">
        <v>422</v>
      </c>
      <c r="L1269" s="3" t="s">
        <v>31</v>
      </c>
      <c r="M1269" s="4">
        <v>44207</v>
      </c>
      <c r="N1269" s="3" t="s">
        <v>32</v>
      </c>
      <c r="O1269" s="3" t="s">
        <v>24</v>
      </c>
      <c r="P1269" s="3" t="str">
        <f>IF(Table1[[#This Row],[Billing Amount]]&lt;5000,"Low",IF(Table1[[#This Row],[Billing Amount]]&lt;=15000,"Medium","High"))</f>
        <v>High</v>
      </c>
      <c r="Q1269" s="3" t="str">
        <f>IF(Table1[[#This Row],[Discharge Date]]="Yes","Discharged","Under Treatment")</f>
        <v>Under Treatment</v>
      </c>
      <c r="R1269" s="3" t="str">
        <f>IF(Table1[[#This Row],[Test Results]]&gt;120,"High Risk","Normal")</f>
        <v>High Risk</v>
      </c>
      <c r="S1269" s="3" t="str">
        <f>IF(Table1[[#This Row],[Age]]&lt;=18,"0-18",IF(Table1[[#This Row],[Age]]&lt;=35,"19-35",IF(Table1[[#This Row],[Age]]&lt;=50,"36-50",IF(Table1[[#This Row],[Age]]&lt;=65,"51-65","65+"))))</f>
        <v>65+</v>
      </c>
    </row>
    <row r="1270" spans="1:19" x14ac:dyDescent="0.3">
      <c r="A1270" s="3" t="s">
        <v>3843</v>
      </c>
      <c r="B1270" s="3">
        <v>22</v>
      </c>
      <c r="C1270" s="3" t="s">
        <v>16</v>
      </c>
      <c r="D1270" s="3" t="s">
        <v>49</v>
      </c>
      <c r="E1270" s="3" t="s">
        <v>43</v>
      </c>
      <c r="F1270" s="4">
        <v>45362</v>
      </c>
      <c r="G1270" s="3" t="s">
        <v>3844</v>
      </c>
      <c r="H1270" s="3" t="s">
        <v>3845</v>
      </c>
      <c r="I1270" s="3" t="s">
        <v>57</v>
      </c>
      <c r="J1270" s="5">
        <v>13294.122361945199</v>
      </c>
      <c r="K1270" s="3">
        <v>110</v>
      </c>
      <c r="L1270" s="3" t="s">
        <v>46</v>
      </c>
      <c r="M1270" s="4">
        <v>45374</v>
      </c>
      <c r="N1270" s="3" t="s">
        <v>40</v>
      </c>
      <c r="O1270" s="3" t="s">
        <v>24</v>
      </c>
      <c r="P1270" s="3" t="str">
        <f>IF(Table1[[#This Row],[Billing Amount]]&lt;5000,"Low",IF(Table1[[#This Row],[Billing Amount]]&lt;=15000,"Medium","High"))</f>
        <v>Medium</v>
      </c>
      <c r="Q1270" s="3" t="str">
        <f>IF(Table1[[#This Row],[Discharge Date]]="Yes","Discharged","Under Treatment")</f>
        <v>Under Treatment</v>
      </c>
      <c r="R1270" s="3" t="str">
        <f>IF(Table1[[#This Row],[Test Results]]&gt;120,"High Risk","Normal")</f>
        <v>High Risk</v>
      </c>
      <c r="S1270" s="3" t="str">
        <f>IF(Table1[[#This Row],[Age]]&lt;=18,"0-18",IF(Table1[[#This Row],[Age]]&lt;=35,"19-35",IF(Table1[[#This Row],[Age]]&lt;=50,"36-50",IF(Table1[[#This Row],[Age]]&lt;=65,"51-65","65+"))))</f>
        <v>19-35</v>
      </c>
    </row>
    <row r="1271" spans="1:19" x14ac:dyDescent="0.3">
      <c r="A1271" s="3" t="s">
        <v>3846</v>
      </c>
      <c r="B1271" s="3">
        <v>84</v>
      </c>
      <c r="C1271" s="3" t="s">
        <v>16</v>
      </c>
      <c r="D1271" s="3" t="s">
        <v>59</v>
      </c>
      <c r="E1271" s="3" t="s">
        <v>54</v>
      </c>
      <c r="F1271" s="4">
        <v>45095</v>
      </c>
      <c r="G1271" s="3" t="s">
        <v>3847</v>
      </c>
      <c r="H1271" s="3" t="s">
        <v>3848</v>
      </c>
      <c r="I1271" s="3" t="s">
        <v>21</v>
      </c>
      <c r="J1271" s="5">
        <v>46533.539936871799</v>
      </c>
      <c r="K1271" s="3">
        <v>490</v>
      </c>
      <c r="L1271" s="3" t="s">
        <v>22</v>
      </c>
      <c r="M1271" s="4">
        <v>45105</v>
      </c>
      <c r="N1271" s="3" t="s">
        <v>23</v>
      </c>
      <c r="O1271" s="3" t="s">
        <v>33</v>
      </c>
      <c r="P1271" s="3" t="str">
        <f>IF(Table1[[#This Row],[Billing Amount]]&lt;5000,"Low",IF(Table1[[#This Row],[Billing Amount]]&lt;=15000,"Medium","High"))</f>
        <v>High</v>
      </c>
      <c r="Q1271" s="3" t="str">
        <f>IF(Table1[[#This Row],[Discharge Date]]="Yes","Discharged","Under Treatment")</f>
        <v>Under Treatment</v>
      </c>
      <c r="R1271" s="3" t="str">
        <f>IF(Table1[[#This Row],[Test Results]]&gt;120,"High Risk","Normal")</f>
        <v>High Risk</v>
      </c>
      <c r="S1271" s="3" t="str">
        <f>IF(Table1[[#This Row],[Age]]&lt;=18,"0-18",IF(Table1[[#This Row],[Age]]&lt;=35,"19-35",IF(Table1[[#This Row],[Age]]&lt;=50,"36-50",IF(Table1[[#This Row],[Age]]&lt;=65,"51-65","65+"))))</f>
        <v>65+</v>
      </c>
    </row>
    <row r="1272" spans="1:19" x14ac:dyDescent="0.3">
      <c r="A1272" s="3" t="s">
        <v>3849</v>
      </c>
      <c r="B1272" s="3">
        <v>42</v>
      </c>
      <c r="C1272" s="3" t="s">
        <v>16</v>
      </c>
      <c r="D1272" s="3" t="s">
        <v>103</v>
      </c>
      <c r="E1272" s="3" t="s">
        <v>93</v>
      </c>
      <c r="F1272" s="4">
        <v>45107</v>
      </c>
      <c r="G1272" s="3" t="s">
        <v>3850</v>
      </c>
      <c r="H1272" s="3" t="s">
        <v>3851</v>
      </c>
      <c r="I1272" s="3" t="s">
        <v>21</v>
      </c>
      <c r="J1272" s="5">
        <v>39115.311461024001</v>
      </c>
      <c r="K1272" s="3">
        <v>172</v>
      </c>
      <c r="L1272" s="3" t="s">
        <v>31</v>
      </c>
      <c r="M1272" s="4">
        <v>45112</v>
      </c>
      <c r="N1272" s="3" t="s">
        <v>23</v>
      </c>
      <c r="O1272" s="3" t="s">
        <v>24</v>
      </c>
      <c r="P1272" s="3" t="str">
        <f>IF(Table1[[#This Row],[Billing Amount]]&lt;5000,"Low",IF(Table1[[#This Row],[Billing Amount]]&lt;=15000,"Medium","High"))</f>
        <v>High</v>
      </c>
      <c r="Q1272" s="3" t="str">
        <f>IF(Table1[[#This Row],[Discharge Date]]="Yes","Discharged","Under Treatment")</f>
        <v>Under Treatment</v>
      </c>
      <c r="R1272" s="3" t="str">
        <f>IF(Table1[[#This Row],[Test Results]]&gt;120,"High Risk","Normal")</f>
        <v>High Risk</v>
      </c>
      <c r="S1272" s="3" t="str">
        <f>IF(Table1[[#This Row],[Age]]&lt;=18,"0-18",IF(Table1[[#This Row],[Age]]&lt;=35,"19-35",IF(Table1[[#This Row],[Age]]&lt;=50,"36-50",IF(Table1[[#This Row],[Age]]&lt;=65,"51-65","65+"))))</f>
        <v>36-50</v>
      </c>
    </row>
    <row r="1273" spans="1:19" x14ac:dyDescent="0.3">
      <c r="A1273" s="3" t="s">
        <v>3852</v>
      </c>
      <c r="B1273" s="3">
        <v>59</v>
      </c>
      <c r="C1273" s="3" t="s">
        <v>35</v>
      </c>
      <c r="D1273" s="3" t="s">
        <v>122</v>
      </c>
      <c r="E1273" s="3" t="s">
        <v>93</v>
      </c>
      <c r="F1273" s="4">
        <v>44357</v>
      </c>
      <c r="G1273" s="3" t="s">
        <v>3853</v>
      </c>
      <c r="H1273" s="3" t="s">
        <v>3854</v>
      </c>
      <c r="I1273" s="3" t="s">
        <v>39</v>
      </c>
      <c r="J1273" s="5">
        <v>11299.558909241199</v>
      </c>
      <c r="K1273" s="3">
        <v>234</v>
      </c>
      <c r="L1273" s="3" t="s">
        <v>31</v>
      </c>
      <c r="M1273" s="4">
        <v>44365</v>
      </c>
      <c r="N1273" s="3" t="s">
        <v>40</v>
      </c>
      <c r="O1273" s="3" t="s">
        <v>24</v>
      </c>
      <c r="P1273" s="3" t="str">
        <f>IF(Table1[[#This Row],[Billing Amount]]&lt;5000,"Low",IF(Table1[[#This Row],[Billing Amount]]&lt;=15000,"Medium","High"))</f>
        <v>Medium</v>
      </c>
      <c r="Q1273" s="3" t="str">
        <f>IF(Table1[[#This Row],[Discharge Date]]="Yes","Discharged","Under Treatment")</f>
        <v>Under Treatment</v>
      </c>
      <c r="R1273" s="3" t="str">
        <f>IF(Table1[[#This Row],[Test Results]]&gt;120,"High Risk","Normal")</f>
        <v>High Risk</v>
      </c>
      <c r="S1273" s="3" t="str">
        <f>IF(Table1[[#This Row],[Age]]&lt;=18,"0-18",IF(Table1[[#This Row],[Age]]&lt;=35,"19-35",IF(Table1[[#This Row],[Age]]&lt;=50,"36-50",IF(Table1[[#This Row],[Age]]&lt;=65,"51-65","65+"))))</f>
        <v>51-65</v>
      </c>
    </row>
    <row r="1274" spans="1:19" x14ac:dyDescent="0.3">
      <c r="A1274" s="3" t="s">
        <v>3855</v>
      </c>
      <c r="B1274" s="3">
        <v>55</v>
      </c>
      <c r="C1274" s="3" t="s">
        <v>35</v>
      </c>
      <c r="D1274" s="3" t="s">
        <v>103</v>
      </c>
      <c r="E1274" s="3" t="s">
        <v>54</v>
      </c>
      <c r="F1274" s="4">
        <v>45084</v>
      </c>
      <c r="G1274" s="3" t="s">
        <v>3856</v>
      </c>
      <c r="H1274" s="3" t="s">
        <v>3857</v>
      </c>
      <c r="I1274" s="3" t="s">
        <v>57</v>
      </c>
      <c r="J1274" s="5">
        <v>11908.081104631399</v>
      </c>
      <c r="K1274" s="3">
        <v>180</v>
      </c>
      <c r="L1274" s="3" t="s">
        <v>31</v>
      </c>
      <c r="M1274" s="4">
        <v>45101</v>
      </c>
      <c r="N1274" s="3" t="s">
        <v>79</v>
      </c>
      <c r="O1274" s="3" t="s">
        <v>47</v>
      </c>
      <c r="P1274" s="3" t="str">
        <f>IF(Table1[[#This Row],[Billing Amount]]&lt;5000,"Low",IF(Table1[[#This Row],[Billing Amount]]&lt;=15000,"Medium","High"))</f>
        <v>Medium</v>
      </c>
      <c r="Q1274" s="3" t="str">
        <f>IF(Table1[[#This Row],[Discharge Date]]="Yes","Discharged","Under Treatment")</f>
        <v>Under Treatment</v>
      </c>
      <c r="R1274" s="3" t="str">
        <f>IF(Table1[[#This Row],[Test Results]]&gt;120,"High Risk","Normal")</f>
        <v>High Risk</v>
      </c>
      <c r="S1274" s="3" t="str">
        <f>IF(Table1[[#This Row],[Age]]&lt;=18,"0-18",IF(Table1[[#This Row],[Age]]&lt;=35,"19-35",IF(Table1[[#This Row],[Age]]&lt;=50,"36-50",IF(Table1[[#This Row],[Age]]&lt;=65,"51-65","65+"))))</f>
        <v>51-65</v>
      </c>
    </row>
    <row r="1275" spans="1:19" x14ac:dyDescent="0.3">
      <c r="A1275" s="3" t="s">
        <v>3858</v>
      </c>
      <c r="B1275" s="3">
        <v>42</v>
      </c>
      <c r="C1275" s="3" t="s">
        <v>16</v>
      </c>
      <c r="D1275" s="3" t="s">
        <v>59</v>
      </c>
      <c r="E1275" s="3" t="s">
        <v>76</v>
      </c>
      <c r="F1275" s="4">
        <v>44803</v>
      </c>
      <c r="G1275" s="3" t="s">
        <v>3859</v>
      </c>
      <c r="H1275" s="3" t="s">
        <v>3860</v>
      </c>
      <c r="I1275" s="3" t="s">
        <v>57</v>
      </c>
      <c r="J1275" s="5">
        <v>27538.843547567401</v>
      </c>
      <c r="K1275" s="3">
        <v>314</v>
      </c>
      <c r="L1275" s="3" t="s">
        <v>46</v>
      </c>
      <c r="M1275" s="4">
        <v>44824</v>
      </c>
      <c r="N1275" s="3" t="s">
        <v>32</v>
      </c>
      <c r="O1275" s="3" t="s">
        <v>33</v>
      </c>
      <c r="P1275" s="3" t="str">
        <f>IF(Table1[[#This Row],[Billing Amount]]&lt;5000,"Low",IF(Table1[[#This Row],[Billing Amount]]&lt;=15000,"Medium","High"))</f>
        <v>High</v>
      </c>
      <c r="Q1275" s="3" t="str">
        <f>IF(Table1[[#This Row],[Discharge Date]]="Yes","Discharged","Under Treatment")</f>
        <v>Under Treatment</v>
      </c>
      <c r="R1275" s="3" t="str">
        <f>IF(Table1[[#This Row],[Test Results]]&gt;120,"High Risk","Normal")</f>
        <v>High Risk</v>
      </c>
      <c r="S1275" s="3" t="str">
        <f>IF(Table1[[#This Row],[Age]]&lt;=18,"0-18",IF(Table1[[#This Row],[Age]]&lt;=35,"19-35",IF(Table1[[#This Row],[Age]]&lt;=50,"36-50",IF(Table1[[#This Row],[Age]]&lt;=65,"51-65","65+"))))</f>
        <v>36-50</v>
      </c>
    </row>
    <row r="1276" spans="1:19" x14ac:dyDescent="0.3">
      <c r="A1276" s="3" t="s">
        <v>3861</v>
      </c>
      <c r="B1276" s="3">
        <v>62</v>
      </c>
      <c r="C1276" s="3" t="s">
        <v>35</v>
      </c>
      <c r="D1276" s="3" t="s">
        <v>59</v>
      </c>
      <c r="E1276" s="3" t="s">
        <v>76</v>
      </c>
      <c r="F1276" s="4">
        <v>43809</v>
      </c>
      <c r="G1276" s="3" t="s">
        <v>3862</v>
      </c>
      <c r="H1276" s="3" t="s">
        <v>3863</v>
      </c>
      <c r="I1276" s="3" t="s">
        <v>30</v>
      </c>
      <c r="J1276" s="5">
        <v>23061.198704038699</v>
      </c>
      <c r="K1276" s="3">
        <v>311</v>
      </c>
      <c r="L1276" s="3" t="s">
        <v>46</v>
      </c>
      <c r="M1276" s="4">
        <v>43815</v>
      </c>
      <c r="N1276" s="3" t="s">
        <v>40</v>
      </c>
      <c r="O1276" s="3" t="s">
        <v>33</v>
      </c>
      <c r="P1276" s="3" t="str">
        <f>IF(Table1[[#This Row],[Billing Amount]]&lt;5000,"Low",IF(Table1[[#This Row],[Billing Amount]]&lt;=15000,"Medium","High"))</f>
        <v>High</v>
      </c>
      <c r="Q1276" s="3" t="str">
        <f>IF(Table1[[#This Row],[Discharge Date]]="Yes","Discharged","Under Treatment")</f>
        <v>Under Treatment</v>
      </c>
      <c r="R1276" s="3" t="str">
        <f>IF(Table1[[#This Row],[Test Results]]&gt;120,"High Risk","Normal")</f>
        <v>High Risk</v>
      </c>
      <c r="S1276" s="3" t="str">
        <f>IF(Table1[[#This Row],[Age]]&lt;=18,"0-18",IF(Table1[[#This Row],[Age]]&lt;=35,"19-35",IF(Table1[[#This Row],[Age]]&lt;=50,"36-50",IF(Table1[[#This Row],[Age]]&lt;=65,"51-65","65+"))))</f>
        <v>51-65</v>
      </c>
    </row>
    <row r="1277" spans="1:19" x14ac:dyDescent="0.3">
      <c r="A1277" s="3" t="s">
        <v>3864</v>
      </c>
      <c r="B1277" s="3">
        <v>43</v>
      </c>
      <c r="C1277" s="3" t="s">
        <v>16</v>
      </c>
      <c r="D1277" s="3" t="s">
        <v>36</v>
      </c>
      <c r="E1277" s="3" t="s">
        <v>93</v>
      </c>
      <c r="F1277" s="4">
        <v>43971</v>
      </c>
      <c r="G1277" s="3" t="s">
        <v>3865</v>
      </c>
      <c r="H1277" s="3" t="s">
        <v>3866</v>
      </c>
      <c r="I1277" s="3" t="s">
        <v>30</v>
      </c>
      <c r="J1277" s="5">
        <v>13564.7165463458</v>
      </c>
      <c r="K1277" s="3">
        <v>282</v>
      </c>
      <c r="L1277" s="3" t="s">
        <v>46</v>
      </c>
      <c r="M1277" s="4">
        <v>43997</v>
      </c>
      <c r="N1277" s="3" t="s">
        <v>32</v>
      </c>
      <c r="O1277" s="3" t="s">
        <v>33</v>
      </c>
      <c r="P1277" s="3" t="str">
        <f>IF(Table1[[#This Row],[Billing Amount]]&lt;5000,"Low",IF(Table1[[#This Row],[Billing Amount]]&lt;=15000,"Medium","High"))</f>
        <v>Medium</v>
      </c>
      <c r="Q1277" s="3" t="str">
        <f>IF(Table1[[#This Row],[Discharge Date]]="Yes","Discharged","Under Treatment")</f>
        <v>Under Treatment</v>
      </c>
      <c r="R1277" s="3" t="str">
        <f>IF(Table1[[#This Row],[Test Results]]&gt;120,"High Risk","Normal")</f>
        <v>High Risk</v>
      </c>
      <c r="S1277" s="3" t="str">
        <f>IF(Table1[[#This Row],[Age]]&lt;=18,"0-18",IF(Table1[[#This Row],[Age]]&lt;=35,"19-35",IF(Table1[[#This Row],[Age]]&lt;=50,"36-50",IF(Table1[[#This Row],[Age]]&lt;=65,"51-65","65+"))))</f>
        <v>36-50</v>
      </c>
    </row>
    <row r="1278" spans="1:19" x14ac:dyDescent="0.3">
      <c r="A1278" s="3" t="s">
        <v>3867</v>
      </c>
      <c r="B1278" s="3">
        <v>40</v>
      </c>
      <c r="C1278" s="3" t="s">
        <v>16</v>
      </c>
      <c r="D1278" s="3" t="s">
        <v>26</v>
      </c>
      <c r="E1278" s="3" t="s">
        <v>18</v>
      </c>
      <c r="F1278" s="4">
        <v>44381</v>
      </c>
      <c r="G1278" s="3" t="s">
        <v>3868</v>
      </c>
      <c r="H1278" s="3" t="s">
        <v>3869</v>
      </c>
      <c r="I1278" s="3" t="s">
        <v>39</v>
      </c>
      <c r="J1278" s="5">
        <v>43396.852671876601</v>
      </c>
      <c r="K1278" s="3">
        <v>231</v>
      </c>
      <c r="L1278" s="3" t="s">
        <v>22</v>
      </c>
      <c r="M1278" s="4">
        <v>44402</v>
      </c>
      <c r="N1278" s="3" t="s">
        <v>79</v>
      </c>
      <c r="O1278" s="3" t="s">
        <v>33</v>
      </c>
      <c r="P1278" s="3" t="str">
        <f>IF(Table1[[#This Row],[Billing Amount]]&lt;5000,"Low",IF(Table1[[#This Row],[Billing Amount]]&lt;=15000,"Medium","High"))</f>
        <v>High</v>
      </c>
      <c r="Q1278" s="3" t="str">
        <f>IF(Table1[[#This Row],[Discharge Date]]="Yes","Discharged","Under Treatment")</f>
        <v>Under Treatment</v>
      </c>
      <c r="R1278" s="3" t="str">
        <f>IF(Table1[[#This Row],[Test Results]]&gt;120,"High Risk","Normal")</f>
        <v>High Risk</v>
      </c>
      <c r="S1278" s="3" t="str">
        <f>IF(Table1[[#This Row],[Age]]&lt;=18,"0-18",IF(Table1[[#This Row],[Age]]&lt;=35,"19-35",IF(Table1[[#This Row],[Age]]&lt;=50,"36-50",IF(Table1[[#This Row],[Age]]&lt;=65,"51-65","65+"))))</f>
        <v>36-50</v>
      </c>
    </row>
    <row r="1279" spans="1:19" x14ac:dyDescent="0.3">
      <c r="A1279" s="3" t="s">
        <v>3870</v>
      </c>
      <c r="B1279" s="3">
        <v>49</v>
      </c>
      <c r="C1279" s="3" t="s">
        <v>16</v>
      </c>
      <c r="D1279" s="3" t="s">
        <v>17</v>
      </c>
      <c r="E1279" s="3" t="s">
        <v>93</v>
      </c>
      <c r="F1279" s="4">
        <v>44938</v>
      </c>
      <c r="G1279" s="3" t="s">
        <v>3871</v>
      </c>
      <c r="H1279" s="3" t="s">
        <v>3872</v>
      </c>
      <c r="I1279" s="3" t="s">
        <v>21</v>
      </c>
      <c r="J1279" s="5">
        <v>29249.6739471254</v>
      </c>
      <c r="K1279" s="3">
        <v>132</v>
      </c>
      <c r="L1279" s="3" t="s">
        <v>46</v>
      </c>
      <c r="M1279" s="4">
        <v>44963</v>
      </c>
      <c r="N1279" s="3" t="s">
        <v>40</v>
      </c>
      <c r="O1279" s="3" t="s">
        <v>33</v>
      </c>
      <c r="P1279" s="3" t="str">
        <f>IF(Table1[[#This Row],[Billing Amount]]&lt;5000,"Low",IF(Table1[[#This Row],[Billing Amount]]&lt;=15000,"Medium","High"))</f>
        <v>High</v>
      </c>
      <c r="Q1279" s="3" t="str">
        <f>IF(Table1[[#This Row],[Discharge Date]]="Yes","Discharged","Under Treatment")</f>
        <v>Under Treatment</v>
      </c>
      <c r="R1279" s="3" t="str">
        <f>IF(Table1[[#This Row],[Test Results]]&gt;120,"High Risk","Normal")</f>
        <v>High Risk</v>
      </c>
      <c r="S1279" s="3" t="str">
        <f>IF(Table1[[#This Row],[Age]]&lt;=18,"0-18",IF(Table1[[#This Row],[Age]]&lt;=35,"19-35",IF(Table1[[#This Row],[Age]]&lt;=50,"36-50",IF(Table1[[#This Row],[Age]]&lt;=65,"51-65","65+"))))</f>
        <v>36-50</v>
      </c>
    </row>
    <row r="1280" spans="1:19" x14ac:dyDescent="0.3">
      <c r="A1280" s="3" t="s">
        <v>3873</v>
      </c>
      <c r="B1280" s="3">
        <v>66</v>
      </c>
      <c r="C1280" s="3" t="s">
        <v>35</v>
      </c>
      <c r="D1280" s="3" t="s">
        <v>103</v>
      </c>
      <c r="E1280" s="3" t="s">
        <v>76</v>
      </c>
      <c r="F1280" s="4">
        <v>44517</v>
      </c>
      <c r="G1280" s="3" t="s">
        <v>3874</v>
      </c>
      <c r="H1280" s="3" t="s">
        <v>3875</v>
      </c>
      <c r="I1280" s="3" t="s">
        <v>39</v>
      </c>
      <c r="J1280" s="5">
        <v>47649.696638220499</v>
      </c>
      <c r="K1280" s="3">
        <v>304</v>
      </c>
      <c r="L1280" s="3" t="s">
        <v>31</v>
      </c>
      <c r="M1280" s="4">
        <v>44539</v>
      </c>
      <c r="N1280" s="3" t="s">
        <v>52</v>
      </c>
      <c r="O1280" s="3" t="s">
        <v>47</v>
      </c>
      <c r="P1280" s="3" t="str">
        <f>IF(Table1[[#This Row],[Billing Amount]]&lt;5000,"Low",IF(Table1[[#This Row],[Billing Amount]]&lt;=15000,"Medium","High"))</f>
        <v>High</v>
      </c>
      <c r="Q1280" s="3" t="str">
        <f>IF(Table1[[#This Row],[Discharge Date]]="Yes","Discharged","Under Treatment")</f>
        <v>Under Treatment</v>
      </c>
      <c r="R1280" s="3" t="str">
        <f>IF(Table1[[#This Row],[Test Results]]&gt;120,"High Risk","Normal")</f>
        <v>High Risk</v>
      </c>
      <c r="S1280" s="3" t="str">
        <f>IF(Table1[[#This Row],[Age]]&lt;=18,"0-18",IF(Table1[[#This Row],[Age]]&lt;=35,"19-35",IF(Table1[[#This Row],[Age]]&lt;=50,"36-50",IF(Table1[[#This Row],[Age]]&lt;=65,"51-65","65+"))))</f>
        <v>65+</v>
      </c>
    </row>
    <row r="1281" spans="1:19" x14ac:dyDescent="0.3">
      <c r="A1281" s="3" t="s">
        <v>3876</v>
      </c>
      <c r="B1281" s="3">
        <v>27</v>
      </c>
      <c r="C1281" s="3" t="s">
        <v>16</v>
      </c>
      <c r="D1281" s="3" t="s">
        <v>122</v>
      </c>
      <c r="E1281" s="3" t="s">
        <v>54</v>
      </c>
      <c r="F1281" s="4">
        <v>44730</v>
      </c>
      <c r="G1281" s="3" t="s">
        <v>3449</v>
      </c>
      <c r="H1281" s="3" t="s">
        <v>3877</v>
      </c>
      <c r="I1281" s="3" t="s">
        <v>30</v>
      </c>
      <c r="J1281" s="5">
        <v>20593.4583015147</v>
      </c>
      <c r="K1281" s="3">
        <v>490</v>
      </c>
      <c r="L1281" s="3" t="s">
        <v>22</v>
      </c>
      <c r="M1281" s="4">
        <v>44758</v>
      </c>
      <c r="N1281" s="3" t="s">
        <v>79</v>
      </c>
      <c r="O1281" s="3" t="s">
        <v>24</v>
      </c>
      <c r="P1281" s="3" t="str">
        <f>IF(Table1[[#This Row],[Billing Amount]]&lt;5000,"Low",IF(Table1[[#This Row],[Billing Amount]]&lt;=15000,"Medium","High"))</f>
        <v>High</v>
      </c>
      <c r="Q1281" s="3" t="str">
        <f>IF(Table1[[#This Row],[Discharge Date]]="Yes","Discharged","Under Treatment")</f>
        <v>Under Treatment</v>
      </c>
      <c r="R1281" s="3" t="str">
        <f>IF(Table1[[#This Row],[Test Results]]&gt;120,"High Risk","Normal")</f>
        <v>High Risk</v>
      </c>
      <c r="S1281" s="3" t="str">
        <f>IF(Table1[[#This Row],[Age]]&lt;=18,"0-18",IF(Table1[[#This Row],[Age]]&lt;=35,"19-35",IF(Table1[[#This Row],[Age]]&lt;=50,"36-50",IF(Table1[[#This Row],[Age]]&lt;=65,"51-65","65+"))))</f>
        <v>19-35</v>
      </c>
    </row>
    <row r="1282" spans="1:19" x14ac:dyDescent="0.3">
      <c r="A1282" s="3" t="s">
        <v>3878</v>
      </c>
      <c r="B1282" s="3">
        <v>42</v>
      </c>
      <c r="C1282" s="3" t="s">
        <v>16</v>
      </c>
      <c r="D1282" s="3" t="s">
        <v>122</v>
      </c>
      <c r="E1282" s="3" t="s">
        <v>18</v>
      </c>
      <c r="F1282" s="4">
        <v>45048</v>
      </c>
      <c r="G1282" s="3" t="s">
        <v>3879</v>
      </c>
      <c r="H1282" s="3" t="s">
        <v>3880</v>
      </c>
      <c r="I1282" s="3" t="s">
        <v>57</v>
      </c>
      <c r="J1282" s="5">
        <v>49188.652308108598</v>
      </c>
      <c r="K1282" s="3">
        <v>381</v>
      </c>
      <c r="L1282" s="3" t="s">
        <v>31</v>
      </c>
      <c r="M1282" s="4">
        <v>45055</v>
      </c>
      <c r="N1282" s="3" t="s">
        <v>79</v>
      </c>
      <c r="O1282" s="3" t="s">
        <v>47</v>
      </c>
      <c r="P1282" s="3" t="str">
        <f>IF(Table1[[#This Row],[Billing Amount]]&lt;5000,"Low",IF(Table1[[#This Row],[Billing Amount]]&lt;=15000,"Medium","High"))</f>
        <v>High</v>
      </c>
      <c r="Q1282" s="3" t="str">
        <f>IF(Table1[[#This Row],[Discharge Date]]="Yes","Discharged","Under Treatment")</f>
        <v>Under Treatment</v>
      </c>
      <c r="R1282" s="3" t="str">
        <f>IF(Table1[[#This Row],[Test Results]]&gt;120,"High Risk","Normal")</f>
        <v>High Risk</v>
      </c>
      <c r="S1282" s="3" t="str">
        <f>IF(Table1[[#This Row],[Age]]&lt;=18,"0-18",IF(Table1[[#This Row],[Age]]&lt;=35,"19-35",IF(Table1[[#This Row],[Age]]&lt;=50,"36-50",IF(Table1[[#This Row],[Age]]&lt;=65,"51-65","65+"))))</f>
        <v>36-50</v>
      </c>
    </row>
    <row r="1283" spans="1:19" x14ac:dyDescent="0.3">
      <c r="A1283" s="3" t="s">
        <v>3881</v>
      </c>
      <c r="B1283" s="3">
        <v>52</v>
      </c>
      <c r="C1283" s="3" t="s">
        <v>35</v>
      </c>
      <c r="D1283" s="3" t="s">
        <v>49</v>
      </c>
      <c r="E1283" s="3" t="s">
        <v>27</v>
      </c>
      <c r="F1283" s="4">
        <v>43874</v>
      </c>
      <c r="G1283" s="3" t="s">
        <v>3882</v>
      </c>
      <c r="H1283" s="3" t="s">
        <v>3883</v>
      </c>
      <c r="I1283" s="3" t="s">
        <v>57</v>
      </c>
      <c r="J1283" s="5">
        <v>41022.400010580597</v>
      </c>
      <c r="K1283" s="3">
        <v>253</v>
      </c>
      <c r="L1283" s="3" t="s">
        <v>31</v>
      </c>
      <c r="M1283" s="4">
        <v>43903</v>
      </c>
      <c r="N1283" s="3" t="s">
        <v>40</v>
      </c>
      <c r="O1283" s="3" t="s">
        <v>47</v>
      </c>
      <c r="P1283" s="3" t="str">
        <f>IF(Table1[[#This Row],[Billing Amount]]&lt;5000,"Low",IF(Table1[[#This Row],[Billing Amount]]&lt;=15000,"Medium","High"))</f>
        <v>High</v>
      </c>
      <c r="Q1283" s="3" t="str">
        <f>IF(Table1[[#This Row],[Discharge Date]]="Yes","Discharged","Under Treatment")</f>
        <v>Under Treatment</v>
      </c>
      <c r="R1283" s="3" t="str">
        <f>IF(Table1[[#This Row],[Test Results]]&gt;120,"High Risk","Normal")</f>
        <v>High Risk</v>
      </c>
      <c r="S1283" s="3" t="str">
        <f>IF(Table1[[#This Row],[Age]]&lt;=18,"0-18",IF(Table1[[#This Row],[Age]]&lt;=35,"19-35",IF(Table1[[#This Row],[Age]]&lt;=50,"36-50",IF(Table1[[#This Row],[Age]]&lt;=65,"51-65","65+"))))</f>
        <v>51-65</v>
      </c>
    </row>
    <row r="1284" spans="1:19" x14ac:dyDescent="0.3">
      <c r="A1284" s="3" t="s">
        <v>3884</v>
      </c>
      <c r="B1284" s="3">
        <v>78</v>
      </c>
      <c r="C1284" s="3" t="s">
        <v>16</v>
      </c>
      <c r="D1284" s="3" t="s">
        <v>103</v>
      </c>
      <c r="E1284" s="3" t="s">
        <v>93</v>
      </c>
      <c r="F1284" s="4">
        <v>43934</v>
      </c>
      <c r="G1284" s="3" t="s">
        <v>799</v>
      </c>
      <c r="H1284" s="3" t="s">
        <v>3885</v>
      </c>
      <c r="I1284" s="3" t="s">
        <v>39</v>
      </c>
      <c r="J1284" s="5">
        <v>22072.365830566701</v>
      </c>
      <c r="K1284" s="3">
        <v>229</v>
      </c>
      <c r="L1284" s="3" t="s">
        <v>31</v>
      </c>
      <c r="M1284" s="4">
        <v>43953</v>
      </c>
      <c r="N1284" s="3" t="s">
        <v>52</v>
      </c>
      <c r="O1284" s="3" t="s">
        <v>33</v>
      </c>
      <c r="P1284" s="3" t="str">
        <f>IF(Table1[[#This Row],[Billing Amount]]&lt;5000,"Low",IF(Table1[[#This Row],[Billing Amount]]&lt;=15000,"Medium","High"))</f>
        <v>High</v>
      </c>
      <c r="Q1284" s="3" t="str">
        <f>IF(Table1[[#This Row],[Discharge Date]]="Yes","Discharged","Under Treatment")</f>
        <v>Under Treatment</v>
      </c>
      <c r="R1284" s="3" t="str">
        <f>IF(Table1[[#This Row],[Test Results]]&gt;120,"High Risk","Normal")</f>
        <v>High Risk</v>
      </c>
      <c r="S1284" s="3" t="str">
        <f>IF(Table1[[#This Row],[Age]]&lt;=18,"0-18",IF(Table1[[#This Row],[Age]]&lt;=35,"19-35",IF(Table1[[#This Row],[Age]]&lt;=50,"36-50",IF(Table1[[#This Row],[Age]]&lt;=65,"51-65","65+"))))</f>
        <v>65+</v>
      </c>
    </row>
    <row r="1285" spans="1:19" x14ac:dyDescent="0.3">
      <c r="A1285" s="3" t="s">
        <v>3886</v>
      </c>
      <c r="B1285" s="3">
        <v>68</v>
      </c>
      <c r="C1285" s="3" t="s">
        <v>16</v>
      </c>
      <c r="D1285" s="3" t="s">
        <v>103</v>
      </c>
      <c r="E1285" s="3" t="s">
        <v>54</v>
      </c>
      <c r="F1285" s="4">
        <v>44861</v>
      </c>
      <c r="G1285" s="3" t="s">
        <v>3887</v>
      </c>
      <c r="H1285" s="3" t="s">
        <v>3888</v>
      </c>
      <c r="I1285" s="3" t="s">
        <v>21</v>
      </c>
      <c r="J1285" s="5">
        <v>14070.3197603637</v>
      </c>
      <c r="K1285" s="3">
        <v>249</v>
      </c>
      <c r="L1285" s="3" t="s">
        <v>46</v>
      </c>
      <c r="M1285" s="4">
        <v>44886</v>
      </c>
      <c r="N1285" s="3" t="s">
        <v>79</v>
      </c>
      <c r="O1285" s="3" t="s">
        <v>47</v>
      </c>
      <c r="P1285" s="3" t="str">
        <f>IF(Table1[[#This Row],[Billing Amount]]&lt;5000,"Low",IF(Table1[[#This Row],[Billing Amount]]&lt;=15000,"Medium","High"))</f>
        <v>Medium</v>
      </c>
      <c r="Q1285" s="3" t="str">
        <f>IF(Table1[[#This Row],[Discharge Date]]="Yes","Discharged","Under Treatment")</f>
        <v>Under Treatment</v>
      </c>
      <c r="R1285" s="3" t="str">
        <f>IF(Table1[[#This Row],[Test Results]]&gt;120,"High Risk","Normal")</f>
        <v>High Risk</v>
      </c>
      <c r="S1285" s="3" t="str">
        <f>IF(Table1[[#This Row],[Age]]&lt;=18,"0-18",IF(Table1[[#This Row],[Age]]&lt;=35,"19-35",IF(Table1[[#This Row],[Age]]&lt;=50,"36-50",IF(Table1[[#This Row],[Age]]&lt;=65,"51-65","65+"))))</f>
        <v>65+</v>
      </c>
    </row>
    <row r="1286" spans="1:19" x14ac:dyDescent="0.3">
      <c r="A1286" s="3" t="s">
        <v>3889</v>
      </c>
      <c r="B1286" s="3">
        <v>65</v>
      </c>
      <c r="C1286" s="3" t="s">
        <v>35</v>
      </c>
      <c r="D1286" s="3" t="s">
        <v>36</v>
      </c>
      <c r="E1286" s="3" t="s">
        <v>76</v>
      </c>
      <c r="F1286" s="4">
        <v>44332</v>
      </c>
      <c r="G1286" s="3" t="s">
        <v>3890</v>
      </c>
      <c r="H1286" s="3" t="s">
        <v>3891</v>
      </c>
      <c r="I1286" s="3" t="s">
        <v>57</v>
      </c>
      <c r="J1286" s="5">
        <v>6020.5517641483902</v>
      </c>
      <c r="K1286" s="3">
        <v>168</v>
      </c>
      <c r="L1286" s="3" t="s">
        <v>46</v>
      </c>
      <c r="M1286" s="4">
        <v>44336</v>
      </c>
      <c r="N1286" s="3" t="s">
        <v>23</v>
      </c>
      <c r="O1286" s="3" t="s">
        <v>33</v>
      </c>
      <c r="P1286" s="3" t="str">
        <f>IF(Table1[[#This Row],[Billing Amount]]&lt;5000,"Low",IF(Table1[[#This Row],[Billing Amount]]&lt;=15000,"Medium","High"))</f>
        <v>Medium</v>
      </c>
      <c r="Q1286" s="3" t="str">
        <f>IF(Table1[[#This Row],[Discharge Date]]="Yes","Discharged","Under Treatment")</f>
        <v>Under Treatment</v>
      </c>
      <c r="R1286" s="3" t="str">
        <f>IF(Table1[[#This Row],[Test Results]]&gt;120,"High Risk","Normal")</f>
        <v>High Risk</v>
      </c>
      <c r="S1286" s="3" t="str">
        <f>IF(Table1[[#This Row],[Age]]&lt;=18,"0-18",IF(Table1[[#This Row],[Age]]&lt;=35,"19-35",IF(Table1[[#This Row],[Age]]&lt;=50,"36-50",IF(Table1[[#This Row],[Age]]&lt;=65,"51-65","65+"))))</f>
        <v>51-65</v>
      </c>
    </row>
    <row r="1287" spans="1:19" x14ac:dyDescent="0.3">
      <c r="A1287" s="3" t="s">
        <v>3892</v>
      </c>
      <c r="B1287" s="3">
        <v>77</v>
      </c>
      <c r="C1287" s="3" t="s">
        <v>16</v>
      </c>
      <c r="D1287" s="3" t="s">
        <v>42</v>
      </c>
      <c r="E1287" s="3" t="s">
        <v>18</v>
      </c>
      <c r="F1287" s="4">
        <v>44606</v>
      </c>
      <c r="G1287" s="3" t="s">
        <v>3893</v>
      </c>
      <c r="H1287" s="3" t="s">
        <v>3894</v>
      </c>
      <c r="I1287" s="3" t="s">
        <v>30</v>
      </c>
      <c r="J1287" s="5">
        <v>6297.6869162031999</v>
      </c>
      <c r="K1287" s="3">
        <v>304</v>
      </c>
      <c r="L1287" s="3" t="s">
        <v>46</v>
      </c>
      <c r="M1287" s="4">
        <v>44610</v>
      </c>
      <c r="N1287" s="3" t="s">
        <v>40</v>
      </c>
      <c r="O1287" s="3" t="s">
        <v>24</v>
      </c>
      <c r="P1287" s="3" t="str">
        <f>IF(Table1[[#This Row],[Billing Amount]]&lt;5000,"Low",IF(Table1[[#This Row],[Billing Amount]]&lt;=15000,"Medium","High"))</f>
        <v>Medium</v>
      </c>
      <c r="Q1287" s="3" t="str">
        <f>IF(Table1[[#This Row],[Discharge Date]]="Yes","Discharged","Under Treatment")</f>
        <v>Under Treatment</v>
      </c>
      <c r="R1287" s="3" t="str">
        <f>IF(Table1[[#This Row],[Test Results]]&gt;120,"High Risk","Normal")</f>
        <v>High Risk</v>
      </c>
      <c r="S1287" s="3" t="str">
        <f>IF(Table1[[#This Row],[Age]]&lt;=18,"0-18",IF(Table1[[#This Row],[Age]]&lt;=35,"19-35",IF(Table1[[#This Row],[Age]]&lt;=50,"36-50",IF(Table1[[#This Row],[Age]]&lt;=65,"51-65","65+"))))</f>
        <v>65+</v>
      </c>
    </row>
    <row r="1288" spans="1:19" x14ac:dyDescent="0.3">
      <c r="A1288" s="3" t="s">
        <v>3895</v>
      </c>
      <c r="B1288" s="3">
        <v>73</v>
      </c>
      <c r="C1288" s="3" t="s">
        <v>35</v>
      </c>
      <c r="D1288" s="3" t="s">
        <v>17</v>
      </c>
      <c r="E1288" s="3" t="s">
        <v>43</v>
      </c>
      <c r="F1288" s="4">
        <v>44094</v>
      </c>
      <c r="G1288" s="3" t="s">
        <v>3896</v>
      </c>
      <c r="H1288" s="3" t="s">
        <v>3897</v>
      </c>
      <c r="I1288" s="3" t="s">
        <v>21</v>
      </c>
      <c r="J1288" s="5">
        <v>12874.817185973799</v>
      </c>
      <c r="K1288" s="3">
        <v>174</v>
      </c>
      <c r="L1288" s="3" t="s">
        <v>31</v>
      </c>
      <c r="M1288" s="4">
        <v>44098</v>
      </c>
      <c r="N1288" s="3" t="s">
        <v>79</v>
      </c>
      <c r="O1288" s="3" t="s">
        <v>24</v>
      </c>
      <c r="P1288" s="3" t="str">
        <f>IF(Table1[[#This Row],[Billing Amount]]&lt;5000,"Low",IF(Table1[[#This Row],[Billing Amount]]&lt;=15000,"Medium","High"))</f>
        <v>Medium</v>
      </c>
      <c r="Q1288" s="3" t="str">
        <f>IF(Table1[[#This Row],[Discharge Date]]="Yes","Discharged","Under Treatment")</f>
        <v>Under Treatment</v>
      </c>
      <c r="R1288" s="3" t="str">
        <f>IF(Table1[[#This Row],[Test Results]]&gt;120,"High Risk","Normal")</f>
        <v>High Risk</v>
      </c>
      <c r="S1288" s="3" t="str">
        <f>IF(Table1[[#This Row],[Age]]&lt;=18,"0-18",IF(Table1[[#This Row],[Age]]&lt;=35,"19-35",IF(Table1[[#This Row],[Age]]&lt;=50,"36-50",IF(Table1[[#This Row],[Age]]&lt;=65,"51-65","65+"))))</f>
        <v>65+</v>
      </c>
    </row>
    <row r="1289" spans="1:19" x14ac:dyDescent="0.3">
      <c r="A1289" s="3" t="s">
        <v>3898</v>
      </c>
      <c r="B1289" s="3">
        <v>50</v>
      </c>
      <c r="C1289" s="3" t="s">
        <v>16</v>
      </c>
      <c r="D1289" s="3" t="s">
        <v>103</v>
      </c>
      <c r="E1289" s="3" t="s">
        <v>18</v>
      </c>
      <c r="F1289" s="4">
        <v>45009</v>
      </c>
      <c r="G1289" s="3" t="s">
        <v>3899</v>
      </c>
      <c r="H1289" s="3" t="s">
        <v>3900</v>
      </c>
      <c r="I1289" s="3" t="s">
        <v>57</v>
      </c>
      <c r="J1289" s="5">
        <v>2626.5173962067402</v>
      </c>
      <c r="K1289" s="3">
        <v>458</v>
      </c>
      <c r="L1289" s="3" t="s">
        <v>46</v>
      </c>
      <c r="M1289" s="4">
        <v>45019</v>
      </c>
      <c r="N1289" s="3" t="s">
        <v>52</v>
      </c>
      <c r="O1289" s="3" t="s">
        <v>24</v>
      </c>
      <c r="P1289" s="3" t="str">
        <f>IF(Table1[[#This Row],[Billing Amount]]&lt;5000,"Low",IF(Table1[[#This Row],[Billing Amount]]&lt;=15000,"Medium","High"))</f>
        <v>Low</v>
      </c>
      <c r="Q1289" s="3" t="str">
        <f>IF(Table1[[#This Row],[Discharge Date]]="Yes","Discharged","Under Treatment")</f>
        <v>Under Treatment</v>
      </c>
      <c r="R1289" s="3" t="str">
        <f>IF(Table1[[#This Row],[Test Results]]&gt;120,"High Risk","Normal")</f>
        <v>High Risk</v>
      </c>
      <c r="S1289" s="3" t="str">
        <f>IF(Table1[[#This Row],[Age]]&lt;=18,"0-18",IF(Table1[[#This Row],[Age]]&lt;=35,"19-35",IF(Table1[[#This Row],[Age]]&lt;=50,"36-50",IF(Table1[[#This Row],[Age]]&lt;=65,"51-65","65+"))))</f>
        <v>36-50</v>
      </c>
    </row>
    <row r="1290" spans="1:19" x14ac:dyDescent="0.3">
      <c r="A1290" s="3" t="s">
        <v>3901</v>
      </c>
      <c r="B1290" s="3">
        <v>75</v>
      </c>
      <c r="C1290" s="3" t="s">
        <v>35</v>
      </c>
      <c r="D1290" s="3" t="s">
        <v>26</v>
      </c>
      <c r="E1290" s="3" t="s">
        <v>54</v>
      </c>
      <c r="F1290" s="4">
        <v>44893</v>
      </c>
      <c r="G1290" s="3" t="s">
        <v>3902</v>
      </c>
      <c r="H1290" s="3" t="s">
        <v>3903</v>
      </c>
      <c r="I1290" s="3" t="s">
        <v>21</v>
      </c>
      <c r="J1290" s="5">
        <v>24500.126992236299</v>
      </c>
      <c r="K1290" s="3">
        <v>121</v>
      </c>
      <c r="L1290" s="3" t="s">
        <v>46</v>
      </c>
      <c r="M1290" s="4">
        <v>44919</v>
      </c>
      <c r="N1290" s="3" t="s">
        <v>79</v>
      </c>
      <c r="O1290" s="3" t="s">
        <v>33</v>
      </c>
      <c r="P1290" s="3" t="str">
        <f>IF(Table1[[#This Row],[Billing Amount]]&lt;5000,"Low",IF(Table1[[#This Row],[Billing Amount]]&lt;=15000,"Medium","High"))</f>
        <v>High</v>
      </c>
      <c r="Q1290" s="3" t="str">
        <f>IF(Table1[[#This Row],[Discharge Date]]="Yes","Discharged","Under Treatment")</f>
        <v>Under Treatment</v>
      </c>
      <c r="R1290" s="3" t="str">
        <f>IF(Table1[[#This Row],[Test Results]]&gt;120,"High Risk","Normal")</f>
        <v>High Risk</v>
      </c>
      <c r="S1290" s="3" t="str">
        <f>IF(Table1[[#This Row],[Age]]&lt;=18,"0-18",IF(Table1[[#This Row],[Age]]&lt;=35,"19-35",IF(Table1[[#This Row],[Age]]&lt;=50,"36-50",IF(Table1[[#This Row],[Age]]&lt;=65,"51-65","65+"))))</f>
        <v>65+</v>
      </c>
    </row>
    <row r="1291" spans="1:19" x14ac:dyDescent="0.3">
      <c r="A1291" s="3" t="s">
        <v>3904</v>
      </c>
      <c r="B1291" s="3">
        <v>55</v>
      </c>
      <c r="C1291" s="3" t="s">
        <v>16</v>
      </c>
      <c r="D1291" s="3" t="s">
        <v>122</v>
      </c>
      <c r="E1291" s="3" t="s">
        <v>27</v>
      </c>
      <c r="F1291" s="4">
        <v>44383</v>
      </c>
      <c r="G1291" s="3" t="s">
        <v>3905</v>
      </c>
      <c r="H1291" s="3" t="s">
        <v>3906</v>
      </c>
      <c r="I1291" s="3" t="s">
        <v>21</v>
      </c>
      <c r="J1291" s="5">
        <v>44045.051284885601</v>
      </c>
      <c r="K1291" s="3">
        <v>136</v>
      </c>
      <c r="L1291" s="3" t="s">
        <v>22</v>
      </c>
      <c r="M1291" s="4">
        <v>44413</v>
      </c>
      <c r="N1291" s="3" t="s">
        <v>79</v>
      </c>
      <c r="O1291" s="3" t="s">
        <v>47</v>
      </c>
      <c r="P1291" s="3" t="str">
        <f>IF(Table1[[#This Row],[Billing Amount]]&lt;5000,"Low",IF(Table1[[#This Row],[Billing Amount]]&lt;=15000,"Medium","High"))</f>
        <v>High</v>
      </c>
      <c r="Q1291" s="3" t="str">
        <f>IF(Table1[[#This Row],[Discharge Date]]="Yes","Discharged","Under Treatment")</f>
        <v>Under Treatment</v>
      </c>
      <c r="R1291" s="3" t="str">
        <f>IF(Table1[[#This Row],[Test Results]]&gt;120,"High Risk","Normal")</f>
        <v>High Risk</v>
      </c>
      <c r="S1291" s="3" t="str">
        <f>IF(Table1[[#This Row],[Age]]&lt;=18,"0-18",IF(Table1[[#This Row],[Age]]&lt;=35,"19-35",IF(Table1[[#This Row],[Age]]&lt;=50,"36-50",IF(Table1[[#This Row],[Age]]&lt;=65,"51-65","65+"))))</f>
        <v>51-65</v>
      </c>
    </row>
    <row r="1292" spans="1:19" x14ac:dyDescent="0.3">
      <c r="A1292" s="3" t="s">
        <v>3907</v>
      </c>
      <c r="B1292" s="3">
        <v>32</v>
      </c>
      <c r="C1292" s="3" t="s">
        <v>35</v>
      </c>
      <c r="D1292" s="3" t="s">
        <v>122</v>
      </c>
      <c r="E1292" s="3" t="s">
        <v>76</v>
      </c>
      <c r="F1292" s="4">
        <v>45238</v>
      </c>
      <c r="G1292" s="3" t="s">
        <v>3908</v>
      </c>
      <c r="H1292" s="3" t="s">
        <v>3909</v>
      </c>
      <c r="I1292" s="3" t="s">
        <v>65</v>
      </c>
      <c r="J1292" s="5">
        <v>7913.6383956011096</v>
      </c>
      <c r="K1292" s="3">
        <v>255</v>
      </c>
      <c r="L1292" s="3" t="s">
        <v>46</v>
      </c>
      <c r="M1292" s="4">
        <v>45264</v>
      </c>
      <c r="N1292" s="3" t="s">
        <v>79</v>
      </c>
      <c r="O1292" s="3" t="s">
        <v>24</v>
      </c>
      <c r="P1292" s="3" t="str">
        <f>IF(Table1[[#This Row],[Billing Amount]]&lt;5000,"Low",IF(Table1[[#This Row],[Billing Amount]]&lt;=15000,"Medium","High"))</f>
        <v>Medium</v>
      </c>
      <c r="Q1292" s="3" t="str">
        <f>IF(Table1[[#This Row],[Discharge Date]]="Yes","Discharged","Under Treatment")</f>
        <v>Under Treatment</v>
      </c>
      <c r="R1292" s="3" t="str">
        <f>IF(Table1[[#This Row],[Test Results]]&gt;120,"High Risk","Normal")</f>
        <v>High Risk</v>
      </c>
      <c r="S1292" s="3" t="str">
        <f>IF(Table1[[#This Row],[Age]]&lt;=18,"0-18",IF(Table1[[#This Row],[Age]]&lt;=35,"19-35",IF(Table1[[#This Row],[Age]]&lt;=50,"36-50",IF(Table1[[#This Row],[Age]]&lt;=65,"51-65","65+"))))</f>
        <v>19-35</v>
      </c>
    </row>
    <row r="1293" spans="1:19" x14ac:dyDescent="0.3">
      <c r="A1293" s="3" t="s">
        <v>3910</v>
      </c>
      <c r="B1293" s="3">
        <v>26</v>
      </c>
      <c r="C1293" s="3" t="s">
        <v>16</v>
      </c>
      <c r="D1293" s="3" t="s">
        <v>26</v>
      </c>
      <c r="E1293" s="3" t="s">
        <v>18</v>
      </c>
      <c r="F1293" s="4">
        <v>45357</v>
      </c>
      <c r="G1293" s="3" t="s">
        <v>3911</v>
      </c>
      <c r="H1293" s="3" t="s">
        <v>3912</v>
      </c>
      <c r="I1293" s="3" t="s">
        <v>57</v>
      </c>
      <c r="J1293" s="5">
        <v>43281.602891846604</v>
      </c>
      <c r="K1293" s="3">
        <v>253</v>
      </c>
      <c r="L1293" s="3" t="s">
        <v>46</v>
      </c>
      <c r="M1293" s="4">
        <v>45365</v>
      </c>
      <c r="N1293" s="3" t="s">
        <v>40</v>
      </c>
      <c r="O1293" s="3" t="s">
        <v>33</v>
      </c>
      <c r="P1293" s="3" t="str">
        <f>IF(Table1[[#This Row],[Billing Amount]]&lt;5000,"Low",IF(Table1[[#This Row],[Billing Amount]]&lt;=15000,"Medium","High"))</f>
        <v>High</v>
      </c>
      <c r="Q1293" s="3" t="str">
        <f>IF(Table1[[#This Row],[Discharge Date]]="Yes","Discharged","Under Treatment")</f>
        <v>Under Treatment</v>
      </c>
      <c r="R1293" s="3" t="str">
        <f>IF(Table1[[#This Row],[Test Results]]&gt;120,"High Risk","Normal")</f>
        <v>High Risk</v>
      </c>
      <c r="S1293" s="3" t="str">
        <f>IF(Table1[[#This Row],[Age]]&lt;=18,"0-18",IF(Table1[[#This Row],[Age]]&lt;=35,"19-35",IF(Table1[[#This Row],[Age]]&lt;=50,"36-50",IF(Table1[[#This Row],[Age]]&lt;=65,"51-65","65+"))))</f>
        <v>19-35</v>
      </c>
    </row>
    <row r="1294" spans="1:19" x14ac:dyDescent="0.3">
      <c r="A1294" s="3" t="s">
        <v>3913</v>
      </c>
      <c r="B1294" s="3">
        <v>71</v>
      </c>
      <c r="C1294" s="3" t="s">
        <v>35</v>
      </c>
      <c r="D1294" s="3" t="s">
        <v>122</v>
      </c>
      <c r="E1294" s="3" t="s">
        <v>93</v>
      </c>
      <c r="F1294" s="4">
        <v>43728</v>
      </c>
      <c r="G1294" s="3" t="s">
        <v>3914</v>
      </c>
      <c r="H1294" s="3" t="s">
        <v>3915</v>
      </c>
      <c r="I1294" s="3" t="s">
        <v>21</v>
      </c>
      <c r="J1294" s="5">
        <v>48327.049282770997</v>
      </c>
      <c r="K1294" s="3">
        <v>216</v>
      </c>
      <c r="L1294" s="3" t="s">
        <v>22</v>
      </c>
      <c r="M1294" s="4">
        <v>43752</v>
      </c>
      <c r="N1294" s="3" t="s">
        <v>23</v>
      </c>
      <c r="O1294" s="3" t="s">
        <v>24</v>
      </c>
      <c r="P1294" s="3" t="str">
        <f>IF(Table1[[#This Row],[Billing Amount]]&lt;5000,"Low",IF(Table1[[#This Row],[Billing Amount]]&lt;=15000,"Medium","High"))</f>
        <v>High</v>
      </c>
      <c r="Q1294" s="3" t="str">
        <f>IF(Table1[[#This Row],[Discharge Date]]="Yes","Discharged","Under Treatment")</f>
        <v>Under Treatment</v>
      </c>
      <c r="R1294" s="3" t="str">
        <f>IF(Table1[[#This Row],[Test Results]]&gt;120,"High Risk","Normal")</f>
        <v>High Risk</v>
      </c>
      <c r="S1294" s="3" t="str">
        <f>IF(Table1[[#This Row],[Age]]&lt;=18,"0-18",IF(Table1[[#This Row],[Age]]&lt;=35,"19-35",IF(Table1[[#This Row],[Age]]&lt;=50,"36-50",IF(Table1[[#This Row],[Age]]&lt;=65,"51-65","65+"))))</f>
        <v>65+</v>
      </c>
    </row>
    <row r="1295" spans="1:19" x14ac:dyDescent="0.3">
      <c r="A1295" s="3" t="s">
        <v>3916</v>
      </c>
      <c r="B1295" s="3">
        <v>78</v>
      </c>
      <c r="C1295" s="3" t="s">
        <v>16</v>
      </c>
      <c r="D1295" s="3" t="s">
        <v>103</v>
      </c>
      <c r="E1295" s="3" t="s">
        <v>76</v>
      </c>
      <c r="F1295" s="4">
        <v>44587</v>
      </c>
      <c r="G1295" s="3" t="s">
        <v>3917</v>
      </c>
      <c r="H1295" s="3" t="s">
        <v>3918</v>
      </c>
      <c r="I1295" s="3" t="s">
        <v>57</v>
      </c>
      <c r="J1295" s="5">
        <v>34697.347478866999</v>
      </c>
      <c r="K1295" s="3">
        <v>391</v>
      </c>
      <c r="L1295" s="3" t="s">
        <v>46</v>
      </c>
      <c r="M1295" s="4">
        <v>44603</v>
      </c>
      <c r="N1295" s="3" t="s">
        <v>79</v>
      </c>
      <c r="O1295" s="3" t="s">
        <v>24</v>
      </c>
      <c r="P1295" s="3" t="str">
        <f>IF(Table1[[#This Row],[Billing Amount]]&lt;5000,"Low",IF(Table1[[#This Row],[Billing Amount]]&lt;=15000,"Medium","High"))</f>
        <v>High</v>
      </c>
      <c r="Q1295" s="3" t="str">
        <f>IF(Table1[[#This Row],[Discharge Date]]="Yes","Discharged","Under Treatment")</f>
        <v>Under Treatment</v>
      </c>
      <c r="R1295" s="3" t="str">
        <f>IF(Table1[[#This Row],[Test Results]]&gt;120,"High Risk","Normal")</f>
        <v>High Risk</v>
      </c>
      <c r="S1295" s="3" t="str">
        <f>IF(Table1[[#This Row],[Age]]&lt;=18,"0-18",IF(Table1[[#This Row],[Age]]&lt;=35,"19-35",IF(Table1[[#This Row],[Age]]&lt;=50,"36-50",IF(Table1[[#This Row],[Age]]&lt;=65,"51-65","65+"))))</f>
        <v>65+</v>
      </c>
    </row>
    <row r="1296" spans="1:19" x14ac:dyDescent="0.3">
      <c r="A1296" s="3" t="s">
        <v>3919</v>
      </c>
      <c r="B1296" s="3">
        <v>34</v>
      </c>
      <c r="C1296" s="3" t="s">
        <v>16</v>
      </c>
      <c r="D1296" s="3" t="s">
        <v>36</v>
      </c>
      <c r="E1296" s="3" t="s">
        <v>54</v>
      </c>
      <c r="F1296" s="4">
        <v>43876</v>
      </c>
      <c r="G1296" s="3" t="s">
        <v>3920</v>
      </c>
      <c r="H1296" s="3" t="s">
        <v>3921</v>
      </c>
      <c r="I1296" s="3" t="s">
        <v>21</v>
      </c>
      <c r="J1296" s="5">
        <v>2190.5636059645699</v>
      </c>
      <c r="K1296" s="3">
        <v>367</v>
      </c>
      <c r="L1296" s="3" t="s">
        <v>22</v>
      </c>
      <c r="M1296" s="4">
        <v>43878</v>
      </c>
      <c r="N1296" s="3" t="s">
        <v>79</v>
      </c>
      <c r="O1296" s="3" t="s">
        <v>24</v>
      </c>
      <c r="P1296" s="3" t="str">
        <f>IF(Table1[[#This Row],[Billing Amount]]&lt;5000,"Low",IF(Table1[[#This Row],[Billing Amount]]&lt;=15000,"Medium","High"))</f>
        <v>Low</v>
      </c>
      <c r="Q1296" s="3" t="str">
        <f>IF(Table1[[#This Row],[Discharge Date]]="Yes","Discharged","Under Treatment")</f>
        <v>Under Treatment</v>
      </c>
      <c r="R1296" s="3" t="str">
        <f>IF(Table1[[#This Row],[Test Results]]&gt;120,"High Risk","Normal")</f>
        <v>High Risk</v>
      </c>
      <c r="S1296" s="3" t="str">
        <f>IF(Table1[[#This Row],[Age]]&lt;=18,"0-18",IF(Table1[[#This Row],[Age]]&lt;=35,"19-35",IF(Table1[[#This Row],[Age]]&lt;=50,"36-50",IF(Table1[[#This Row],[Age]]&lt;=65,"51-65","65+"))))</f>
        <v>19-35</v>
      </c>
    </row>
    <row r="1297" spans="1:19" x14ac:dyDescent="0.3">
      <c r="A1297" s="3" t="s">
        <v>3922</v>
      </c>
      <c r="B1297" s="3">
        <v>32</v>
      </c>
      <c r="C1297" s="3" t="s">
        <v>35</v>
      </c>
      <c r="D1297" s="3" t="s">
        <v>49</v>
      </c>
      <c r="E1297" s="3" t="s">
        <v>18</v>
      </c>
      <c r="F1297" s="4">
        <v>44991</v>
      </c>
      <c r="G1297" s="3" t="s">
        <v>3923</v>
      </c>
      <c r="H1297" s="3" t="s">
        <v>3924</v>
      </c>
      <c r="I1297" s="3" t="s">
        <v>30</v>
      </c>
      <c r="J1297" s="5">
        <v>32385.773334224101</v>
      </c>
      <c r="K1297" s="3">
        <v>152</v>
      </c>
      <c r="L1297" s="3" t="s">
        <v>31</v>
      </c>
      <c r="M1297" s="4">
        <v>45015</v>
      </c>
      <c r="N1297" s="3" t="s">
        <v>23</v>
      </c>
      <c r="O1297" s="3" t="s">
        <v>24</v>
      </c>
      <c r="P1297" s="3" t="str">
        <f>IF(Table1[[#This Row],[Billing Amount]]&lt;5000,"Low",IF(Table1[[#This Row],[Billing Amount]]&lt;=15000,"Medium","High"))</f>
        <v>High</v>
      </c>
      <c r="Q1297" s="3" t="str">
        <f>IF(Table1[[#This Row],[Discharge Date]]="Yes","Discharged","Under Treatment")</f>
        <v>Under Treatment</v>
      </c>
      <c r="R1297" s="3" t="str">
        <f>IF(Table1[[#This Row],[Test Results]]&gt;120,"High Risk","Normal")</f>
        <v>High Risk</v>
      </c>
      <c r="S1297" s="3" t="str">
        <f>IF(Table1[[#This Row],[Age]]&lt;=18,"0-18",IF(Table1[[#This Row],[Age]]&lt;=35,"19-35",IF(Table1[[#This Row],[Age]]&lt;=50,"36-50",IF(Table1[[#This Row],[Age]]&lt;=65,"51-65","65+"))))</f>
        <v>19-35</v>
      </c>
    </row>
    <row r="1298" spans="1:19" x14ac:dyDescent="0.3">
      <c r="A1298" s="3" t="s">
        <v>3925</v>
      </c>
      <c r="B1298" s="3">
        <v>79</v>
      </c>
      <c r="C1298" s="3" t="s">
        <v>35</v>
      </c>
      <c r="D1298" s="3" t="s">
        <v>122</v>
      </c>
      <c r="E1298" s="3" t="s">
        <v>43</v>
      </c>
      <c r="F1298" s="4">
        <v>43602</v>
      </c>
      <c r="G1298" s="3" t="s">
        <v>3926</v>
      </c>
      <c r="H1298" s="3" t="s">
        <v>3927</v>
      </c>
      <c r="I1298" s="3" t="s">
        <v>30</v>
      </c>
      <c r="J1298" s="5">
        <v>12020.716487472801</v>
      </c>
      <c r="K1298" s="3">
        <v>425</v>
      </c>
      <c r="L1298" s="3" t="s">
        <v>46</v>
      </c>
      <c r="M1298" s="4">
        <v>43617</v>
      </c>
      <c r="N1298" s="3" t="s">
        <v>79</v>
      </c>
      <c r="O1298" s="3" t="s">
        <v>33</v>
      </c>
      <c r="P1298" s="3" t="str">
        <f>IF(Table1[[#This Row],[Billing Amount]]&lt;5000,"Low",IF(Table1[[#This Row],[Billing Amount]]&lt;=15000,"Medium","High"))</f>
        <v>Medium</v>
      </c>
      <c r="Q1298" s="3" t="str">
        <f>IF(Table1[[#This Row],[Discharge Date]]="Yes","Discharged","Under Treatment")</f>
        <v>Under Treatment</v>
      </c>
      <c r="R1298" s="3" t="str">
        <f>IF(Table1[[#This Row],[Test Results]]&gt;120,"High Risk","Normal")</f>
        <v>High Risk</v>
      </c>
      <c r="S1298" s="3" t="str">
        <f>IF(Table1[[#This Row],[Age]]&lt;=18,"0-18",IF(Table1[[#This Row],[Age]]&lt;=35,"19-35",IF(Table1[[#This Row],[Age]]&lt;=50,"36-50",IF(Table1[[#This Row],[Age]]&lt;=65,"51-65","65+"))))</f>
        <v>65+</v>
      </c>
    </row>
    <row r="1299" spans="1:19" x14ac:dyDescent="0.3">
      <c r="A1299" s="3" t="s">
        <v>3928</v>
      </c>
      <c r="B1299" s="3">
        <v>60</v>
      </c>
      <c r="C1299" s="3" t="s">
        <v>16</v>
      </c>
      <c r="D1299" s="3" t="s">
        <v>59</v>
      </c>
      <c r="E1299" s="3" t="s">
        <v>93</v>
      </c>
      <c r="F1299" s="4">
        <v>43995</v>
      </c>
      <c r="G1299" s="3" t="s">
        <v>3929</v>
      </c>
      <c r="H1299" s="3" t="s">
        <v>3930</v>
      </c>
      <c r="I1299" s="3" t="s">
        <v>30</v>
      </c>
      <c r="J1299" s="5">
        <v>16810.2802163204</v>
      </c>
      <c r="K1299" s="3">
        <v>115</v>
      </c>
      <c r="L1299" s="3" t="s">
        <v>22</v>
      </c>
      <c r="M1299" s="4">
        <v>44016</v>
      </c>
      <c r="N1299" s="3" t="s">
        <v>40</v>
      </c>
      <c r="O1299" s="3" t="s">
        <v>47</v>
      </c>
      <c r="P1299" s="3" t="str">
        <f>IF(Table1[[#This Row],[Billing Amount]]&lt;5000,"Low",IF(Table1[[#This Row],[Billing Amount]]&lt;=15000,"Medium","High"))</f>
        <v>High</v>
      </c>
      <c r="Q1299" s="3" t="str">
        <f>IF(Table1[[#This Row],[Discharge Date]]="Yes","Discharged","Under Treatment")</f>
        <v>Under Treatment</v>
      </c>
      <c r="R1299" s="3" t="str">
        <f>IF(Table1[[#This Row],[Test Results]]&gt;120,"High Risk","Normal")</f>
        <v>High Risk</v>
      </c>
      <c r="S1299" s="3" t="str">
        <f>IF(Table1[[#This Row],[Age]]&lt;=18,"0-18",IF(Table1[[#This Row],[Age]]&lt;=35,"19-35",IF(Table1[[#This Row],[Age]]&lt;=50,"36-50",IF(Table1[[#This Row],[Age]]&lt;=65,"51-65","65+"))))</f>
        <v>51-65</v>
      </c>
    </row>
    <row r="1300" spans="1:19" x14ac:dyDescent="0.3">
      <c r="A1300" s="3" t="s">
        <v>3931</v>
      </c>
      <c r="B1300" s="3">
        <v>22</v>
      </c>
      <c r="C1300" s="3" t="s">
        <v>35</v>
      </c>
      <c r="D1300" s="3" t="s">
        <v>17</v>
      </c>
      <c r="E1300" s="3" t="s">
        <v>93</v>
      </c>
      <c r="F1300" s="4">
        <v>43830</v>
      </c>
      <c r="G1300" s="3" t="s">
        <v>3932</v>
      </c>
      <c r="H1300" s="3" t="s">
        <v>3933</v>
      </c>
      <c r="I1300" s="3" t="s">
        <v>30</v>
      </c>
      <c r="J1300" s="5">
        <v>9585.07136569674</v>
      </c>
      <c r="K1300" s="3">
        <v>424</v>
      </c>
      <c r="L1300" s="3" t="s">
        <v>31</v>
      </c>
      <c r="M1300" s="4">
        <v>43851</v>
      </c>
      <c r="N1300" s="3" t="s">
        <v>32</v>
      </c>
      <c r="O1300" s="3" t="s">
        <v>24</v>
      </c>
      <c r="P1300" s="3" t="str">
        <f>IF(Table1[[#This Row],[Billing Amount]]&lt;5000,"Low",IF(Table1[[#This Row],[Billing Amount]]&lt;=15000,"Medium","High"))</f>
        <v>Medium</v>
      </c>
      <c r="Q1300" s="3" t="str">
        <f>IF(Table1[[#This Row],[Discharge Date]]="Yes","Discharged","Under Treatment")</f>
        <v>Under Treatment</v>
      </c>
      <c r="R1300" s="3" t="str">
        <f>IF(Table1[[#This Row],[Test Results]]&gt;120,"High Risk","Normal")</f>
        <v>High Risk</v>
      </c>
      <c r="S1300" s="3" t="str">
        <f>IF(Table1[[#This Row],[Age]]&lt;=18,"0-18",IF(Table1[[#This Row],[Age]]&lt;=35,"19-35",IF(Table1[[#This Row],[Age]]&lt;=50,"36-50",IF(Table1[[#This Row],[Age]]&lt;=65,"51-65","65+"))))</f>
        <v>19-35</v>
      </c>
    </row>
    <row r="1301" spans="1:19" x14ac:dyDescent="0.3">
      <c r="A1301" s="3" t="s">
        <v>3934</v>
      </c>
      <c r="B1301" s="3">
        <v>40</v>
      </c>
      <c r="C1301" s="3" t="s">
        <v>35</v>
      </c>
      <c r="D1301" s="3" t="s">
        <v>17</v>
      </c>
      <c r="E1301" s="3" t="s">
        <v>76</v>
      </c>
      <c r="F1301" s="4">
        <v>45251</v>
      </c>
      <c r="G1301" s="3" t="s">
        <v>3935</v>
      </c>
      <c r="H1301" s="3" t="s">
        <v>3936</v>
      </c>
      <c r="I1301" s="3" t="s">
        <v>30</v>
      </c>
      <c r="J1301" s="5">
        <v>45918.4093448965</v>
      </c>
      <c r="K1301" s="3">
        <v>203</v>
      </c>
      <c r="L1301" s="3" t="s">
        <v>46</v>
      </c>
      <c r="M1301" s="4">
        <v>45279</v>
      </c>
      <c r="N1301" s="3" t="s">
        <v>32</v>
      </c>
      <c r="O1301" s="3" t="s">
        <v>24</v>
      </c>
      <c r="P1301" s="3" t="str">
        <f>IF(Table1[[#This Row],[Billing Amount]]&lt;5000,"Low",IF(Table1[[#This Row],[Billing Amount]]&lt;=15000,"Medium","High"))</f>
        <v>High</v>
      </c>
      <c r="Q1301" s="3" t="str">
        <f>IF(Table1[[#This Row],[Discharge Date]]="Yes","Discharged","Under Treatment")</f>
        <v>Under Treatment</v>
      </c>
      <c r="R1301" s="3" t="str">
        <f>IF(Table1[[#This Row],[Test Results]]&gt;120,"High Risk","Normal")</f>
        <v>High Risk</v>
      </c>
      <c r="S1301" s="3" t="str">
        <f>IF(Table1[[#This Row],[Age]]&lt;=18,"0-18",IF(Table1[[#This Row],[Age]]&lt;=35,"19-35",IF(Table1[[#This Row],[Age]]&lt;=50,"36-50",IF(Table1[[#This Row],[Age]]&lt;=65,"51-65","65+"))))</f>
        <v>36-50</v>
      </c>
    </row>
    <row r="1302" spans="1:19" x14ac:dyDescent="0.3">
      <c r="A1302" s="3" t="s">
        <v>3938</v>
      </c>
      <c r="B1302" s="3">
        <v>18</v>
      </c>
      <c r="C1302" s="3" t="s">
        <v>35</v>
      </c>
      <c r="D1302" s="3" t="s">
        <v>122</v>
      </c>
      <c r="E1302" s="3" t="s">
        <v>54</v>
      </c>
      <c r="F1302" s="4">
        <v>45006</v>
      </c>
      <c r="G1302" s="3" t="s">
        <v>3939</v>
      </c>
      <c r="H1302" s="3" t="s">
        <v>3940</v>
      </c>
      <c r="I1302" s="3" t="s">
        <v>57</v>
      </c>
      <c r="J1302" s="5">
        <v>36063.783979170403</v>
      </c>
      <c r="K1302" s="3">
        <v>211</v>
      </c>
      <c r="L1302" s="3" t="s">
        <v>46</v>
      </c>
      <c r="M1302" s="4">
        <v>45023</v>
      </c>
      <c r="N1302" s="3" t="s">
        <v>52</v>
      </c>
      <c r="O1302" s="3" t="s">
        <v>24</v>
      </c>
      <c r="P1302" s="3" t="str">
        <f>IF(Table1[[#This Row],[Billing Amount]]&lt;5000,"Low",IF(Table1[[#This Row],[Billing Amount]]&lt;=15000,"Medium","High"))</f>
        <v>High</v>
      </c>
      <c r="Q1302" s="3" t="str">
        <f>IF(Table1[[#This Row],[Discharge Date]]="Yes","Discharged","Under Treatment")</f>
        <v>Under Treatment</v>
      </c>
      <c r="R1302" s="3" t="str">
        <f>IF(Table1[[#This Row],[Test Results]]&gt;120,"High Risk","Normal")</f>
        <v>High Risk</v>
      </c>
      <c r="S1302" s="3" t="str">
        <f>IF(Table1[[#This Row],[Age]]&lt;=18,"0-18",IF(Table1[[#This Row],[Age]]&lt;=35,"19-35",IF(Table1[[#This Row],[Age]]&lt;=50,"36-50",IF(Table1[[#This Row],[Age]]&lt;=65,"51-65","65+"))))</f>
        <v>0-18</v>
      </c>
    </row>
    <row r="1303" spans="1:19" x14ac:dyDescent="0.3">
      <c r="A1303" s="3" t="s">
        <v>3941</v>
      </c>
      <c r="B1303" s="3">
        <v>25</v>
      </c>
      <c r="C1303" s="3" t="s">
        <v>16</v>
      </c>
      <c r="D1303" s="3" t="s">
        <v>59</v>
      </c>
      <c r="E1303" s="3" t="s">
        <v>54</v>
      </c>
      <c r="F1303" s="4">
        <v>43816</v>
      </c>
      <c r="G1303" s="3" t="s">
        <v>3942</v>
      </c>
      <c r="H1303" s="3" t="s">
        <v>3943</v>
      </c>
      <c r="I1303" s="3" t="s">
        <v>39</v>
      </c>
      <c r="J1303" s="5">
        <v>15526.457763307</v>
      </c>
      <c r="K1303" s="3">
        <v>201</v>
      </c>
      <c r="L1303" s="3" t="s">
        <v>46</v>
      </c>
      <c r="M1303" s="4">
        <v>43835</v>
      </c>
      <c r="N1303" s="3" t="s">
        <v>23</v>
      </c>
      <c r="O1303" s="3" t="s">
        <v>33</v>
      </c>
      <c r="P1303" s="3" t="str">
        <f>IF(Table1[[#This Row],[Billing Amount]]&lt;5000,"Low",IF(Table1[[#This Row],[Billing Amount]]&lt;=15000,"Medium","High"))</f>
        <v>High</v>
      </c>
      <c r="Q1303" s="3" t="str">
        <f>IF(Table1[[#This Row],[Discharge Date]]="Yes","Discharged","Under Treatment")</f>
        <v>Under Treatment</v>
      </c>
      <c r="R1303" s="3" t="str">
        <f>IF(Table1[[#This Row],[Test Results]]&gt;120,"High Risk","Normal")</f>
        <v>High Risk</v>
      </c>
      <c r="S1303" s="3" t="str">
        <f>IF(Table1[[#This Row],[Age]]&lt;=18,"0-18",IF(Table1[[#This Row],[Age]]&lt;=35,"19-35",IF(Table1[[#This Row],[Age]]&lt;=50,"36-50",IF(Table1[[#This Row],[Age]]&lt;=65,"51-65","65+"))))</f>
        <v>19-35</v>
      </c>
    </row>
    <row r="1304" spans="1:19" x14ac:dyDescent="0.3">
      <c r="A1304" s="3" t="s">
        <v>3944</v>
      </c>
      <c r="B1304" s="3">
        <v>51</v>
      </c>
      <c r="C1304" s="3" t="s">
        <v>35</v>
      </c>
      <c r="D1304" s="3" t="s">
        <v>122</v>
      </c>
      <c r="E1304" s="3" t="s">
        <v>27</v>
      </c>
      <c r="F1304" s="4">
        <v>45406</v>
      </c>
      <c r="G1304" s="3" t="s">
        <v>3945</v>
      </c>
      <c r="H1304" s="3" t="s">
        <v>3946</v>
      </c>
      <c r="I1304" s="3" t="s">
        <v>57</v>
      </c>
      <c r="J1304" s="5">
        <v>7381.4228393816302</v>
      </c>
      <c r="K1304" s="3">
        <v>306</v>
      </c>
      <c r="L1304" s="3" t="s">
        <v>46</v>
      </c>
      <c r="M1304" s="4">
        <v>45415</v>
      </c>
      <c r="N1304" s="3" t="s">
        <v>23</v>
      </c>
      <c r="O1304" s="3" t="s">
        <v>24</v>
      </c>
      <c r="P1304" s="3" t="str">
        <f>IF(Table1[[#This Row],[Billing Amount]]&lt;5000,"Low",IF(Table1[[#This Row],[Billing Amount]]&lt;=15000,"Medium","High"))</f>
        <v>Medium</v>
      </c>
      <c r="Q1304" s="3" t="str">
        <f>IF(Table1[[#This Row],[Discharge Date]]="Yes","Discharged","Under Treatment")</f>
        <v>Under Treatment</v>
      </c>
      <c r="R1304" s="3" t="str">
        <f>IF(Table1[[#This Row],[Test Results]]&gt;120,"High Risk","Normal")</f>
        <v>High Risk</v>
      </c>
      <c r="S1304" s="3" t="str">
        <f>IF(Table1[[#This Row],[Age]]&lt;=18,"0-18",IF(Table1[[#This Row],[Age]]&lt;=35,"19-35",IF(Table1[[#This Row],[Age]]&lt;=50,"36-50",IF(Table1[[#This Row],[Age]]&lt;=65,"51-65","65+"))))</f>
        <v>51-65</v>
      </c>
    </row>
    <row r="1305" spans="1:19" x14ac:dyDescent="0.3">
      <c r="A1305" s="3" t="s">
        <v>3947</v>
      </c>
      <c r="B1305" s="3">
        <v>66</v>
      </c>
      <c r="C1305" s="3" t="s">
        <v>16</v>
      </c>
      <c r="D1305" s="3" t="s">
        <v>59</v>
      </c>
      <c r="E1305" s="3" t="s">
        <v>18</v>
      </c>
      <c r="F1305" s="4">
        <v>44611</v>
      </c>
      <c r="G1305" s="3" t="s">
        <v>3948</v>
      </c>
      <c r="H1305" s="3" t="s">
        <v>3949</v>
      </c>
      <c r="I1305" s="3" t="s">
        <v>57</v>
      </c>
      <c r="J1305" s="5">
        <v>28185.0650186122</v>
      </c>
      <c r="K1305" s="3">
        <v>458</v>
      </c>
      <c r="L1305" s="3" t="s">
        <v>22</v>
      </c>
      <c r="M1305" s="4">
        <v>44625</v>
      </c>
      <c r="N1305" s="3" t="s">
        <v>40</v>
      </c>
      <c r="O1305" s="3" t="s">
        <v>47</v>
      </c>
      <c r="P1305" s="3" t="str">
        <f>IF(Table1[[#This Row],[Billing Amount]]&lt;5000,"Low",IF(Table1[[#This Row],[Billing Amount]]&lt;=15000,"Medium","High"))</f>
        <v>High</v>
      </c>
      <c r="Q1305" s="3" t="str">
        <f>IF(Table1[[#This Row],[Discharge Date]]="Yes","Discharged","Under Treatment")</f>
        <v>Under Treatment</v>
      </c>
      <c r="R1305" s="3" t="str">
        <f>IF(Table1[[#This Row],[Test Results]]&gt;120,"High Risk","Normal")</f>
        <v>High Risk</v>
      </c>
      <c r="S1305" s="3" t="str">
        <f>IF(Table1[[#This Row],[Age]]&lt;=18,"0-18",IF(Table1[[#This Row],[Age]]&lt;=35,"19-35",IF(Table1[[#This Row],[Age]]&lt;=50,"36-50",IF(Table1[[#This Row],[Age]]&lt;=65,"51-65","65+"))))</f>
        <v>65+</v>
      </c>
    </row>
    <row r="1306" spans="1:19" x14ac:dyDescent="0.3">
      <c r="A1306" s="3" t="s">
        <v>3950</v>
      </c>
      <c r="B1306" s="3">
        <v>34</v>
      </c>
      <c r="C1306" s="3" t="s">
        <v>16</v>
      </c>
      <c r="D1306" s="3" t="s">
        <v>17</v>
      </c>
      <c r="E1306" s="3" t="s">
        <v>18</v>
      </c>
      <c r="F1306" s="4">
        <v>44665</v>
      </c>
      <c r="G1306" s="3" t="s">
        <v>3951</v>
      </c>
      <c r="H1306" s="3" t="s">
        <v>3952</v>
      </c>
      <c r="I1306" s="3" t="s">
        <v>65</v>
      </c>
      <c r="J1306" s="5">
        <v>39507.855295020701</v>
      </c>
      <c r="K1306" s="3">
        <v>179</v>
      </c>
      <c r="L1306" s="3" t="s">
        <v>46</v>
      </c>
      <c r="M1306" s="4">
        <v>44678</v>
      </c>
      <c r="N1306" s="3" t="s">
        <v>79</v>
      </c>
      <c r="O1306" s="3" t="s">
        <v>24</v>
      </c>
      <c r="P1306" s="3" t="str">
        <f>IF(Table1[[#This Row],[Billing Amount]]&lt;5000,"Low",IF(Table1[[#This Row],[Billing Amount]]&lt;=15000,"Medium","High"))</f>
        <v>High</v>
      </c>
      <c r="Q1306" s="3" t="str">
        <f>IF(Table1[[#This Row],[Discharge Date]]="Yes","Discharged","Under Treatment")</f>
        <v>Under Treatment</v>
      </c>
      <c r="R1306" s="3" t="str">
        <f>IF(Table1[[#This Row],[Test Results]]&gt;120,"High Risk","Normal")</f>
        <v>High Risk</v>
      </c>
      <c r="S1306" s="3" t="str">
        <f>IF(Table1[[#This Row],[Age]]&lt;=18,"0-18",IF(Table1[[#This Row],[Age]]&lt;=35,"19-35",IF(Table1[[#This Row],[Age]]&lt;=50,"36-50",IF(Table1[[#This Row],[Age]]&lt;=65,"51-65","65+"))))</f>
        <v>19-35</v>
      </c>
    </row>
    <row r="1307" spans="1:19" x14ac:dyDescent="0.3">
      <c r="A1307" s="3" t="s">
        <v>3953</v>
      </c>
      <c r="B1307" s="3">
        <v>25</v>
      </c>
      <c r="C1307" s="3" t="s">
        <v>35</v>
      </c>
      <c r="D1307" s="3" t="s">
        <v>59</v>
      </c>
      <c r="E1307" s="3" t="s">
        <v>18</v>
      </c>
      <c r="F1307" s="4">
        <v>44434</v>
      </c>
      <c r="G1307" s="3" t="s">
        <v>3954</v>
      </c>
      <c r="H1307" s="3" t="s">
        <v>3955</v>
      </c>
      <c r="I1307" s="3" t="s">
        <v>65</v>
      </c>
      <c r="J1307" s="5">
        <v>7753.1110142290299</v>
      </c>
      <c r="K1307" s="3">
        <v>241</v>
      </c>
      <c r="L1307" s="3" t="s">
        <v>31</v>
      </c>
      <c r="M1307" s="4">
        <v>44462</v>
      </c>
      <c r="N1307" s="3" t="s">
        <v>40</v>
      </c>
      <c r="O1307" s="3" t="s">
        <v>47</v>
      </c>
      <c r="P1307" s="3" t="str">
        <f>IF(Table1[[#This Row],[Billing Amount]]&lt;5000,"Low",IF(Table1[[#This Row],[Billing Amount]]&lt;=15000,"Medium","High"))</f>
        <v>Medium</v>
      </c>
      <c r="Q1307" s="3" t="str">
        <f>IF(Table1[[#This Row],[Discharge Date]]="Yes","Discharged","Under Treatment")</f>
        <v>Under Treatment</v>
      </c>
      <c r="R1307" s="3" t="str">
        <f>IF(Table1[[#This Row],[Test Results]]&gt;120,"High Risk","Normal")</f>
        <v>High Risk</v>
      </c>
      <c r="S1307" s="3" t="str">
        <f>IF(Table1[[#This Row],[Age]]&lt;=18,"0-18",IF(Table1[[#This Row],[Age]]&lt;=35,"19-35",IF(Table1[[#This Row],[Age]]&lt;=50,"36-50",IF(Table1[[#This Row],[Age]]&lt;=65,"51-65","65+"))))</f>
        <v>19-35</v>
      </c>
    </row>
    <row r="1308" spans="1:19" x14ac:dyDescent="0.3">
      <c r="A1308" s="3" t="s">
        <v>3956</v>
      </c>
      <c r="B1308" s="3">
        <v>75</v>
      </c>
      <c r="C1308" s="3" t="s">
        <v>35</v>
      </c>
      <c r="D1308" s="3" t="s">
        <v>36</v>
      </c>
      <c r="E1308" s="3" t="s">
        <v>54</v>
      </c>
      <c r="F1308" s="4">
        <v>44475</v>
      </c>
      <c r="G1308" s="3" t="s">
        <v>3957</v>
      </c>
      <c r="H1308" s="3" t="s">
        <v>3958</v>
      </c>
      <c r="I1308" s="3" t="s">
        <v>57</v>
      </c>
      <c r="J1308" s="5">
        <v>32353.016826957399</v>
      </c>
      <c r="K1308" s="3">
        <v>304</v>
      </c>
      <c r="L1308" s="3" t="s">
        <v>46</v>
      </c>
      <c r="M1308" s="4">
        <v>44488</v>
      </c>
      <c r="N1308" s="3" t="s">
        <v>52</v>
      </c>
      <c r="O1308" s="3" t="s">
        <v>24</v>
      </c>
      <c r="P1308" s="3" t="str">
        <f>IF(Table1[[#This Row],[Billing Amount]]&lt;5000,"Low",IF(Table1[[#This Row],[Billing Amount]]&lt;=15000,"Medium","High"))</f>
        <v>High</v>
      </c>
      <c r="Q1308" s="3" t="str">
        <f>IF(Table1[[#This Row],[Discharge Date]]="Yes","Discharged","Under Treatment")</f>
        <v>Under Treatment</v>
      </c>
      <c r="R1308" s="3" t="str">
        <f>IF(Table1[[#This Row],[Test Results]]&gt;120,"High Risk","Normal")</f>
        <v>High Risk</v>
      </c>
      <c r="S1308" s="3" t="str">
        <f>IF(Table1[[#This Row],[Age]]&lt;=18,"0-18",IF(Table1[[#This Row],[Age]]&lt;=35,"19-35",IF(Table1[[#This Row],[Age]]&lt;=50,"36-50",IF(Table1[[#This Row],[Age]]&lt;=65,"51-65","65+"))))</f>
        <v>65+</v>
      </c>
    </row>
    <row r="1309" spans="1:19" x14ac:dyDescent="0.3">
      <c r="A1309" s="3" t="s">
        <v>3959</v>
      </c>
      <c r="B1309" s="3">
        <v>47</v>
      </c>
      <c r="C1309" s="3" t="s">
        <v>16</v>
      </c>
      <c r="D1309" s="3" t="s">
        <v>42</v>
      </c>
      <c r="E1309" s="3" t="s">
        <v>27</v>
      </c>
      <c r="F1309" s="4">
        <v>44839</v>
      </c>
      <c r="G1309" s="3" t="s">
        <v>3354</v>
      </c>
      <c r="H1309" s="3" t="s">
        <v>493</v>
      </c>
      <c r="I1309" s="3" t="s">
        <v>21</v>
      </c>
      <c r="J1309" s="5">
        <v>35202.437326875297</v>
      </c>
      <c r="K1309" s="3">
        <v>323</v>
      </c>
      <c r="L1309" s="3" t="s">
        <v>31</v>
      </c>
      <c r="M1309" s="4">
        <v>44848</v>
      </c>
      <c r="N1309" s="3" t="s">
        <v>32</v>
      </c>
      <c r="O1309" s="3" t="s">
        <v>24</v>
      </c>
      <c r="P1309" s="3" t="str">
        <f>IF(Table1[[#This Row],[Billing Amount]]&lt;5000,"Low",IF(Table1[[#This Row],[Billing Amount]]&lt;=15000,"Medium","High"))</f>
        <v>High</v>
      </c>
      <c r="Q1309" s="3" t="str">
        <f>IF(Table1[[#This Row],[Discharge Date]]="Yes","Discharged","Under Treatment")</f>
        <v>Under Treatment</v>
      </c>
      <c r="R1309" s="3" t="str">
        <f>IF(Table1[[#This Row],[Test Results]]&gt;120,"High Risk","Normal")</f>
        <v>High Risk</v>
      </c>
      <c r="S1309" s="3" t="str">
        <f>IF(Table1[[#This Row],[Age]]&lt;=18,"0-18",IF(Table1[[#This Row],[Age]]&lt;=35,"19-35",IF(Table1[[#This Row],[Age]]&lt;=50,"36-50",IF(Table1[[#This Row],[Age]]&lt;=65,"51-65","65+"))))</f>
        <v>36-50</v>
      </c>
    </row>
    <row r="1310" spans="1:19" x14ac:dyDescent="0.3">
      <c r="A1310" s="3" t="s">
        <v>3960</v>
      </c>
      <c r="B1310" s="3">
        <v>68</v>
      </c>
      <c r="C1310" s="3" t="s">
        <v>16</v>
      </c>
      <c r="D1310" s="3" t="s">
        <v>42</v>
      </c>
      <c r="E1310" s="3" t="s">
        <v>18</v>
      </c>
      <c r="F1310" s="4">
        <v>44201</v>
      </c>
      <c r="G1310" s="3" t="s">
        <v>3961</v>
      </c>
      <c r="H1310" s="3" t="s">
        <v>3962</v>
      </c>
      <c r="I1310" s="3" t="s">
        <v>39</v>
      </c>
      <c r="J1310" s="5">
        <v>17413.012193166702</v>
      </c>
      <c r="K1310" s="3">
        <v>345</v>
      </c>
      <c r="L1310" s="3" t="s">
        <v>31</v>
      </c>
      <c r="M1310" s="4">
        <v>44213</v>
      </c>
      <c r="N1310" s="3" t="s">
        <v>52</v>
      </c>
      <c r="O1310" s="3" t="s">
        <v>47</v>
      </c>
      <c r="P1310" s="3" t="str">
        <f>IF(Table1[[#This Row],[Billing Amount]]&lt;5000,"Low",IF(Table1[[#This Row],[Billing Amount]]&lt;=15000,"Medium","High"))</f>
        <v>High</v>
      </c>
      <c r="Q1310" s="3" t="str">
        <f>IF(Table1[[#This Row],[Discharge Date]]="Yes","Discharged","Under Treatment")</f>
        <v>Under Treatment</v>
      </c>
      <c r="R1310" s="3" t="str">
        <f>IF(Table1[[#This Row],[Test Results]]&gt;120,"High Risk","Normal")</f>
        <v>High Risk</v>
      </c>
      <c r="S1310" s="3" t="str">
        <f>IF(Table1[[#This Row],[Age]]&lt;=18,"0-18",IF(Table1[[#This Row],[Age]]&lt;=35,"19-35",IF(Table1[[#This Row],[Age]]&lt;=50,"36-50",IF(Table1[[#This Row],[Age]]&lt;=65,"51-65","65+"))))</f>
        <v>65+</v>
      </c>
    </row>
    <row r="1311" spans="1:19" x14ac:dyDescent="0.3">
      <c r="A1311" s="3" t="s">
        <v>3963</v>
      </c>
      <c r="B1311" s="3">
        <v>24</v>
      </c>
      <c r="C1311" s="3" t="s">
        <v>35</v>
      </c>
      <c r="D1311" s="3" t="s">
        <v>49</v>
      </c>
      <c r="E1311" s="3" t="s">
        <v>76</v>
      </c>
      <c r="F1311" s="4">
        <v>45261</v>
      </c>
      <c r="G1311" s="3" t="s">
        <v>3964</v>
      </c>
      <c r="H1311" s="3" t="s">
        <v>3965</v>
      </c>
      <c r="I1311" s="3" t="s">
        <v>57</v>
      </c>
      <c r="J1311" s="5">
        <v>39004.169781343102</v>
      </c>
      <c r="K1311" s="3">
        <v>127</v>
      </c>
      <c r="L1311" s="3" t="s">
        <v>22</v>
      </c>
      <c r="M1311" s="4">
        <v>45268</v>
      </c>
      <c r="N1311" s="3" t="s">
        <v>40</v>
      </c>
      <c r="O1311" s="3" t="s">
        <v>24</v>
      </c>
      <c r="P1311" s="3" t="str">
        <f>IF(Table1[[#This Row],[Billing Amount]]&lt;5000,"Low",IF(Table1[[#This Row],[Billing Amount]]&lt;=15000,"Medium","High"))</f>
        <v>High</v>
      </c>
      <c r="Q1311" s="3" t="str">
        <f>IF(Table1[[#This Row],[Discharge Date]]="Yes","Discharged","Under Treatment")</f>
        <v>Under Treatment</v>
      </c>
      <c r="R1311" s="3" t="str">
        <f>IF(Table1[[#This Row],[Test Results]]&gt;120,"High Risk","Normal")</f>
        <v>High Risk</v>
      </c>
      <c r="S1311" s="3" t="str">
        <f>IF(Table1[[#This Row],[Age]]&lt;=18,"0-18",IF(Table1[[#This Row],[Age]]&lt;=35,"19-35",IF(Table1[[#This Row],[Age]]&lt;=50,"36-50",IF(Table1[[#This Row],[Age]]&lt;=65,"51-65","65+"))))</f>
        <v>19-35</v>
      </c>
    </row>
    <row r="1312" spans="1:19" x14ac:dyDescent="0.3">
      <c r="A1312" s="3" t="s">
        <v>3966</v>
      </c>
      <c r="B1312" s="3">
        <v>70</v>
      </c>
      <c r="C1312" s="3" t="s">
        <v>35</v>
      </c>
      <c r="D1312" s="3" t="s">
        <v>26</v>
      </c>
      <c r="E1312" s="3" t="s">
        <v>76</v>
      </c>
      <c r="F1312" s="4">
        <v>44056</v>
      </c>
      <c r="G1312" s="3" t="s">
        <v>3967</v>
      </c>
      <c r="H1312" s="3" t="s">
        <v>3968</v>
      </c>
      <c r="I1312" s="3" t="s">
        <v>21</v>
      </c>
      <c r="J1312" s="5">
        <v>7771.5434094020102</v>
      </c>
      <c r="K1312" s="3">
        <v>103</v>
      </c>
      <c r="L1312" s="3" t="s">
        <v>31</v>
      </c>
      <c r="M1312" s="4">
        <v>44077</v>
      </c>
      <c r="N1312" s="3" t="s">
        <v>23</v>
      </c>
      <c r="O1312" s="3" t="s">
        <v>24</v>
      </c>
      <c r="P1312" s="3" t="str">
        <f>IF(Table1[[#This Row],[Billing Amount]]&lt;5000,"Low",IF(Table1[[#This Row],[Billing Amount]]&lt;=15000,"Medium","High"))</f>
        <v>Medium</v>
      </c>
      <c r="Q1312" s="3" t="str">
        <f>IF(Table1[[#This Row],[Discharge Date]]="Yes","Discharged","Under Treatment")</f>
        <v>Under Treatment</v>
      </c>
      <c r="R1312" s="3" t="str">
        <f>IF(Table1[[#This Row],[Test Results]]&gt;120,"High Risk","Normal")</f>
        <v>High Risk</v>
      </c>
      <c r="S1312" s="3" t="str">
        <f>IF(Table1[[#This Row],[Age]]&lt;=18,"0-18",IF(Table1[[#This Row],[Age]]&lt;=35,"19-35",IF(Table1[[#This Row],[Age]]&lt;=50,"36-50",IF(Table1[[#This Row],[Age]]&lt;=65,"51-65","65+"))))</f>
        <v>65+</v>
      </c>
    </row>
    <row r="1313" spans="1:19" x14ac:dyDescent="0.3">
      <c r="A1313" s="3" t="s">
        <v>3969</v>
      </c>
      <c r="B1313" s="3">
        <v>60</v>
      </c>
      <c r="C1313" s="3" t="s">
        <v>35</v>
      </c>
      <c r="D1313" s="3" t="s">
        <v>17</v>
      </c>
      <c r="E1313" s="3" t="s">
        <v>27</v>
      </c>
      <c r="F1313" s="4">
        <v>44393</v>
      </c>
      <c r="G1313" s="3" t="s">
        <v>3970</v>
      </c>
      <c r="H1313" s="3" t="s">
        <v>3971</v>
      </c>
      <c r="I1313" s="3" t="s">
        <v>21</v>
      </c>
      <c r="J1313" s="5">
        <v>6890.1176465839599</v>
      </c>
      <c r="K1313" s="3">
        <v>406</v>
      </c>
      <c r="L1313" s="3" t="s">
        <v>46</v>
      </c>
      <c r="M1313" s="4">
        <v>44397</v>
      </c>
      <c r="N1313" s="3" t="s">
        <v>23</v>
      </c>
      <c r="O1313" s="3" t="s">
        <v>47</v>
      </c>
      <c r="P1313" s="3" t="str">
        <f>IF(Table1[[#This Row],[Billing Amount]]&lt;5000,"Low",IF(Table1[[#This Row],[Billing Amount]]&lt;=15000,"Medium","High"))</f>
        <v>Medium</v>
      </c>
      <c r="Q1313" s="3" t="str">
        <f>IF(Table1[[#This Row],[Discharge Date]]="Yes","Discharged","Under Treatment")</f>
        <v>Under Treatment</v>
      </c>
      <c r="R1313" s="3" t="str">
        <f>IF(Table1[[#This Row],[Test Results]]&gt;120,"High Risk","Normal")</f>
        <v>High Risk</v>
      </c>
      <c r="S1313" s="3" t="str">
        <f>IF(Table1[[#This Row],[Age]]&lt;=18,"0-18",IF(Table1[[#This Row],[Age]]&lt;=35,"19-35",IF(Table1[[#This Row],[Age]]&lt;=50,"36-50",IF(Table1[[#This Row],[Age]]&lt;=65,"51-65","65+"))))</f>
        <v>51-65</v>
      </c>
    </row>
    <row r="1314" spans="1:19" x14ac:dyDescent="0.3">
      <c r="A1314" s="3" t="s">
        <v>3972</v>
      </c>
      <c r="B1314" s="3">
        <v>35</v>
      </c>
      <c r="C1314" s="3" t="s">
        <v>16</v>
      </c>
      <c r="D1314" s="3" t="s">
        <v>59</v>
      </c>
      <c r="E1314" s="3" t="s">
        <v>54</v>
      </c>
      <c r="F1314" s="4">
        <v>44313</v>
      </c>
      <c r="G1314" s="3" t="s">
        <v>3973</v>
      </c>
      <c r="H1314" s="3" t="s">
        <v>3974</v>
      </c>
      <c r="I1314" s="3" t="s">
        <v>57</v>
      </c>
      <c r="J1314" s="5">
        <v>33057.659700230099</v>
      </c>
      <c r="K1314" s="3">
        <v>104</v>
      </c>
      <c r="L1314" s="3" t="s">
        <v>31</v>
      </c>
      <c r="M1314" s="4">
        <v>44314</v>
      </c>
      <c r="N1314" s="3" t="s">
        <v>79</v>
      </c>
      <c r="O1314" s="3" t="s">
        <v>24</v>
      </c>
      <c r="P1314" s="3" t="str">
        <f>IF(Table1[[#This Row],[Billing Amount]]&lt;5000,"Low",IF(Table1[[#This Row],[Billing Amount]]&lt;=15000,"Medium","High"))</f>
        <v>High</v>
      </c>
      <c r="Q1314" s="3" t="str">
        <f>IF(Table1[[#This Row],[Discharge Date]]="Yes","Discharged","Under Treatment")</f>
        <v>Under Treatment</v>
      </c>
      <c r="R1314" s="3" t="str">
        <f>IF(Table1[[#This Row],[Test Results]]&gt;120,"High Risk","Normal")</f>
        <v>High Risk</v>
      </c>
      <c r="S1314" s="3" t="str">
        <f>IF(Table1[[#This Row],[Age]]&lt;=18,"0-18",IF(Table1[[#This Row],[Age]]&lt;=35,"19-35",IF(Table1[[#This Row],[Age]]&lt;=50,"36-50",IF(Table1[[#This Row],[Age]]&lt;=65,"51-65","65+"))))</f>
        <v>19-35</v>
      </c>
    </row>
    <row r="1315" spans="1:19" x14ac:dyDescent="0.3">
      <c r="A1315" s="3" t="s">
        <v>3975</v>
      </c>
      <c r="B1315" s="3">
        <v>78</v>
      </c>
      <c r="C1315" s="3" t="s">
        <v>35</v>
      </c>
      <c r="D1315" s="3" t="s">
        <v>42</v>
      </c>
      <c r="E1315" s="3" t="s">
        <v>27</v>
      </c>
      <c r="F1315" s="4">
        <v>43900</v>
      </c>
      <c r="G1315" s="3" t="s">
        <v>3976</v>
      </c>
      <c r="H1315" s="3" t="s">
        <v>3977</v>
      </c>
      <c r="I1315" s="3" t="s">
        <v>65</v>
      </c>
      <c r="J1315" s="5">
        <v>962.23951557670296</v>
      </c>
      <c r="K1315" s="3">
        <v>346</v>
      </c>
      <c r="L1315" s="3" t="s">
        <v>46</v>
      </c>
      <c r="M1315" s="4">
        <v>43915</v>
      </c>
      <c r="N1315" s="3" t="s">
        <v>40</v>
      </c>
      <c r="O1315" s="3" t="s">
        <v>33</v>
      </c>
      <c r="P1315" s="3" t="str">
        <f>IF(Table1[[#This Row],[Billing Amount]]&lt;5000,"Low",IF(Table1[[#This Row],[Billing Amount]]&lt;=15000,"Medium","High"))</f>
        <v>Low</v>
      </c>
      <c r="Q1315" s="3" t="str">
        <f>IF(Table1[[#This Row],[Discharge Date]]="Yes","Discharged","Under Treatment")</f>
        <v>Under Treatment</v>
      </c>
      <c r="R1315" s="3" t="str">
        <f>IF(Table1[[#This Row],[Test Results]]&gt;120,"High Risk","Normal")</f>
        <v>High Risk</v>
      </c>
      <c r="S1315" s="3" t="str">
        <f>IF(Table1[[#This Row],[Age]]&lt;=18,"0-18",IF(Table1[[#This Row],[Age]]&lt;=35,"19-35",IF(Table1[[#This Row],[Age]]&lt;=50,"36-50",IF(Table1[[#This Row],[Age]]&lt;=65,"51-65","65+"))))</f>
        <v>65+</v>
      </c>
    </row>
    <row r="1316" spans="1:19" x14ac:dyDescent="0.3">
      <c r="A1316" s="3" t="s">
        <v>3978</v>
      </c>
      <c r="B1316" s="3">
        <v>62</v>
      </c>
      <c r="C1316" s="3" t="s">
        <v>35</v>
      </c>
      <c r="D1316" s="3" t="s">
        <v>17</v>
      </c>
      <c r="E1316" s="3" t="s">
        <v>18</v>
      </c>
      <c r="F1316" s="4">
        <v>45112</v>
      </c>
      <c r="G1316" s="3" t="s">
        <v>3979</v>
      </c>
      <c r="H1316" s="3" t="s">
        <v>3980</v>
      </c>
      <c r="I1316" s="3" t="s">
        <v>65</v>
      </c>
      <c r="J1316" s="5">
        <v>42214.961097854699</v>
      </c>
      <c r="K1316" s="3">
        <v>217</v>
      </c>
      <c r="L1316" s="3" t="s">
        <v>22</v>
      </c>
      <c r="M1316" s="4">
        <v>45125</v>
      </c>
      <c r="N1316" s="3" t="s">
        <v>40</v>
      </c>
      <c r="O1316" s="3" t="s">
        <v>33</v>
      </c>
      <c r="P1316" s="3" t="str">
        <f>IF(Table1[[#This Row],[Billing Amount]]&lt;5000,"Low",IF(Table1[[#This Row],[Billing Amount]]&lt;=15000,"Medium","High"))</f>
        <v>High</v>
      </c>
      <c r="Q1316" s="3" t="str">
        <f>IF(Table1[[#This Row],[Discharge Date]]="Yes","Discharged","Under Treatment")</f>
        <v>Under Treatment</v>
      </c>
      <c r="R1316" s="3" t="str">
        <f>IF(Table1[[#This Row],[Test Results]]&gt;120,"High Risk","Normal")</f>
        <v>High Risk</v>
      </c>
      <c r="S1316" s="3" t="str">
        <f>IF(Table1[[#This Row],[Age]]&lt;=18,"0-18",IF(Table1[[#This Row],[Age]]&lt;=35,"19-35",IF(Table1[[#This Row],[Age]]&lt;=50,"36-50",IF(Table1[[#This Row],[Age]]&lt;=65,"51-65","65+"))))</f>
        <v>51-65</v>
      </c>
    </row>
    <row r="1317" spans="1:19" x14ac:dyDescent="0.3">
      <c r="A1317" s="3" t="s">
        <v>3981</v>
      </c>
      <c r="B1317" s="3">
        <v>75</v>
      </c>
      <c r="C1317" s="3" t="s">
        <v>35</v>
      </c>
      <c r="D1317" s="3" t="s">
        <v>122</v>
      </c>
      <c r="E1317" s="3" t="s">
        <v>43</v>
      </c>
      <c r="F1317" s="4">
        <v>44808</v>
      </c>
      <c r="G1317" s="3" t="s">
        <v>3982</v>
      </c>
      <c r="H1317" s="3" t="s">
        <v>3983</v>
      </c>
      <c r="I1317" s="3" t="s">
        <v>39</v>
      </c>
      <c r="J1317" s="5">
        <v>45722.420597401797</v>
      </c>
      <c r="K1317" s="3">
        <v>271</v>
      </c>
      <c r="L1317" s="3" t="s">
        <v>22</v>
      </c>
      <c r="M1317" s="4">
        <v>44815</v>
      </c>
      <c r="N1317" s="3" t="s">
        <v>52</v>
      </c>
      <c r="O1317" s="3" t="s">
        <v>33</v>
      </c>
      <c r="P1317" s="3" t="str">
        <f>IF(Table1[[#This Row],[Billing Amount]]&lt;5000,"Low",IF(Table1[[#This Row],[Billing Amount]]&lt;=15000,"Medium","High"))</f>
        <v>High</v>
      </c>
      <c r="Q1317" s="3" t="str">
        <f>IF(Table1[[#This Row],[Discharge Date]]="Yes","Discharged","Under Treatment")</f>
        <v>Under Treatment</v>
      </c>
      <c r="R1317" s="3" t="str">
        <f>IF(Table1[[#This Row],[Test Results]]&gt;120,"High Risk","Normal")</f>
        <v>High Risk</v>
      </c>
      <c r="S1317" s="3" t="str">
        <f>IF(Table1[[#This Row],[Age]]&lt;=18,"0-18",IF(Table1[[#This Row],[Age]]&lt;=35,"19-35",IF(Table1[[#This Row],[Age]]&lt;=50,"36-50",IF(Table1[[#This Row],[Age]]&lt;=65,"51-65","65+"))))</f>
        <v>65+</v>
      </c>
    </row>
    <row r="1318" spans="1:19" x14ac:dyDescent="0.3">
      <c r="A1318" s="3" t="s">
        <v>3984</v>
      </c>
      <c r="B1318" s="3">
        <v>57</v>
      </c>
      <c r="C1318" s="3" t="s">
        <v>16</v>
      </c>
      <c r="D1318" s="3" t="s">
        <v>59</v>
      </c>
      <c r="E1318" s="3" t="s">
        <v>93</v>
      </c>
      <c r="F1318" s="4">
        <v>43679</v>
      </c>
      <c r="G1318" s="3" t="s">
        <v>3985</v>
      </c>
      <c r="H1318" s="3" t="s">
        <v>3986</v>
      </c>
      <c r="I1318" s="3" t="s">
        <v>39</v>
      </c>
      <c r="J1318" s="5">
        <v>25618.411256498599</v>
      </c>
      <c r="K1318" s="3">
        <v>282</v>
      </c>
      <c r="L1318" s="3" t="s">
        <v>22</v>
      </c>
      <c r="M1318" s="4">
        <v>43688</v>
      </c>
      <c r="N1318" s="3" t="s">
        <v>52</v>
      </c>
      <c r="O1318" s="3" t="s">
        <v>47</v>
      </c>
      <c r="P1318" s="3" t="str">
        <f>IF(Table1[[#This Row],[Billing Amount]]&lt;5000,"Low",IF(Table1[[#This Row],[Billing Amount]]&lt;=15000,"Medium","High"))</f>
        <v>High</v>
      </c>
      <c r="Q1318" s="3" t="str">
        <f>IF(Table1[[#This Row],[Discharge Date]]="Yes","Discharged","Under Treatment")</f>
        <v>Under Treatment</v>
      </c>
      <c r="R1318" s="3" t="str">
        <f>IF(Table1[[#This Row],[Test Results]]&gt;120,"High Risk","Normal")</f>
        <v>High Risk</v>
      </c>
      <c r="S1318" s="3" t="str">
        <f>IF(Table1[[#This Row],[Age]]&lt;=18,"0-18",IF(Table1[[#This Row],[Age]]&lt;=35,"19-35",IF(Table1[[#This Row],[Age]]&lt;=50,"36-50",IF(Table1[[#This Row],[Age]]&lt;=65,"51-65","65+"))))</f>
        <v>51-65</v>
      </c>
    </row>
    <row r="1319" spans="1:19" x14ac:dyDescent="0.3">
      <c r="A1319" s="3" t="s">
        <v>3987</v>
      </c>
      <c r="B1319" s="3">
        <v>57</v>
      </c>
      <c r="C1319" s="3" t="s">
        <v>35</v>
      </c>
      <c r="D1319" s="3" t="s">
        <v>59</v>
      </c>
      <c r="E1319" s="3" t="s">
        <v>76</v>
      </c>
      <c r="F1319" s="4">
        <v>44349</v>
      </c>
      <c r="G1319" s="3" t="s">
        <v>3988</v>
      </c>
      <c r="H1319" s="3" t="s">
        <v>3989</v>
      </c>
      <c r="I1319" s="3" t="s">
        <v>65</v>
      </c>
      <c r="J1319" s="5">
        <v>3553.7408851751602</v>
      </c>
      <c r="K1319" s="3">
        <v>238</v>
      </c>
      <c r="L1319" s="3" t="s">
        <v>46</v>
      </c>
      <c r="M1319" s="4">
        <v>44361</v>
      </c>
      <c r="N1319" s="3" t="s">
        <v>40</v>
      </c>
      <c r="O1319" s="3" t="s">
        <v>33</v>
      </c>
      <c r="P1319" s="3" t="str">
        <f>IF(Table1[[#This Row],[Billing Amount]]&lt;5000,"Low",IF(Table1[[#This Row],[Billing Amount]]&lt;=15000,"Medium","High"))</f>
        <v>Low</v>
      </c>
      <c r="Q1319" s="3" t="str">
        <f>IF(Table1[[#This Row],[Discharge Date]]="Yes","Discharged","Under Treatment")</f>
        <v>Under Treatment</v>
      </c>
      <c r="R1319" s="3" t="str">
        <f>IF(Table1[[#This Row],[Test Results]]&gt;120,"High Risk","Normal")</f>
        <v>High Risk</v>
      </c>
      <c r="S1319" s="3" t="str">
        <f>IF(Table1[[#This Row],[Age]]&lt;=18,"0-18",IF(Table1[[#This Row],[Age]]&lt;=35,"19-35",IF(Table1[[#This Row],[Age]]&lt;=50,"36-50",IF(Table1[[#This Row],[Age]]&lt;=65,"51-65","65+"))))</f>
        <v>51-65</v>
      </c>
    </row>
    <row r="1320" spans="1:19" x14ac:dyDescent="0.3">
      <c r="A1320" s="3" t="s">
        <v>3990</v>
      </c>
      <c r="B1320" s="3">
        <v>41</v>
      </c>
      <c r="C1320" s="3" t="s">
        <v>35</v>
      </c>
      <c r="D1320" s="3" t="s">
        <v>49</v>
      </c>
      <c r="E1320" s="3" t="s">
        <v>54</v>
      </c>
      <c r="F1320" s="4">
        <v>44174</v>
      </c>
      <c r="G1320" s="3" t="s">
        <v>3991</v>
      </c>
      <c r="H1320" s="3" t="s">
        <v>3992</v>
      </c>
      <c r="I1320" s="3" t="s">
        <v>39</v>
      </c>
      <c r="J1320" s="5">
        <v>15801.6914189735</v>
      </c>
      <c r="K1320" s="3">
        <v>378</v>
      </c>
      <c r="L1320" s="3" t="s">
        <v>46</v>
      </c>
      <c r="M1320" s="4">
        <v>44198</v>
      </c>
      <c r="N1320" s="3" t="s">
        <v>23</v>
      </c>
      <c r="O1320" s="3" t="s">
        <v>33</v>
      </c>
      <c r="P1320" s="3" t="str">
        <f>IF(Table1[[#This Row],[Billing Amount]]&lt;5000,"Low",IF(Table1[[#This Row],[Billing Amount]]&lt;=15000,"Medium","High"))</f>
        <v>High</v>
      </c>
      <c r="Q1320" s="3" t="str">
        <f>IF(Table1[[#This Row],[Discharge Date]]="Yes","Discharged","Under Treatment")</f>
        <v>Under Treatment</v>
      </c>
      <c r="R1320" s="3" t="str">
        <f>IF(Table1[[#This Row],[Test Results]]&gt;120,"High Risk","Normal")</f>
        <v>High Risk</v>
      </c>
      <c r="S1320" s="3" t="str">
        <f>IF(Table1[[#This Row],[Age]]&lt;=18,"0-18",IF(Table1[[#This Row],[Age]]&lt;=35,"19-35",IF(Table1[[#This Row],[Age]]&lt;=50,"36-50",IF(Table1[[#This Row],[Age]]&lt;=65,"51-65","65+"))))</f>
        <v>36-50</v>
      </c>
    </row>
    <row r="1321" spans="1:19" x14ac:dyDescent="0.3">
      <c r="A1321" s="3" t="s">
        <v>3993</v>
      </c>
      <c r="B1321" s="3">
        <v>63</v>
      </c>
      <c r="C1321" s="3" t="s">
        <v>16</v>
      </c>
      <c r="D1321" s="3" t="s">
        <v>103</v>
      </c>
      <c r="E1321" s="3" t="s">
        <v>43</v>
      </c>
      <c r="F1321" s="4">
        <v>44917</v>
      </c>
      <c r="G1321" s="3" t="s">
        <v>3994</v>
      </c>
      <c r="H1321" s="3" t="s">
        <v>3995</v>
      </c>
      <c r="I1321" s="3" t="s">
        <v>39</v>
      </c>
      <c r="J1321" s="5">
        <v>25297.761885154501</v>
      </c>
      <c r="K1321" s="3">
        <v>451</v>
      </c>
      <c r="L1321" s="3" t="s">
        <v>46</v>
      </c>
      <c r="M1321" s="4">
        <v>44930</v>
      </c>
      <c r="N1321" s="3" t="s">
        <v>23</v>
      </c>
      <c r="O1321" s="3" t="s">
        <v>47</v>
      </c>
      <c r="P1321" s="3" t="str">
        <f>IF(Table1[[#This Row],[Billing Amount]]&lt;5000,"Low",IF(Table1[[#This Row],[Billing Amount]]&lt;=15000,"Medium","High"))</f>
        <v>High</v>
      </c>
      <c r="Q1321" s="3" t="str">
        <f>IF(Table1[[#This Row],[Discharge Date]]="Yes","Discharged","Under Treatment")</f>
        <v>Under Treatment</v>
      </c>
      <c r="R1321" s="3" t="str">
        <f>IF(Table1[[#This Row],[Test Results]]&gt;120,"High Risk","Normal")</f>
        <v>High Risk</v>
      </c>
      <c r="S1321" s="3" t="str">
        <f>IF(Table1[[#This Row],[Age]]&lt;=18,"0-18",IF(Table1[[#This Row],[Age]]&lt;=35,"19-35",IF(Table1[[#This Row],[Age]]&lt;=50,"36-50",IF(Table1[[#This Row],[Age]]&lt;=65,"51-65","65+"))))</f>
        <v>51-65</v>
      </c>
    </row>
    <row r="1322" spans="1:19" x14ac:dyDescent="0.3">
      <c r="A1322" s="3" t="s">
        <v>3996</v>
      </c>
      <c r="B1322" s="3">
        <v>45</v>
      </c>
      <c r="C1322" s="3" t="s">
        <v>35</v>
      </c>
      <c r="D1322" s="3" t="s">
        <v>103</v>
      </c>
      <c r="E1322" s="3" t="s">
        <v>27</v>
      </c>
      <c r="F1322" s="4">
        <v>44607</v>
      </c>
      <c r="G1322" s="3" t="s">
        <v>3997</v>
      </c>
      <c r="H1322" s="3" t="s">
        <v>3998</v>
      </c>
      <c r="I1322" s="3" t="s">
        <v>57</v>
      </c>
      <c r="J1322" s="5">
        <v>33203.493164639898</v>
      </c>
      <c r="K1322" s="3">
        <v>457</v>
      </c>
      <c r="L1322" s="3" t="s">
        <v>46</v>
      </c>
      <c r="M1322" s="4">
        <v>44608</v>
      </c>
      <c r="N1322" s="3" t="s">
        <v>40</v>
      </c>
      <c r="O1322" s="3" t="s">
        <v>24</v>
      </c>
      <c r="P1322" s="3" t="str">
        <f>IF(Table1[[#This Row],[Billing Amount]]&lt;5000,"Low",IF(Table1[[#This Row],[Billing Amount]]&lt;=15000,"Medium","High"))</f>
        <v>High</v>
      </c>
      <c r="Q1322" s="3" t="str">
        <f>IF(Table1[[#This Row],[Discharge Date]]="Yes","Discharged","Under Treatment")</f>
        <v>Under Treatment</v>
      </c>
      <c r="R1322" s="3" t="str">
        <f>IF(Table1[[#This Row],[Test Results]]&gt;120,"High Risk","Normal")</f>
        <v>High Risk</v>
      </c>
      <c r="S1322" s="3" t="str">
        <f>IF(Table1[[#This Row],[Age]]&lt;=18,"0-18",IF(Table1[[#This Row],[Age]]&lt;=35,"19-35",IF(Table1[[#This Row],[Age]]&lt;=50,"36-50",IF(Table1[[#This Row],[Age]]&lt;=65,"51-65","65+"))))</f>
        <v>36-50</v>
      </c>
    </row>
    <row r="1323" spans="1:19" x14ac:dyDescent="0.3">
      <c r="A1323" s="3" t="s">
        <v>3999</v>
      </c>
      <c r="B1323" s="3">
        <v>29</v>
      </c>
      <c r="C1323" s="3" t="s">
        <v>16</v>
      </c>
      <c r="D1323" s="3" t="s">
        <v>17</v>
      </c>
      <c r="E1323" s="3" t="s">
        <v>43</v>
      </c>
      <c r="F1323" s="4">
        <v>43732</v>
      </c>
      <c r="G1323" s="3" t="s">
        <v>4000</v>
      </c>
      <c r="H1323" s="3" t="s">
        <v>4001</v>
      </c>
      <c r="I1323" s="3" t="s">
        <v>39</v>
      </c>
      <c r="J1323" s="5">
        <v>19536.961588492901</v>
      </c>
      <c r="K1323" s="3">
        <v>128</v>
      </c>
      <c r="L1323" s="3" t="s">
        <v>46</v>
      </c>
      <c r="M1323" s="4">
        <v>43743</v>
      </c>
      <c r="N1323" s="3" t="s">
        <v>52</v>
      </c>
      <c r="O1323" s="3" t="s">
        <v>33</v>
      </c>
      <c r="P1323" s="3" t="str">
        <f>IF(Table1[[#This Row],[Billing Amount]]&lt;5000,"Low",IF(Table1[[#This Row],[Billing Amount]]&lt;=15000,"Medium","High"))</f>
        <v>High</v>
      </c>
      <c r="Q1323" s="3" t="str">
        <f>IF(Table1[[#This Row],[Discharge Date]]="Yes","Discharged","Under Treatment")</f>
        <v>Under Treatment</v>
      </c>
      <c r="R1323" s="3" t="str">
        <f>IF(Table1[[#This Row],[Test Results]]&gt;120,"High Risk","Normal")</f>
        <v>High Risk</v>
      </c>
      <c r="S1323" s="3" t="str">
        <f>IF(Table1[[#This Row],[Age]]&lt;=18,"0-18",IF(Table1[[#This Row],[Age]]&lt;=35,"19-35",IF(Table1[[#This Row],[Age]]&lt;=50,"36-50",IF(Table1[[#This Row],[Age]]&lt;=65,"51-65","65+"))))</f>
        <v>19-35</v>
      </c>
    </row>
    <row r="1324" spans="1:19" x14ac:dyDescent="0.3">
      <c r="A1324" s="3" t="s">
        <v>4002</v>
      </c>
      <c r="B1324" s="3">
        <v>50</v>
      </c>
      <c r="C1324" s="3" t="s">
        <v>35</v>
      </c>
      <c r="D1324" s="3" t="s">
        <v>26</v>
      </c>
      <c r="E1324" s="3" t="s">
        <v>43</v>
      </c>
      <c r="F1324" s="4">
        <v>44484</v>
      </c>
      <c r="G1324" s="3" t="s">
        <v>4003</v>
      </c>
      <c r="H1324" s="3" t="s">
        <v>4004</v>
      </c>
      <c r="I1324" s="3" t="s">
        <v>65</v>
      </c>
      <c r="J1324" s="5">
        <v>24184.491305691601</v>
      </c>
      <c r="K1324" s="3">
        <v>282</v>
      </c>
      <c r="L1324" s="3" t="s">
        <v>46</v>
      </c>
      <c r="M1324" s="4">
        <v>44511</v>
      </c>
      <c r="N1324" s="3" t="s">
        <v>79</v>
      </c>
      <c r="O1324" s="3" t="s">
        <v>33</v>
      </c>
      <c r="P1324" s="3" t="str">
        <f>IF(Table1[[#This Row],[Billing Amount]]&lt;5000,"Low",IF(Table1[[#This Row],[Billing Amount]]&lt;=15000,"Medium","High"))</f>
        <v>High</v>
      </c>
      <c r="Q1324" s="3" t="str">
        <f>IF(Table1[[#This Row],[Discharge Date]]="Yes","Discharged","Under Treatment")</f>
        <v>Under Treatment</v>
      </c>
      <c r="R1324" s="3" t="str">
        <f>IF(Table1[[#This Row],[Test Results]]&gt;120,"High Risk","Normal")</f>
        <v>High Risk</v>
      </c>
      <c r="S1324" s="3" t="str">
        <f>IF(Table1[[#This Row],[Age]]&lt;=18,"0-18",IF(Table1[[#This Row],[Age]]&lt;=35,"19-35",IF(Table1[[#This Row],[Age]]&lt;=50,"36-50",IF(Table1[[#This Row],[Age]]&lt;=65,"51-65","65+"))))</f>
        <v>36-50</v>
      </c>
    </row>
    <row r="1325" spans="1:19" x14ac:dyDescent="0.3">
      <c r="A1325" s="3" t="s">
        <v>4005</v>
      </c>
      <c r="B1325" s="3">
        <v>37</v>
      </c>
      <c r="C1325" s="3" t="s">
        <v>35</v>
      </c>
      <c r="D1325" s="3" t="s">
        <v>17</v>
      </c>
      <c r="E1325" s="3" t="s">
        <v>93</v>
      </c>
      <c r="F1325" s="4">
        <v>44699</v>
      </c>
      <c r="G1325" s="3" t="s">
        <v>4006</v>
      </c>
      <c r="H1325" s="3" t="s">
        <v>2043</v>
      </c>
      <c r="I1325" s="3" t="s">
        <v>30</v>
      </c>
      <c r="J1325" s="5">
        <v>17157.225355108101</v>
      </c>
      <c r="K1325" s="3">
        <v>189</v>
      </c>
      <c r="L1325" s="3" t="s">
        <v>22</v>
      </c>
      <c r="M1325" s="4">
        <v>44723</v>
      </c>
      <c r="N1325" s="3" t="s">
        <v>52</v>
      </c>
      <c r="O1325" s="3" t="s">
        <v>33</v>
      </c>
      <c r="P1325" s="3" t="str">
        <f>IF(Table1[[#This Row],[Billing Amount]]&lt;5000,"Low",IF(Table1[[#This Row],[Billing Amount]]&lt;=15000,"Medium","High"))</f>
        <v>High</v>
      </c>
      <c r="Q1325" s="3" t="str">
        <f>IF(Table1[[#This Row],[Discharge Date]]="Yes","Discharged","Under Treatment")</f>
        <v>Under Treatment</v>
      </c>
      <c r="R1325" s="3" t="str">
        <f>IF(Table1[[#This Row],[Test Results]]&gt;120,"High Risk","Normal")</f>
        <v>High Risk</v>
      </c>
      <c r="S1325" s="3" t="str">
        <f>IF(Table1[[#This Row],[Age]]&lt;=18,"0-18",IF(Table1[[#This Row],[Age]]&lt;=35,"19-35",IF(Table1[[#This Row],[Age]]&lt;=50,"36-50",IF(Table1[[#This Row],[Age]]&lt;=65,"51-65","65+"))))</f>
        <v>36-50</v>
      </c>
    </row>
    <row r="1326" spans="1:19" x14ac:dyDescent="0.3">
      <c r="A1326" s="3" t="s">
        <v>4007</v>
      </c>
      <c r="B1326" s="3">
        <v>21</v>
      </c>
      <c r="C1326" s="3" t="s">
        <v>35</v>
      </c>
      <c r="D1326" s="3" t="s">
        <v>17</v>
      </c>
      <c r="E1326" s="3" t="s">
        <v>18</v>
      </c>
      <c r="F1326" s="4">
        <v>45183</v>
      </c>
      <c r="G1326" s="3" t="s">
        <v>4008</v>
      </c>
      <c r="H1326" s="3" t="s">
        <v>4009</v>
      </c>
      <c r="I1326" s="3" t="s">
        <v>57</v>
      </c>
      <c r="J1326" s="5">
        <v>4536.9496624215299</v>
      </c>
      <c r="K1326" s="3">
        <v>313</v>
      </c>
      <c r="L1326" s="3" t="s">
        <v>46</v>
      </c>
      <c r="M1326" s="4">
        <v>45208</v>
      </c>
      <c r="N1326" s="3" t="s">
        <v>52</v>
      </c>
      <c r="O1326" s="3" t="s">
        <v>47</v>
      </c>
      <c r="P1326" s="3" t="str">
        <f>IF(Table1[[#This Row],[Billing Amount]]&lt;5000,"Low",IF(Table1[[#This Row],[Billing Amount]]&lt;=15000,"Medium","High"))</f>
        <v>Low</v>
      </c>
      <c r="Q1326" s="3" t="str">
        <f>IF(Table1[[#This Row],[Discharge Date]]="Yes","Discharged","Under Treatment")</f>
        <v>Under Treatment</v>
      </c>
      <c r="R1326" s="3" t="str">
        <f>IF(Table1[[#This Row],[Test Results]]&gt;120,"High Risk","Normal")</f>
        <v>High Risk</v>
      </c>
      <c r="S1326" s="3" t="str">
        <f>IF(Table1[[#This Row],[Age]]&lt;=18,"0-18",IF(Table1[[#This Row],[Age]]&lt;=35,"19-35",IF(Table1[[#This Row],[Age]]&lt;=50,"36-50",IF(Table1[[#This Row],[Age]]&lt;=65,"51-65","65+"))))</f>
        <v>19-35</v>
      </c>
    </row>
    <row r="1327" spans="1:19" x14ac:dyDescent="0.3">
      <c r="A1327" s="3" t="s">
        <v>4010</v>
      </c>
      <c r="B1327" s="3">
        <v>33</v>
      </c>
      <c r="C1327" s="3" t="s">
        <v>35</v>
      </c>
      <c r="D1327" s="3" t="s">
        <v>103</v>
      </c>
      <c r="E1327" s="3" t="s">
        <v>43</v>
      </c>
      <c r="F1327" s="4">
        <v>44401</v>
      </c>
      <c r="G1327" s="3" t="s">
        <v>4011</v>
      </c>
      <c r="H1327" s="3" t="s">
        <v>4012</v>
      </c>
      <c r="I1327" s="3" t="s">
        <v>30</v>
      </c>
      <c r="J1327" s="5">
        <v>24792.1735565495</v>
      </c>
      <c r="K1327" s="3">
        <v>107</v>
      </c>
      <c r="L1327" s="3" t="s">
        <v>22</v>
      </c>
      <c r="M1327" s="4">
        <v>44412</v>
      </c>
      <c r="N1327" s="3" t="s">
        <v>52</v>
      </c>
      <c r="O1327" s="3" t="s">
        <v>24</v>
      </c>
      <c r="P1327" s="3" t="str">
        <f>IF(Table1[[#This Row],[Billing Amount]]&lt;5000,"Low",IF(Table1[[#This Row],[Billing Amount]]&lt;=15000,"Medium","High"))</f>
        <v>High</v>
      </c>
      <c r="Q1327" s="3" t="str">
        <f>IF(Table1[[#This Row],[Discharge Date]]="Yes","Discharged","Under Treatment")</f>
        <v>Under Treatment</v>
      </c>
      <c r="R1327" s="3" t="str">
        <f>IF(Table1[[#This Row],[Test Results]]&gt;120,"High Risk","Normal")</f>
        <v>High Risk</v>
      </c>
      <c r="S1327" s="3" t="str">
        <f>IF(Table1[[#This Row],[Age]]&lt;=18,"0-18",IF(Table1[[#This Row],[Age]]&lt;=35,"19-35",IF(Table1[[#This Row],[Age]]&lt;=50,"36-50",IF(Table1[[#This Row],[Age]]&lt;=65,"51-65","65+"))))</f>
        <v>19-35</v>
      </c>
    </row>
    <row r="1328" spans="1:19" x14ac:dyDescent="0.3">
      <c r="A1328" s="3" t="s">
        <v>4013</v>
      </c>
      <c r="B1328" s="3">
        <v>85</v>
      </c>
      <c r="C1328" s="3" t="s">
        <v>35</v>
      </c>
      <c r="D1328" s="3" t="s">
        <v>26</v>
      </c>
      <c r="E1328" s="3" t="s">
        <v>18</v>
      </c>
      <c r="F1328" s="4">
        <v>45067</v>
      </c>
      <c r="G1328" s="3" t="s">
        <v>4014</v>
      </c>
      <c r="H1328" s="3" t="s">
        <v>4015</v>
      </c>
      <c r="I1328" s="3" t="s">
        <v>65</v>
      </c>
      <c r="J1328" s="5">
        <v>21230.532188153898</v>
      </c>
      <c r="K1328" s="3">
        <v>358</v>
      </c>
      <c r="L1328" s="3" t="s">
        <v>22</v>
      </c>
      <c r="M1328" s="4">
        <v>45074</v>
      </c>
      <c r="N1328" s="3" t="s">
        <v>40</v>
      </c>
      <c r="O1328" s="3" t="s">
        <v>47</v>
      </c>
      <c r="P1328" s="3" t="str">
        <f>IF(Table1[[#This Row],[Billing Amount]]&lt;5000,"Low",IF(Table1[[#This Row],[Billing Amount]]&lt;=15000,"Medium","High"))</f>
        <v>High</v>
      </c>
      <c r="Q1328" s="3" t="str">
        <f>IF(Table1[[#This Row],[Discharge Date]]="Yes","Discharged","Under Treatment")</f>
        <v>Under Treatment</v>
      </c>
      <c r="R1328" s="3" t="str">
        <f>IF(Table1[[#This Row],[Test Results]]&gt;120,"High Risk","Normal")</f>
        <v>High Risk</v>
      </c>
      <c r="S1328" s="3" t="str">
        <f>IF(Table1[[#This Row],[Age]]&lt;=18,"0-18",IF(Table1[[#This Row],[Age]]&lt;=35,"19-35",IF(Table1[[#This Row],[Age]]&lt;=50,"36-50",IF(Table1[[#This Row],[Age]]&lt;=65,"51-65","65+"))))</f>
        <v>65+</v>
      </c>
    </row>
    <row r="1329" spans="1:19" x14ac:dyDescent="0.3">
      <c r="A1329" s="3" t="s">
        <v>4016</v>
      </c>
      <c r="B1329" s="3">
        <v>53</v>
      </c>
      <c r="C1329" s="3" t="s">
        <v>16</v>
      </c>
      <c r="D1329" s="3" t="s">
        <v>59</v>
      </c>
      <c r="E1329" s="3" t="s">
        <v>76</v>
      </c>
      <c r="F1329" s="4">
        <v>43688</v>
      </c>
      <c r="G1329" s="3" t="s">
        <v>4017</v>
      </c>
      <c r="H1329" s="3" t="s">
        <v>3594</v>
      </c>
      <c r="I1329" s="3" t="s">
        <v>30</v>
      </c>
      <c r="J1329" s="5">
        <v>44685.290247396901</v>
      </c>
      <c r="K1329" s="3">
        <v>124</v>
      </c>
      <c r="L1329" s="3" t="s">
        <v>31</v>
      </c>
      <c r="M1329" s="4">
        <v>43695</v>
      </c>
      <c r="N1329" s="3" t="s">
        <v>23</v>
      </c>
      <c r="O1329" s="3" t="s">
        <v>47</v>
      </c>
      <c r="P1329" s="3" t="str">
        <f>IF(Table1[[#This Row],[Billing Amount]]&lt;5000,"Low",IF(Table1[[#This Row],[Billing Amount]]&lt;=15000,"Medium","High"))</f>
        <v>High</v>
      </c>
      <c r="Q1329" s="3" t="str">
        <f>IF(Table1[[#This Row],[Discharge Date]]="Yes","Discharged","Under Treatment")</f>
        <v>Under Treatment</v>
      </c>
      <c r="R1329" s="3" t="str">
        <f>IF(Table1[[#This Row],[Test Results]]&gt;120,"High Risk","Normal")</f>
        <v>High Risk</v>
      </c>
      <c r="S1329" s="3" t="str">
        <f>IF(Table1[[#This Row],[Age]]&lt;=18,"0-18",IF(Table1[[#This Row],[Age]]&lt;=35,"19-35",IF(Table1[[#This Row],[Age]]&lt;=50,"36-50",IF(Table1[[#This Row],[Age]]&lt;=65,"51-65","65+"))))</f>
        <v>51-65</v>
      </c>
    </row>
    <row r="1330" spans="1:19" x14ac:dyDescent="0.3">
      <c r="A1330" s="3" t="s">
        <v>4018</v>
      </c>
      <c r="B1330" s="3">
        <v>47</v>
      </c>
      <c r="C1330" s="3" t="s">
        <v>16</v>
      </c>
      <c r="D1330" s="3" t="s">
        <v>26</v>
      </c>
      <c r="E1330" s="3" t="s">
        <v>43</v>
      </c>
      <c r="F1330" s="4">
        <v>44793</v>
      </c>
      <c r="G1330" s="3" t="s">
        <v>4019</v>
      </c>
      <c r="H1330" s="3" t="s">
        <v>4020</v>
      </c>
      <c r="I1330" s="3" t="s">
        <v>21</v>
      </c>
      <c r="J1330" s="5">
        <v>18023.21055742</v>
      </c>
      <c r="K1330" s="3">
        <v>275</v>
      </c>
      <c r="L1330" s="3" t="s">
        <v>31</v>
      </c>
      <c r="M1330" s="4">
        <v>44810</v>
      </c>
      <c r="N1330" s="3" t="s">
        <v>40</v>
      </c>
      <c r="O1330" s="3" t="s">
        <v>47</v>
      </c>
      <c r="P1330" s="3" t="str">
        <f>IF(Table1[[#This Row],[Billing Amount]]&lt;5000,"Low",IF(Table1[[#This Row],[Billing Amount]]&lt;=15000,"Medium","High"))</f>
        <v>High</v>
      </c>
      <c r="Q1330" s="3" t="str">
        <f>IF(Table1[[#This Row],[Discharge Date]]="Yes","Discharged","Under Treatment")</f>
        <v>Under Treatment</v>
      </c>
      <c r="R1330" s="3" t="str">
        <f>IF(Table1[[#This Row],[Test Results]]&gt;120,"High Risk","Normal")</f>
        <v>High Risk</v>
      </c>
      <c r="S1330" s="3" t="str">
        <f>IF(Table1[[#This Row],[Age]]&lt;=18,"0-18",IF(Table1[[#This Row],[Age]]&lt;=35,"19-35",IF(Table1[[#This Row],[Age]]&lt;=50,"36-50",IF(Table1[[#This Row],[Age]]&lt;=65,"51-65","65+"))))</f>
        <v>36-50</v>
      </c>
    </row>
    <row r="1331" spans="1:19" x14ac:dyDescent="0.3">
      <c r="A1331" s="3" t="s">
        <v>4021</v>
      </c>
      <c r="B1331" s="3">
        <v>51</v>
      </c>
      <c r="C1331" s="3" t="s">
        <v>35</v>
      </c>
      <c r="D1331" s="3" t="s">
        <v>17</v>
      </c>
      <c r="E1331" s="3" t="s">
        <v>54</v>
      </c>
      <c r="F1331" s="4">
        <v>45125</v>
      </c>
      <c r="G1331" s="3" t="s">
        <v>4022</v>
      </c>
      <c r="H1331" s="3" t="s">
        <v>4023</v>
      </c>
      <c r="I1331" s="3" t="s">
        <v>39</v>
      </c>
      <c r="J1331" s="5">
        <v>32656.973493174599</v>
      </c>
      <c r="K1331" s="3">
        <v>129</v>
      </c>
      <c r="L1331" s="3" t="s">
        <v>31</v>
      </c>
      <c r="M1331" s="4">
        <v>45147</v>
      </c>
      <c r="N1331" s="3" t="s">
        <v>32</v>
      </c>
      <c r="O1331" s="3" t="s">
        <v>47</v>
      </c>
      <c r="P1331" s="3" t="str">
        <f>IF(Table1[[#This Row],[Billing Amount]]&lt;5000,"Low",IF(Table1[[#This Row],[Billing Amount]]&lt;=15000,"Medium","High"))</f>
        <v>High</v>
      </c>
      <c r="Q1331" s="3" t="str">
        <f>IF(Table1[[#This Row],[Discharge Date]]="Yes","Discharged","Under Treatment")</f>
        <v>Under Treatment</v>
      </c>
      <c r="R1331" s="3" t="str">
        <f>IF(Table1[[#This Row],[Test Results]]&gt;120,"High Risk","Normal")</f>
        <v>High Risk</v>
      </c>
      <c r="S1331" s="3" t="str">
        <f>IF(Table1[[#This Row],[Age]]&lt;=18,"0-18",IF(Table1[[#This Row],[Age]]&lt;=35,"19-35",IF(Table1[[#This Row],[Age]]&lt;=50,"36-50",IF(Table1[[#This Row],[Age]]&lt;=65,"51-65","65+"))))</f>
        <v>51-65</v>
      </c>
    </row>
    <row r="1332" spans="1:19" x14ac:dyDescent="0.3">
      <c r="A1332" s="3" t="s">
        <v>4024</v>
      </c>
      <c r="B1332" s="3">
        <v>53</v>
      </c>
      <c r="C1332" s="3" t="s">
        <v>16</v>
      </c>
      <c r="D1332" s="3" t="s">
        <v>103</v>
      </c>
      <c r="E1332" s="3" t="s">
        <v>18</v>
      </c>
      <c r="F1332" s="4">
        <v>44416</v>
      </c>
      <c r="G1332" s="3" t="s">
        <v>4025</v>
      </c>
      <c r="H1332" s="3" t="s">
        <v>4026</v>
      </c>
      <c r="I1332" s="3" t="s">
        <v>57</v>
      </c>
      <c r="J1332" s="5">
        <v>9148.5606519414905</v>
      </c>
      <c r="K1332" s="3">
        <v>387</v>
      </c>
      <c r="L1332" s="3" t="s">
        <v>46</v>
      </c>
      <c r="M1332" s="4">
        <v>44443</v>
      </c>
      <c r="N1332" s="3" t="s">
        <v>52</v>
      </c>
      <c r="O1332" s="3" t="s">
        <v>33</v>
      </c>
      <c r="P1332" s="3" t="str">
        <f>IF(Table1[[#This Row],[Billing Amount]]&lt;5000,"Low",IF(Table1[[#This Row],[Billing Amount]]&lt;=15000,"Medium","High"))</f>
        <v>Medium</v>
      </c>
      <c r="Q1332" s="3" t="str">
        <f>IF(Table1[[#This Row],[Discharge Date]]="Yes","Discharged","Under Treatment")</f>
        <v>Under Treatment</v>
      </c>
      <c r="R1332" s="3" t="str">
        <f>IF(Table1[[#This Row],[Test Results]]&gt;120,"High Risk","Normal")</f>
        <v>High Risk</v>
      </c>
      <c r="S1332" s="3" t="str">
        <f>IF(Table1[[#This Row],[Age]]&lt;=18,"0-18",IF(Table1[[#This Row],[Age]]&lt;=35,"19-35",IF(Table1[[#This Row],[Age]]&lt;=50,"36-50",IF(Table1[[#This Row],[Age]]&lt;=65,"51-65","65+"))))</f>
        <v>51-65</v>
      </c>
    </row>
    <row r="1333" spans="1:19" x14ac:dyDescent="0.3">
      <c r="A1333" s="3" t="s">
        <v>4027</v>
      </c>
      <c r="B1333" s="3">
        <v>60</v>
      </c>
      <c r="C1333" s="3" t="s">
        <v>16</v>
      </c>
      <c r="D1333" s="3" t="s">
        <v>59</v>
      </c>
      <c r="E1333" s="3" t="s">
        <v>54</v>
      </c>
      <c r="F1333" s="4">
        <v>44763</v>
      </c>
      <c r="G1333" s="3" t="s">
        <v>4028</v>
      </c>
      <c r="H1333" s="3" t="s">
        <v>4029</v>
      </c>
      <c r="I1333" s="3" t="s">
        <v>30</v>
      </c>
      <c r="J1333" s="5">
        <v>46157.428827085801</v>
      </c>
      <c r="K1333" s="3">
        <v>419</v>
      </c>
      <c r="L1333" s="3" t="s">
        <v>22</v>
      </c>
      <c r="M1333" s="4">
        <v>44784</v>
      </c>
      <c r="N1333" s="3" t="s">
        <v>79</v>
      </c>
      <c r="O1333" s="3" t="s">
        <v>47</v>
      </c>
      <c r="P1333" s="3" t="str">
        <f>IF(Table1[[#This Row],[Billing Amount]]&lt;5000,"Low",IF(Table1[[#This Row],[Billing Amount]]&lt;=15000,"Medium","High"))</f>
        <v>High</v>
      </c>
      <c r="Q1333" s="3" t="str">
        <f>IF(Table1[[#This Row],[Discharge Date]]="Yes","Discharged","Under Treatment")</f>
        <v>Under Treatment</v>
      </c>
      <c r="R1333" s="3" t="str">
        <f>IF(Table1[[#This Row],[Test Results]]&gt;120,"High Risk","Normal")</f>
        <v>High Risk</v>
      </c>
      <c r="S1333" s="3" t="str">
        <f>IF(Table1[[#This Row],[Age]]&lt;=18,"0-18",IF(Table1[[#This Row],[Age]]&lt;=35,"19-35",IF(Table1[[#This Row],[Age]]&lt;=50,"36-50",IF(Table1[[#This Row],[Age]]&lt;=65,"51-65","65+"))))</f>
        <v>51-65</v>
      </c>
    </row>
    <row r="1334" spans="1:19" x14ac:dyDescent="0.3">
      <c r="A1334" s="3" t="s">
        <v>4030</v>
      </c>
      <c r="B1334" s="3">
        <v>67</v>
      </c>
      <c r="C1334" s="3" t="s">
        <v>16</v>
      </c>
      <c r="D1334" s="3" t="s">
        <v>42</v>
      </c>
      <c r="E1334" s="3" t="s">
        <v>93</v>
      </c>
      <c r="F1334" s="4">
        <v>44164</v>
      </c>
      <c r="G1334" s="3" t="s">
        <v>4031</v>
      </c>
      <c r="H1334" s="3" t="s">
        <v>4032</v>
      </c>
      <c r="I1334" s="3" t="s">
        <v>21</v>
      </c>
      <c r="J1334" s="5">
        <v>23595.3453904167</v>
      </c>
      <c r="K1334" s="3">
        <v>419</v>
      </c>
      <c r="L1334" s="3" t="s">
        <v>22</v>
      </c>
      <c r="M1334" s="4">
        <v>44170</v>
      </c>
      <c r="N1334" s="3" t="s">
        <v>32</v>
      </c>
      <c r="O1334" s="3" t="s">
        <v>33</v>
      </c>
      <c r="P1334" s="3" t="str">
        <f>IF(Table1[[#This Row],[Billing Amount]]&lt;5000,"Low",IF(Table1[[#This Row],[Billing Amount]]&lt;=15000,"Medium","High"))</f>
        <v>High</v>
      </c>
      <c r="Q1334" s="3" t="str">
        <f>IF(Table1[[#This Row],[Discharge Date]]="Yes","Discharged","Under Treatment")</f>
        <v>Under Treatment</v>
      </c>
      <c r="R1334" s="3" t="str">
        <f>IF(Table1[[#This Row],[Test Results]]&gt;120,"High Risk","Normal")</f>
        <v>High Risk</v>
      </c>
      <c r="S1334" s="3" t="str">
        <f>IF(Table1[[#This Row],[Age]]&lt;=18,"0-18",IF(Table1[[#This Row],[Age]]&lt;=35,"19-35",IF(Table1[[#This Row],[Age]]&lt;=50,"36-50",IF(Table1[[#This Row],[Age]]&lt;=65,"51-65","65+"))))</f>
        <v>65+</v>
      </c>
    </row>
    <row r="1335" spans="1:19" x14ac:dyDescent="0.3">
      <c r="A1335" s="3" t="s">
        <v>4033</v>
      </c>
      <c r="B1335" s="3">
        <v>61</v>
      </c>
      <c r="C1335" s="3" t="s">
        <v>35</v>
      </c>
      <c r="D1335" s="3" t="s">
        <v>36</v>
      </c>
      <c r="E1335" s="3" t="s">
        <v>18</v>
      </c>
      <c r="F1335" s="4">
        <v>44926</v>
      </c>
      <c r="G1335" s="3" t="s">
        <v>4034</v>
      </c>
      <c r="H1335" s="3" t="s">
        <v>4035</v>
      </c>
      <c r="I1335" s="3" t="s">
        <v>21</v>
      </c>
      <c r="J1335" s="5">
        <v>22176.6016687345</v>
      </c>
      <c r="K1335" s="3">
        <v>231</v>
      </c>
      <c r="L1335" s="3" t="s">
        <v>46</v>
      </c>
      <c r="M1335" s="4">
        <v>44935</v>
      </c>
      <c r="N1335" s="3" t="s">
        <v>79</v>
      </c>
      <c r="O1335" s="3" t="s">
        <v>24</v>
      </c>
      <c r="P1335" s="3" t="str">
        <f>IF(Table1[[#This Row],[Billing Amount]]&lt;5000,"Low",IF(Table1[[#This Row],[Billing Amount]]&lt;=15000,"Medium","High"))</f>
        <v>High</v>
      </c>
      <c r="Q1335" s="3" t="str">
        <f>IF(Table1[[#This Row],[Discharge Date]]="Yes","Discharged","Under Treatment")</f>
        <v>Under Treatment</v>
      </c>
      <c r="R1335" s="3" t="str">
        <f>IF(Table1[[#This Row],[Test Results]]&gt;120,"High Risk","Normal")</f>
        <v>High Risk</v>
      </c>
      <c r="S1335" s="3" t="str">
        <f>IF(Table1[[#This Row],[Age]]&lt;=18,"0-18",IF(Table1[[#This Row],[Age]]&lt;=35,"19-35",IF(Table1[[#This Row],[Age]]&lt;=50,"36-50",IF(Table1[[#This Row],[Age]]&lt;=65,"51-65","65+"))))</f>
        <v>51-65</v>
      </c>
    </row>
    <row r="1336" spans="1:19" x14ac:dyDescent="0.3">
      <c r="A1336" s="3" t="s">
        <v>4036</v>
      </c>
      <c r="B1336" s="3">
        <v>48</v>
      </c>
      <c r="C1336" s="3" t="s">
        <v>35</v>
      </c>
      <c r="D1336" s="3" t="s">
        <v>26</v>
      </c>
      <c r="E1336" s="3" t="s">
        <v>76</v>
      </c>
      <c r="F1336" s="4">
        <v>44264</v>
      </c>
      <c r="G1336" s="3" t="s">
        <v>4037</v>
      </c>
      <c r="H1336" s="3" t="s">
        <v>4038</v>
      </c>
      <c r="I1336" s="3" t="s">
        <v>39</v>
      </c>
      <c r="J1336" s="5">
        <v>27151.440488378001</v>
      </c>
      <c r="K1336" s="3">
        <v>321</v>
      </c>
      <c r="L1336" s="3" t="s">
        <v>22</v>
      </c>
      <c r="M1336" s="4">
        <v>44270</v>
      </c>
      <c r="N1336" s="3" t="s">
        <v>40</v>
      </c>
      <c r="O1336" s="3" t="s">
        <v>33</v>
      </c>
      <c r="P1336" s="3" t="str">
        <f>IF(Table1[[#This Row],[Billing Amount]]&lt;5000,"Low",IF(Table1[[#This Row],[Billing Amount]]&lt;=15000,"Medium","High"))</f>
        <v>High</v>
      </c>
      <c r="Q1336" s="3" t="str">
        <f>IF(Table1[[#This Row],[Discharge Date]]="Yes","Discharged","Under Treatment")</f>
        <v>Under Treatment</v>
      </c>
      <c r="R1336" s="3" t="str">
        <f>IF(Table1[[#This Row],[Test Results]]&gt;120,"High Risk","Normal")</f>
        <v>High Risk</v>
      </c>
      <c r="S1336" s="3" t="str">
        <f>IF(Table1[[#This Row],[Age]]&lt;=18,"0-18",IF(Table1[[#This Row],[Age]]&lt;=35,"19-35",IF(Table1[[#This Row],[Age]]&lt;=50,"36-50",IF(Table1[[#This Row],[Age]]&lt;=65,"51-65","65+"))))</f>
        <v>36-50</v>
      </c>
    </row>
    <row r="1337" spans="1:19" x14ac:dyDescent="0.3">
      <c r="A1337" s="3" t="s">
        <v>4039</v>
      </c>
      <c r="B1337" s="3">
        <v>40</v>
      </c>
      <c r="C1337" s="3" t="s">
        <v>16</v>
      </c>
      <c r="D1337" s="3" t="s">
        <v>36</v>
      </c>
      <c r="E1337" s="3" t="s">
        <v>54</v>
      </c>
      <c r="F1337" s="4">
        <v>43600</v>
      </c>
      <c r="G1337" s="3" t="s">
        <v>4040</v>
      </c>
      <c r="H1337" s="3" t="s">
        <v>4041</v>
      </c>
      <c r="I1337" s="3" t="s">
        <v>30</v>
      </c>
      <c r="J1337" s="5">
        <v>21619.417297457399</v>
      </c>
      <c r="K1337" s="3">
        <v>135</v>
      </c>
      <c r="L1337" s="3" t="s">
        <v>22</v>
      </c>
      <c r="M1337" s="4">
        <v>43617</v>
      </c>
      <c r="N1337" s="3" t="s">
        <v>79</v>
      </c>
      <c r="O1337" s="3" t="s">
        <v>47</v>
      </c>
      <c r="P1337" s="3" t="str">
        <f>IF(Table1[[#This Row],[Billing Amount]]&lt;5000,"Low",IF(Table1[[#This Row],[Billing Amount]]&lt;=15000,"Medium","High"))</f>
        <v>High</v>
      </c>
      <c r="Q1337" s="3" t="str">
        <f>IF(Table1[[#This Row],[Discharge Date]]="Yes","Discharged","Under Treatment")</f>
        <v>Under Treatment</v>
      </c>
      <c r="R1337" s="3" t="str">
        <f>IF(Table1[[#This Row],[Test Results]]&gt;120,"High Risk","Normal")</f>
        <v>High Risk</v>
      </c>
      <c r="S1337" s="3" t="str">
        <f>IF(Table1[[#This Row],[Age]]&lt;=18,"0-18",IF(Table1[[#This Row],[Age]]&lt;=35,"19-35",IF(Table1[[#This Row],[Age]]&lt;=50,"36-50",IF(Table1[[#This Row],[Age]]&lt;=65,"51-65","65+"))))</f>
        <v>36-50</v>
      </c>
    </row>
    <row r="1338" spans="1:19" x14ac:dyDescent="0.3">
      <c r="A1338" s="3" t="s">
        <v>4042</v>
      </c>
      <c r="B1338" s="3">
        <v>80</v>
      </c>
      <c r="C1338" s="3" t="s">
        <v>35</v>
      </c>
      <c r="D1338" s="3" t="s">
        <v>26</v>
      </c>
      <c r="E1338" s="3" t="s">
        <v>54</v>
      </c>
      <c r="F1338" s="4">
        <v>45332</v>
      </c>
      <c r="G1338" s="3" t="s">
        <v>4043</v>
      </c>
      <c r="H1338" s="3" t="s">
        <v>4044</v>
      </c>
      <c r="I1338" s="3" t="s">
        <v>30</v>
      </c>
      <c r="J1338" s="5">
        <v>30317.262371910601</v>
      </c>
      <c r="K1338" s="3">
        <v>252</v>
      </c>
      <c r="L1338" s="3" t="s">
        <v>22</v>
      </c>
      <c r="M1338" s="4">
        <v>45341</v>
      </c>
      <c r="N1338" s="3" t="s">
        <v>32</v>
      </c>
      <c r="O1338" s="3" t="s">
        <v>47</v>
      </c>
      <c r="P1338" s="3" t="str">
        <f>IF(Table1[[#This Row],[Billing Amount]]&lt;5000,"Low",IF(Table1[[#This Row],[Billing Amount]]&lt;=15000,"Medium","High"))</f>
        <v>High</v>
      </c>
      <c r="Q1338" s="3" t="str">
        <f>IF(Table1[[#This Row],[Discharge Date]]="Yes","Discharged","Under Treatment")</f>
        <v>Under Treatment</v>
      </c>
      <c r="R1338" s="3" t="str">
        <f>IF(Table1[[#This Row],[Test Results]]&gt;120,"High Risk","Normal")</f>
        <v>High Risk</v>
      </c>
      <c r="S1338" s="3" t="str">
        <f>IF(Table1[[#This Row],[Age]]&lt;=18,"0-18",IF(Table1[[#This Row],[Age]]&lt;=35,"19-35",IF(Table1[[#This Row],[Age]]&lt;=50,"36-50",IF(Table1[[#This Row],[Age]]&lt;=65,"51-65","65+"))))</f>
        <v>65+</v>
      </c>
    </row>
    <row r="1339" spans="1:19" x14ac:dyDescent="0.3">
      <c r="A1339" s="3" t="s">
        <v>4045</v>
      </c>
      <c r="B1339" s="3">
        <v>60</v>
      </c>
      <c r="C1339" s="3" t="s">
        <v>35</v>
      </c>
      <c r="D1339" s="3" t="s">
        <v>49</v>
      </c>
      <c r="E1339" s="3" t="s">
        <v>18</v>
      </c>
      <c r="F1339" s="4">
        <v>44821</v>
      </c>
      <c r="G1339" s="3" t="s">
        <v>4046</v>
      </c>
      <c r="H1339" s="3" t="s">
        <v>4047</v>
      </c>
      <c r="I1339" s="3" t="s">
        <v>57</v>
      </c>
      <c r="J1339" s="5">
        <v>12624.8414000434</v>
      </c>
      <c r="K1339" s="3">
        <v>196</v>
      </c>
      <c r="L1339" s="3" t="s">
        <v>22</v>
      </c>
      <c r="M1339" s="4">
        <v>44834</v>
      </c>
      <c r="N1339" s="3" t="s">
        <v>79</v>
      </c>
      <c r="O1339" s="3" t="s">
        <v>33</v>
      </c>
      <c r="P1339" s="3" t="str">
        <f>IF(Table1[[#This Row],[Billing Amount]]&lt;5000,"Low",IF(Table1[[#This Row],[Billing Amount]]&lt;=15000,"Medium","High"))</f>
        <v>Medium</v>
      </c>
      <c r="Q1339" s="3" t="str">
        <f>IF(Table1[[#This Row],[Discharge Date]]="Yes","Discharged","Under Treatment")</f>
        <v>Under Treatment</v>
      </c>
      <c r="R1339" s="3" t="str">
        <f>IF(Table1[[#This Row],[Test Results]]&gt;120,"High Risk","Normal")</f>
        <v>High Risk</v>
      </c>
      <c r="S1339" s="3" t="str">
        <f>IF(Table1[[#This Row],[Age]]&lt;=18,"0-18",IF(Table1[[#This Row],[Age]]&lt;=35,"19-35",IF(Table1[[#This Row],[Age]]&lt;=50,"36-50",IF(Table1[[#This Row],[Age]]&lt;=65,"51-65","65+"))))</f>
        <v>51-65</v>
      </c>
    </row>
    <row r="1340" spans="1:19" x14ac:dyDescent="0.3">
      <c r="A1340" s="3" t="s">
        <v>4048</v>
      </c>
      <c r="B1340" s="3">
        <v>36</v>
      </c>
      <c r="C1340" s="3" t="s">
        <v>16</v>
      </c>
      <c r="D1340" s="3" t="s">
        <v>42</v>
      </c>
      <c r="E1340" s="3" t="s">
        <v>54</v>
      </c>
      <c r="F1340" s="4">
        <v>44626</v>
      </c>
      <c r="G1340" s="3" t="s">
        <v>4049</v>
      </c>
      <c r="H1340" s="3" t="s">
        <v>4050</v>
      </c>
      <c r="I1340" s="3" t="s">
        <v>21</v>
      </c>
      <c r="J1340" s="5">
        <v>20379.287225038599</v>
      </c>
      <c r="K1340" s="3">
        <v>225</v>
      </c>
      <c r="L1340" s="3" t="s">
        <v>31</v>
      </c>
      <c r="M1340" s="4">
        <v>44652</v>
      </c>
      <c r="N1340" s="3" t="s">
        <v>40</v>
      </c>
      <c r="O1340" s="3" t="s">
        <v>33</v>
      </c>
      <c r="P1340" s="3" t="str">
        <f>IF(Table1[[#This Row],[Billing Amount]]&lt;5000,"Low",IF(Table1[[#This Row],[Billing Amount]]&lt;=15000,"Medium","High"))</f>
        <v>High</v>
      </c>
      <c r="Q1340" s="3" t="str">
        <f>IF(Table1[[#This Row],[Discharge Date]]="Yes","Discharged","Under Treatment")</f>
        <v>Under Treatment</v>
      </c>
      <c r="R1340" s="3" t="str">
        <f>IF(Table1[[#This Row],[Test Results]]&gt;120,"High Risk","Normal")</f>
        <v>High Risk</v>
      </c>
      <c r="S1340" s="3" t="str">
        <f>IF(Table1[[#This Row],[Age]]&lt;=18,"0-18",IF(Table1[[#This Row],[Age]]&lt;=35,"19-35",IF(Table1[[#This Row],[Age]]&lt;=50,"36-50",IF(Table1[[#This Row],[Age]]&lt;=65,"51-65","65+"))))</f>
        <v>36-50</v>
      </c>
    </row>
    <row r="1341" spans="1:19" x14ac:dyDescent="0.3">
      <c r="A1341" s="3" t="s">
        <v>4051</v>
      </c>
      <c r="B1341" s="3">
        <v>70</v>
      </c>
      <c r="C1341" s="3" t="s">
        <v>16</v>
      </c>
      <c r="D1341" s="3" t="s">
        <v>122</v>
      </c>
      <c r="E1341" s="3" t="s">
        <v>54</v>
      </c>
      <c r="F1341" s="4">
        <v>43623</v>
      </c>
      <c r="G1341" s="3" t="s">
        <v>4052</v>
      </c>
      <c r="H1341" s="3" t="s">
        <v>4053</v>
      </c>
      <c r="I1341" s="3" t="s">
        <v>21</v>
      </c>
      <c r="J1341" s="5">
        <v>36923.593923984903</v>
      </c>
      <c r="K1341" s="3">
        <v>287</v>
      </c>
      <c r="L1341" s="3" t="s">
        <v>22</v>
      </c>
      <c r="M1341" s="4">
        <v>43628</v>
      </c>
      <c r="N1341" s="3" t="s">
        <v>32</v>
      </c>
      <c r="O1341" s="3" t="s">
        <v>47</v>
      </c>
      <c r="P1341" s="3" t="str">
        <f>IF(Table1[[#This Row],[Billing Amount]]&lt;5000,"Low",IF(Table1[[#This Row],[Billing Amount]]&lt;=15000,"Medium","High"))</f>
        <v>High</v>
      </c>
      <c r="Q1341" s="3" t="str">
        <f>IF(Table1[[#This Row],[Discharge Date]]="Yes","Discharged","Under Treatment")</f>
        <v>Under Treatment</v>
      </c>
      <c r="R1341" s="3" t="str">
        <f>IF(Table1[[#This Row],[Test Results]]&gt;120,"High Risk","Normal")</f>
        <v>High Risk</v>
      </c>
      <c r="S1341" s="3" t="str">
        <f>IF(Table1[[#This Row],[Age]]&lt;=18,"0-18",IF(Table1[[#This Row],[Age]]&lt;=35,"19-35",IF(Table1[[#This Row],[Age]]&lt;=50,"36-50",IF(Table1[[#This Row],[Age]]&lt;=65,"51-65","65+"))))</f>
        <v>65+</v>
      </c>
    </row>
    <row r="1342" spans="1:19" x14ac:dyDescent="0.3">
      <c r="A1342" s="3" t="s">
        <v>4054</v>
      </c>
      <c r="B1342" s="3">
        <v>58</v>
      </c>
      <c r="C1342" s="3" t="s">
        <v>35</v>
      </c>
      <c r="D1342" s="3" t="s">
        <v>49</v>
      </c>
      <c r="E1342" s="3" t="s">
        <v>43</v>
      </c>
      <c r="F1342" s="4">
        <v>44780</v>
      </c>
      <c r="G1342" s="3" t="s">
        <v>4055</v>
      </c>
      <c r="H1342" s="3" t="s">
        <v>4056</v>
      </c>
      <c r="I1342" s="3" t="s">
        <v>65</v>
      </c>
      <c r="J1342" s="5">
        <v>28774.579264722099</v>
      </c>
      <c r="K1342" s="3">
        <v>481</v>
      </c>
      <c r="L1342" s="3" t="s">
        <v>22</v>
      </c>
      <c r="M1342" s="4">
        <v>44803</v>
      </c>
      <c r="N1342" s="3" t="s">
        <v>79</v>
      </c>
      <c r="O1342" s="3" t="s">
        <v>24</v>
      </c>
      <c r="P1342" s="3" t="str">
        <f>IF(Table1[[#This Row],[Billing Amount]]&lt;5000,"Low",IF(Table1[[#This Row],[Billing Amount]]&lt;=15000,"Medium","High"))</f>
        <v>High</v>
      </c>
      <c r="Q1342" s="3" t="str">
        <f>IF(Table1[[#This Row],[Discharge Date]]="Yes","Discharged","Under Treatment")</f>
        <v>Under Treatment</v>
      </c>
      <c r="R1342" s="3" t="str">
        <f>IF(Table1[[#This Row],[Test Results]]&gt;120,"High Risk","Normal")</f>
        <v>High Risk</v>
      </c>
      <c r="S1342" s="3" t="str">
        <f>IF(Table1[[#This Row],[Age]]&lt;=18,"0-18",IF(Table1[[#This Row],[Age]]&lt;=35,"19-35",IF(Table1[[#This Row],[Age]]&lt;=50,"36-50",IF(Table1[[#This Row],[Age]]&lt;=65,"51-65","65+"))))</f>
        <v>51-65</v>
      </c>
    </row>
    <row r="1343" spans="1:19" x14ac:dyDescent="0.3">
      <c r="A1343" s="3" t="s">
        <v>4057</v>
      </c>
      <c r="B1343" s="3">
        <v>81</v>
      </c>
      <c r="C1343" s="3" t="s">
        <v>35</v>
      </c>
      <c r="D1343" s="3" t="s">
        <v>36</v>
      </c>
      <c r="E1343" s="3" t="s">
        <v>43</v>
      </c>
      <c r="F1343" s="4">
        <v>44695</v>
      </c>
      <c r="G1343" s="3" t="s">
        <v>4058</v>
      </c>
      <c r="H1343" s="3" t="s">
        <v>4059</v>
      </c>
      <c r="I1343" s="3" t="s">
        <v>39</v>
      </c>
      <c r="J1343" s="5">
        <v>43279.727770244499</v>
      </c>
      <c r="K1343" s="3">
        <v>309</v>
      </c>
      <c r="L1343" s="3" t="s">
        <v>31</v>
      </c>
      <c r="M1343" s="4">
        <v>44703</v>
      </c>
      <c r="N1343" s="3" t="s">
        <v>23</v>
      </c>
      <c r="O1343" s="3" t="s">
        <v>24</v>
      </c>
      <c r="P1343" s="3" t="str">
        <f>IF(Table1[[#This Row],[Billing Amount]]&lt;5000,"Low",IF(Table1[[#This Row],[Billing Amount]]&lt;=15000,"Medium","High"))</f>
        <v>High</v>
      </c>
      <c r="Q1343" s="3" t="str">
        <f>IF(Table1[[#This Row],[Discharge Date]]="Yes","Discharged","Under Treatment")</f>
        <v>Under Treatment</v>
      </c>
      <c r="R1343" s="3" t="str">
        <f>IF(Table1[[#This Row],[Test Results]]&gt;120,"High Risk","Normal")</f>
        <v>High Risk</v>
      </c>
      <c r="S1343" s="3" t="str">
        <f>IF(Table1[[#This Row],[Age]]&lt;=18,"0-18",IF(Table1[[#This Row],[Age]]&lt;=35,"19-35",IF(Table1[[#This Row],[Age]]&lt;=50,"36-50",IF(Table1[[#This Row],[Age]]&lt;=65,"51-65","65+"))))</f>
        <v>65+</v>
      </c>
    </row>
    <row r="1344" spans="1:19" x14ac:dyDescent="0.3">
      <c r="A1344" s="3" t="s">
        <v>4060</v>
      </c>
      <c r="B1344" s="3">
        <v>22</v>
      </c>
      <c r="C1344" s="3" t="s">
        <v>16</v>
      </c>
      <c r="D1344" s="3" t="s">
        <v>122</v>
      </c>
      <c r="E1344" s="3" t="s">
        <v>43</v>
      </c>
      <c r="F1344" s="4">
        <v>44345</v>
      </c>
      <c r="G1344" s="3" t="s">
        <v>4061</v>
      </c>
      <c r="H1344" s="3" t="s">
        <v>154</v>
      </c>
      <c r="I1344" s="3" t="s">
        <v>21</v>
      </c>
      <c r="J1344" s="5">
        <v>27954.426572647699</v>
      </c>
      <c r="K1344" s="3">
        <v>484</v>
      </c>
      <c r="L1344" s="3" t="s">
        <v>46</v>
      </c>
      <c r="M1344" s="4">
        <v>44347</v>
      </c>
      <c r="N1344" s="3" t="s">
        <v>79</v>
      </c>
      <c r="O1344" s="3" t="s">
        <v>47</v>
      </c>
      <c r="P1344" s="3" t="str">
        <f>IF(Table1[[#This Row],[Billing Amount]]&lt;5000,"Low",IF(Table1[[#This Row],[Billing Amount]]&lt;=15000,"Medium","High"))</f>
        <v>High</v>
      </c>
      <c r="Q1344" s="3" t="str">
        <f>IF(Table1[[#This Row],[Discharge Date]]="Yes","Discharged","Under Treatment")</f>
        <v>Under Treatment</v>
      </c>
      <c r="R1344" s="3" t="str">
        <f>IF(Table1[[#This Row],[Test Results]]&gt;120,"High Risk","Normal")</f>
        <v>High Risk</v>
      </c>
      <c r="S1344" s="3" t="str">
        <f>IF(Table1[[#This Row],[Age]]&lt;=18,"0-18",IF(Table1[[#This Row],[Age]]&lt;=35,"19-35",IF(Table1[[#This Row],[Age]]&lt;=50,"36-50",IF(Table1[[#This Row],[Age]]&lt;=65,"51-65","65+"))))</f>
        <v>19-35</v>
      </c>
    </row>
    <row r="1345" spans="1:19" x14ac:dyDescent="0.3">
      <c r="A1345" s="3" t="s">
        <v>4062</v>
      </c>
      <c r="B1345" s="3">
        <v>65</v>
      </c>
      <c r="C1345" s="3" t="s">
        <v>35</v>
      </c>
      <c r="D1345" s="3" t="s">
        <v>59</v>
      </c>
      <c r="E1345" s="3" t="s">
        <v>43</v>
      </c>
      <c r="F1345" s="4">
        <v>45135</v>
      </c>
      <c r="G1345" s="3" t="s">
        <v>4063</v>
      </c>
      <c r="H1345" s="3" t="s">
        <v>4064</v>
      </c>
      <c r="I1345" s="3" t="s">
        <v>21</v>
      </c>
      <c r="J1345" s="5">
        <v>46417.347740671998</v>
      </c>
      <c r="K1345" s="3">
        <v>284</v>
      </c>
      <c r="L1345" s="3" t="s">
        <v>31</v>
      </c>
      <c r="M1345" s="4">
        <v>45143</v>
      </c>
      <c r="N1345" s="3" t="s">
        <v>32</v>
      </c>
      <c r="O1345" s="3" t="s">
        <v>24</v>
      </c>
      <c r="P1345" s="3" t="str">
        <f>IF(Table1[[#This Row],[Billing Amount]]&lt;5000,"Low",IF(Table1[[#This Row],[Billing Amount]]&lt;=15000,"Medium","High"))</f>
        <v>High</v>
      </c>
      <c r="Q1345" s="3" t="str">
        <f>IF(Table1[[#This Row],[Discharge Date]]="Yes","Discharged","Under Treatment")</f>
        <v>Under Treatment</v>
      </c>
      <c r="R1345" s="3" t="str">
        <f>IF(Table1[[#This Row],[Test Results]]&gt;120,"High Risk","Normal")</f>
        <v>High Risk</v>
      </c>
      <c r="S1345" s="3" t="str">
        <f>IF(Table1[[#This Row],[Age]]&lt;=18,"0-18",IF(Table1[[#This Row],[Age]]&lt;=35,"19-35",IF(Table1[[#This Row],[Age]]&lt;=50,"36-50",IF(Table1[[#This Row],[Age]]&lt;=65,"51-65","65+"))))</f>
        <v>51-65</v>
      </c>
    </row>
    <row r="1346" spans="1:19" x14ac:dyDescent="0.3">
      <c r="A1346" s="3" t="s">
        <v>4065</v>
      </c>
      <c r="B1346" s="3">
        <v>70</v>
      </c>
      <c r="C1346" s="3" t="s">
        <v>35</v>
      </c>
      <c r="D1346" s="3" t="s">
        <v>103</v>
      </c>
      <c r="E1346" s="3" t="s">
        <v>43</v>
      </c>
      <c r="F1346" s="4">
        <v>44636</v>
      </c>
      <c r="G1346" s="3" t="s">
        <v>4066</v>
      </c>
      <c r="H1346" s="3" t="s">
        <v>4067</v>
      </c>
      <c r="I1346" s="3" t="s">
        <v>21</v>
      </c>
      <c r="J1346" s="5">
        <v>47628.6275876371</v>
      </c>
      <c r="K1346" s="3">
        <v>454</v>
      </c>
      <c r="L1346" s="3" t="s">
        <v>22</v>
      </c>
      <c r="M1346" s="4">
        <v>44642</v>
      </c>
      <c r="N1346" s="3" t="s">
        <v>79</v>
      </c>
      <c r="O1346" s="3" t="s">
        <v>33</v>
      </c>
      <c r="P1346" s="3" t="str">
        <f>IF(Table1[[#This Row],[Billing Amount]]&lt;5000,"Low",IF(Table1[[#This Row],[Billing Amount]]&lt;=15000,"Medium","High"))</f>
        <v>High</v>
      </c>
      <c r="Q1346" s="3" t="str">
        <f>IF(Table1[[#This Row],[Discharge Date]]="Yes","Discharged","Under Treatment")</f>
        <v>Under Treatment</v>
      </c>
      <c r="R1346" s="3" t="str">
        <f>IF(Table1[[#This Row],[Test Results]]&gt;120,"High Risk","Normal")</f>
        <v>High Risk</v>
      </c>
      <c r="S1346" s="3" t="str">
        <f>IF(Table1[[#This Row],[Age]]&lt;=18,"0-18",IF(Table1[[#This Row],[Age]]&lt;=35,"19-35",IF(Table1[[#This Row],[Age]]&lt;=50,"36-50",IF(Table1[[#This Row],[Age]]&lt;=65,"51-65","65+"))))</f>
        <v>65+</v>
      </c>
    </row>
    <row r="1347" spans="1:19" x14ac:dyDescent="0.3">
      <c r="A1347" s="3" t="s">
        <v>4068</v>
      </c>
      <c r="B1347" s="3">
        <v>72</v>
      </c>
      <c r="C1347" s="3" t="s">
        <v>35</v>
      </c>
      <c r="D1347" s="3" t="s">
        <v>17</v>
      </c>
      <c r="E1347" s="3" t="s">
        <v>54</v>
      </c>
      <c r="F1347" s="4">
        <v>44365</v>
      </c>
      <c r="G1347" s="3" t="s">
        <v>4069</v>
      </c>
      <c r="H1347" s="3" t="s">
        <v>4070</v>
      </c>
      <c r="I1347" s="3" t="s">
        <v>65</v>
      </c>
      <c r="J1347" s="5">
        <v>43588.8495310527</v>
      </c>
      <c r="K1347" s="3">
        <v>244</v>
      </c>
      <c r="L1347" s="3" t="s">
        <v>31</v>
      </c>
      <c r="M1347" s="4">
        <v>44368</v>
      </c>
      <c r="N1347" s="3" t="s">
        <v>32</v>
      </c>
      <c r="O1347" s="3" t="s">
        <v>33</v>
      </c>
      <c r="P1347" s="3" t="str">
        <f>IF(Table1[[#This Row],[Billing Amount]]&lt;5000,"Low",IF(Table1[[#This Row],[Billing Amount]]&lt;=15000,"Medium","High"))</f>
        <v>High</v>
      </c>
      <c r="Q1347" s="3" t="str">
        <f>IF(Table1[[#This Row],[Discharge Date]]="Yes","Discharged","Under Treatment")</f>
        <v>Under Treatment</v>
      </c>
      <c r="R1347" s="3" t="str">
        <f>IF(Table1[[#This Row],[Test Results]]&gt;120,"High Risk","Normal")</f>
        <v>High Risk</v>
      </c>
      <c r="S1347" s="3" t="str">
        <f>IF(Table1[[#This Row],[Age]]&lt;=18,"0-18",IF(Table1[[#This Row],[Age]]&lt;=35,"19-35",IF(Table1[[#This Row],[Age]]&lt;=50,"36-50",IF(Table1[[#This Row],[Age]]&lt;=65,"51-65","65+"))))</f>
        <v>65+</v>
      </c>
    </row>
    <row r="1348" spans="1:19" x14ac:dyDescent="0.3">
      <c r="A1348" s="3" t="s">
        <v>4071</v>
      </c>
      <c r="B1348" s="3">
        <v>18</v>
      </c>
      <c r="C1348" s="3" t="s">
        <v>35</v>
      </c>
      <c r="D1348" s="3" t="s">
        <v>49</v>
      </c>
      <c r="E1348" s="3" t="s">
        <v>93</v>
      </c>
      <c r="F1348" s="4">
        <v>43991</v>
      </c>
      <c r="G1348" s="3" t="s">
        <v>4072</v>
      </c>
      <c r="H1348" s="3" t="s">
        <v>4073</v>
      </c>
      <c r="I1348" s="3" t="s">
        <v>21</v>
      </c>
      <c r="J1348" s="5">
        <v>28513.176012306401</v>
      </c>
      <c r="K1348" s="3">
        <v>416</v>
      </c>
      <c r="L1348" s="3" t="s">
        <v>46</v>
      </c>
      <c r="M1348" s="4">
        <v>43995</v>
      </c>
      <c r="N1348" s="3" t="s">
        <v>40</v>
      </c>
      <c r="O1348" s="3" t="s">
        <v>33</v>
      </c>
      <c r="P1348" s="3" t="str">
        <f>IF(Table1[[#This Row],[Billing Amount]]&lt;5000,"Low",IF(Table1[[#This Row],[Billing Amount]]&lt;=15000,"Medium","High"))</f>
        <v>High</v>
      </c>
      <c r="Q1348" s="3" t="str">
        <f>IF(Table1[[#This Row],[Discharge Date]]="Yes","Discharged","Under Treatment")</f>
        <v>Under Treatment</v>
      </c>
      <c r="R1348" s="3" t="str">
        <f>IF(Table1[[#This Row],[Test Results]]&gt;120,"High Risk","Normal")</f>
        <v>High Risk</v>
      </c>
      <c r="S1348" s="3" t="str">
        <f>IF(Table1[[#This Row],[Age]]&lt;=18,"0-18",IF(Table1[[#This Row],[Age]]&lt;=35,"19-35",IF(Table1[[#This Row],[Age]]&lt;=50,"36-50",IF(Table1[[#This Row],[Age]]&lt;=65,"51-65","65+"))))</f>
        <v>0-18</v>
      </c>
    </row>
    <row r="1349" spans="1:19" x14ac:dyDescent="0.3">
      <c r="A1349" s="3" t="s">
        <v>4075</v>
      </c>
      <c r="B1349" s="3">
        <v>85</v>
      </c>
      <c r="C1349" s="3" t="s">
        <v>35</v>
      </c>
      <c r="D1349" s="3" t="s">
        <v>49</v>
      </c>
      <c r="E1349" s="3" t="s">
        <v>76</v>
      </c>
      <c r="F1349" s="4">
        <v>45307</v>
      </c>
      <c r="G1349" s="3" t="s">
        <v>4076</v>
      </c>
      <c r="H1349" s="3" t="s">
        <v>4077</v>
      </c>
      <c r="I1349" s="3" t="s">
        <v>65</v>
      </c>
      <c r="J1349" s="5">
        <v>24217.320709978801</v>
      </c>
      <c r="K1349" s="3">
        <v>255</v>
      </c>
      <c r="L1349" s="3" t="s">
        <v>46</v>
      </c>
      <c r="M1349" s="4">
        <v>45325</v>
      </c>
      <c r="N1349" s="3" t="s">
        <v>52</v>
      </c>
      <c r="O1349" s="3" t="s">
        <v>47</v>
      </c>
      <c r="P1349" s="3" t="str">
        <f>IF(Table1[[#This Row],[Billing Amount]]&lt;5000,"Low",IF(Table1[[#This Row],[Billing Amount]]&lt;=15000,"Medium","High"))</f>
        <v>High</v>
      </c>
      <c r="Q1349" s="3" t="str">
        <f>IF(Table1[[#This Row],[Discharge Date]]="Yes","Discharged","Under Treatment")</f>
        <v>Under Treatment</v>
      </c>
      <c r="R1349" s="3" t="str">
        <f>IF(Table1[[#This Row],[Test Results]]&gt;120,"High Risk","Normal")</f>
        <v>High Risk</v>
      </c>
      <c r="S1349" s="3" t="str">
        <f>IF(Table1[[#This Row],[Age]]&lt;=18,"0-18",IF(Table1[[#This Row],[Age]]&lt;=35,"19-35",IF(Table1[[#This Row],[Age]]&lt;=50,"36-50",IF(Table1[[#This Row],[Age]]&lt;=65,"51-65","65+"))))</f>
        <v>65+</v>
      </c>
    </row>
    <row r="1350" spans="1:19" x14ac:dyDescent="0.3">
      <c r="A1350" s="3" t="s">
        <v>4078</v>
      </c>
      <c r="B1350" s="3">
        <v>36</v>
      </c>
      <c r="C1350" s="3" t="s">
        <v>16</v>
      </c>
      <c r="D1350" s="3" t="s">
        <v>42</v>
      </c>
      <c r="E1350" s="3" t="s">
        <v>27</v>
      </c>
      <c r="F1350" s="4">
        <v>43903</v>
      </c>
      <c r="G1350" s="3" t="s">
        <v>4079</v>
      </c>
      <c r="H1350" s="3" t="s">
        <v>4080</v>
      </c>
      <c r="I1350" s="3" t="s">
        <v>65</v>
      </c>
      <c r="J1350" s="5">
        <v>47873.9676615805</v>
      </c>
      <c r="K1350" s="3">
        <v>253</v>
      </c>
      <c r="L1350" s="3" t="s">
        <v>46</v>
      </c>
      <c r="M1350" s="4">
        <v>43918</v>
      </c>
      <c r="N1350" s="3" t="s">
        <v>79</v>
      </c>
      <c r="O1350" s="3" t="s">
        <v>24</v>
      </c>
      <c r="P1350" s="3" t="str">
        <f>IF(Table1[[#This Row],[Billing Amount]]&lt;5000,"Low",IF(Table1[[#This Row],[Billing Amount]]&lt;=15000,"Medium","High"))</f>
        <v>High</v>
      </c>
      <c r="Q1350" s="3" t="str">
        <f>IF(Table1[[#This Row],[Discharge Date]]="Yes","Discharged","Under Treatment")</f>
        <v>Under Treatment</v>
      </c>
      <c r="R1350" s="3" t="str">
        <f>IF(Table1[[#This Row],[Test Results]]&gt;120,"High Risk","Normal")</f>
        <v>High Risk</v>
      </c>
      <c r="S1350" s="3" t="str">
        <f>IF(Table1[[#This Row],[Age]]&lt;=18,"0-18",IF(Table1[[#This Row],[Age]]&lt;=35,"19-35",IF(Table1[[#This Row],[Age]]&lt;=50,"36-50",IF(Table1[[#This Row],[Age]]&lt;=65,"51-65","65+"))))</f>
        <v>36-50</v>
      </c>
    </row>
    <row r="1351" spans="1:19" x14ac:dyDescent="0.3">
      <c r="A1351" s="3" t="s">
        <v>4081</v>
      </c>
      <c r="B1351" s="3">
        <v>36</v>
      </c>
      <c r="C1351" s="3" t="s">
        <v>35</v>
      </c>
      <c r="D1351" s="3" t="s">
        <v>17</v>
      </c>
      <c r="E1351" s="3" t="s">
        <v>93</v>
      </c>
      <c r="F1351" s="4">
        <v>45379</v>
      </c>
      <c r="G1351" s="3" t="s">
        <v>4082</v>
      </c>
      <c r="H1351" s="3" t="s">
        <v>4083</v>
      </c>
      <c r="I1351" s="3" t="s">
        <v>21</v>
      </c>
      <c r="J1351" s="5">
        <v>30735.4786052856</v>
      </c>
      <c r="K1351" s="3">
        <v>166</v>
      </c>
      <c r="L1351" s="3" t="s">
        <v>46</v>
      </c>
      <c r="M1351" s="4">
        <v>45408</v>
      </c>
      <c r="N1351" s="3" t="s">
        <v>52</v>
      </c>
      <c r="O1351" s="3" t="s">
        <v>24</v>
      </c>
      <c r="P1351" s="3" t="str">
        <f>IF(Table1[[#This Row],[Billing Amount]]&lt;5000,"Low",IF(Table1[[#This Row],[Billing Amount]]&lt;=15000,"Medium","High"))</f>
        <v>High</v>
      </c>
      <c r="Q1351" s="3" t="str">
        <f>IF(Table1[[#This Row],[Discharge Date]]="Yes","Discharged","Under Treatment")</f>
        <v>Under Treatment</v>
      </c>
      <c r="R1351" s="3" t="str">
        <f>IF(Table1[[#This Row],[Test Results]]&gt;120,"High Risk","Normal")</f>
        <v>High Risk</v>
      </c>
      <c r="S1351" s="3" t="str">
        <f>IF(Table1[[#This Row],[Age]]&lt;=18,"0-18",IF(Table1[[#This Row],[Age]]&lt;=35,"19-35",IF(Table1[[#This Row],[Age]]&lt;=50,"36-50",IF(Table1[[#This Row],[Age]]&lt;=65,"51-65","65+"))))</f>
        <v>36-50</v>
      </c>
    </row>
    <row r="1352" spans="1:19" x14ac:dyDescent="0.3">
      <c r="A1352" s="3" t="s">
        <v>4084</v>
      </c>
      <c r="B1352" s="3">
        <v>58</v>
      </c>
      <c r="C1352" s="3" t="s">
        <v>35</v>
      </c>
      <c r="D1352" s="3" t="s">
        <v>26</v>
      </c>
      <c r="E1352" s="3" t="s">
        <v>76</v>
      </c>
      <c r="F1352" s="4">
        <v>44104</v>
      </c>
      <c r="G1352" s="3" t="s">
        <v>4085</v>
      </c>
      <c r="H1352" s="3" t="s">
        <v>4086</v>
      </c>
      <c r="I1352" s="3" t="s">
        <v>30</v>
      </c>
      <c r="J1352" s="5">
        <v>35726.732852832298</v>
      </c>
      <c r="K1352" s="3">
        <v>300</v>
      </c>
      <c r="L1352" s="3" t="s">
        <v>31</v>
      </c>
      <c r="M1352" s="4">
        <v>44107</v>
      </c>
      <c r="N1352" s="3" t="s">
        <v>40</v>
      </c>
      <c r="O1352" s="3" t="s">
        <v>24</v>
      </c>
      <c r="P1352" s="3" t="str">
        <f>IF(Table1[[#This Row],[Billing Amount]]&lt;5000,"Low",IF(Table1[[#This Row],[Billing Amount]]&lt;=15000,"Medium","High"))</f>
        <v>High</v>
      </c>
      <c r="Q1352" s="3" t="str">
        <f>IF(Table1[[#This Row],[Discharge Date]]="Yes","Discharged","Under Treatment")</f>
        <v>Under Treatment</v>
      </c>
      <c r="R1352" s="3" t="str">
        <f>IF(Table1[[#This Row],[Test Results]]&gt;120,"High Risk","Normal")</f>
        <v>High Risk</v>
      </c>
      <c r="S1352" s="3" t="str">
        <f>IF(Table1[[#This Row],[Age]]&lt;=18,"0-18",IF(Table1[[#This Row],[Age]]&lt;=35,"19-35",IF(Table1[[#This Row],[Age]]&lt;=50,"36-50",IF(Table1[[#This Row],[Age]]&lt;=65,"51-65","65+"))))</f>
        <v>51-65</v>
      </c>
    </row>
    <row r="1353" spans="1:19" x14ac:dyDescent="0.3">
      <c r="A1353" s="3" t="s">
        <v>4087</v>
      </c>
      <c r="B1353" s="3">
        <v>82</v>
      </c>
      <c r="C1353" s="3" t="s">
        <v>16</v>
      </c>
      <c r="D1353" s="3" t="s">
        <v>122</v>
      </c>
      <c r="E1353" s="3" t="s">
        <v>43</v>
      </c>
      <c r="F1353" s="4">
        <v>44059</v>
      </c>
      <c r="G1353" s="3" t="s">
        <v>4088</v>
      </c>
      <c r="H1353" s="3" t="s">
        <v>4089</v>
      </c>
      <c r="I1353" s="3" t="s">
        <v>39</v>
      </c>
      <c r="J1353" s="5">
        <v>16385.4681815002</v>
      </c>
      <c r="K1353" s="3">
        <v>237</v>
      </c>
      <c r="L1353" s="3" t="s">
        <v>22</v>
      </c>
      <c r="M1353" s="4">
        <v>44063</v>
      </c>
      <c r="N1353" s="3" t="s">
        <v>32</v>
      </c>
      <c r="O1353" s="3" t="s">
        <v>47</v>
      </c>
      <c r="P1353" s="3" t="str">
        <f>IF(Table1[[#This Row],[Billing Amount]]&lt;5000,"Low",IF(Table1[[#This Row],[Billing Amount]]&lt;=15000,"Medium","High"))</f>
        <v>High</v>
      </c>
      <c r="Q1353" s="3" t="str">
        <f>IF(Table1[[#This Row],[Discharge Date]]="Yes","Discharged","Under Treatment")</f>
        <v>Under Treatment</v>
      </c>
      <c r="R1353" s="3" t="str">
        <f>IF(Table1[[#This Row],[Test Results]]&gt;120,"High Risk","Normal")</f>
        <v>High Risk</v>
      </c>
      <c r="S1353" s="3" t="str">
        <f>IF(Table1[[#This Row],[Age]]&lt;=18,"0-18",IF(Table1[[#This Row],[Age]]&lt;=35,"19-35",IF(Table1[[#This Row],[Age]]&lt;=50,"36-50",IF(Table1[[#This Row],[Age]]&lt;=65,"51-65","65+"))))</f>
        <v>65+</v>
      </c>
    </row>
    <row r="1354" spans="1:19" x14ac:dyDescent="0.3">
      <c r="A1354" s="3" t="s">
        <v>4090</v>
      </c>
      <c r="B1354" s="3">
        <v>47</v>
      </c>
      <c r="C1354" s="3" t="s">
        <v>35</v>
      </c>
      <c r="D1354" s="3" t="s">
        <v>49</v>
      </c>
      <c r="E1354" s="3" t="s">
        <v>43</v>
      </c>
      <c r="F1354" s="4">
        <v>44140</v>
      </c>
      <c r="G1354" s="3" t="s">
        <v>4091</v>
      </c>
      <c r="H1354" s="3" t="s">
        <v>4092</v>
      </c>
      <c r="I1354" s="3" t="s">
        <v>21</v>
      </c>
      <c r="J1354" s="5">
        <v>34468.359636655201</v>
      </c>
      <c r="K1354" s="3">
        <v>279</v>
      </c>
      <c r="L1354" s="3" t="s">
        <v>31</v>
      </c>
      <c r="M1354" s="4">
        <v>44165</v>
      </c>
      <c r="N1354" s="3" t="s">
        <v>79</v>
      </c>
      <c r="O1354" s="3" t="s">
        <v>47</v>
      </c>
      <c r="P1354" s="3" t="str">
        <f>IF(Table1[[#This Row],[Billing Amount]]&lt;5000,"Low",IF(Table1[[#This Row],[Billing Amount]]&lt;=15000,"Medium","High"))</f>
        <v>High</v>
      </c>
      <c r="Q1354" s="3" t="str">
        <f>IF(Table1[[#This Row],[Discharge Date]]="Yes","Discharged","Under Treatment")</f>
        <v>Under Treatment</v>
      </c>
      <c r="R1354" s="3" t="str">
        <f>IF(Table1[[#This Row],[Test Results]]&gt;120,"High Risk","Normal")</f>
        <v>High Risk</v>
      </c>
      <c r="S1354" s="3" t="str">
        <f>IF(Table1[[#This Row],[Age]]&lt;=18,"0-18",IF(Table1[[#This Row],[Age]]&lt;=35,"19-35",IF(Table1[[#This Row],[Age]]&lt;=50,"36-50",IF(Table1[[#This Row],[Age]]&lt;=65,"51-65","65+"))))</f>
        <v>36-50</v>
      </c>
    </row>
    <row r="1355" spans="1:19" x14ac:dyDescent="0.3">
      <c r="A1355" s="3" t="s">
        <v>4093</v>
      </c>
      <c r="B1355" s="3">
        <v>76</v>
      </c>
      <c r="C1355" s="3" t="s">
        <v>35</v>
      </c>
      <c r="D1355" s="3" t="s">
        <v>122</v>
      </c>
      <c r="E1355" s="3" t="s">
        <v>76</v>
      </c>
      <c r="F1355" s="4">
        <v>44876</v>
      </c>
      <c r="G1355" s="3" t="s">
        <v>4094</v>
      </c>
      <c r="H1355" s="3" t="s">
        <v>4095</v>
      </c>
      <c r="I1355" s="3" t="s">
        <v>21</v>
      </c>
      <c r="J1355" s="5">
        <v>23370.746267666102</v>
      </c>
      <c r="K1355" s="3">
        <v>467</v>
      </c>
      <c r="L1355" s="3" t="s">
        <v>46</v>
      </c>
      <c r="M1355" s="4">
        <v>44901</v>
      </c>
      <c r="N1355" s="3" t="s">
        <v>32</v>
      </c>
      <c r="O1355" s="3" t="s">
        <v>33</v>
      </c>
      <c r="P1355" s="3" t="str">
        <f>IF(Table1[[#This Row],[Billing Amount]]&lt;5000,"Low",IF(Table1[[#This Row],[Billing Amount]]&lt;=15000,"Medium","High"))</f>
        <v>High</v>
      </c>
      <c r="Q1355" s="3" t="str">
        <f>IF(Table1[[#This Row],[Discharge Date]]="Yes","Discharged","Under Treatment")</f>
        <v>Under Treatment</v>
      </c>
      <c r="R1355" s="3" t="str">
        <f>IF(Table1[[#This Row],[Test Results]]&gt;120,"High Risk","Normal")</f>
        <v>High Risk</v>
      </c>
      <c r="S1355" s="3" t="str">
        <f>IF(Table1[[#This Row],[Age]]&lt;=18,"0-18",IF(Table1[[#This Row],[Age]]&lt;=35,"19-35",IF(Table1[[#This Row],[Age]]&lt;=50,"36-50",IF(Table1[[#This Row],[Age]]&lt;=65,"51-65","65+"))))</f>
        <v>65+</v>
      </c>
    </row>
    <row r="1356" spans="1:19" x14ac:dyDescent="0.3">
      <c r="A1356" s="3" t="s">
        <v>4096</v>
      </c>
      <c r="B1356" s="3">
        <v>42</v>
      </c>
      <c r="C1356" s="3" t="s">
        <v>16</v>
      </c>
      <c r="D1356" s="3" t="s">
        <v>42</v>
      </c>
      <c r="E1356" s="3" t="s">
        <v>18</v>
      </c>
      <c r="F1356" s="4">
        <v>43943</v>
      </c>
      <c r="G1356" s="3" t="s">
        <v>4097</v>
      </c>
      <c r="H1356" s="3" t="s">
        <v>4098</v>
      </c>
      <c r="I1356" s="3" t="s">
        <v>57</v>
      </c>
      <c r="J1356" s="5">
        <v>31914.053599236198</v>
      </c>
      <c r="K1356" s="3">
        <v>304</v>
      </c>
      <c r="L1356" s="3" t="s">
        <v>46</v>
      </c>
      <c r="M1356" s="4">
        <v>43966</v>
      </c>
      <c r="N1356" s="3" t="s">
        <v>23</v>
      </c>
      <c r="O1356" s="3" t="s">
        <v>33</v>
      </c>
      <c r="P1356" s="3" t="str">
        <f>IF(Table1[[#This Row],[Billing Amount]]&lt;5000,"Low",IF(Table1[[#This Row],[Billing Amount]]&lt;=15000,"Medium","High"))</f>
        <v>High</v>
      </c>
      <c r="Q1356" s="3" t="str">
        <f>IF(Table1[[#This Row],[Discharge Date]]="Yes","Discharged","Under Treatment")</f>
        <v>Under Treatment</v>
      </c>
      <c r="R1356" s="3" t="str">
        <f>IF(Table1[[#This Row],[Test Results]]&gt;120,"High Risk","Normal")</f>
        <v>High Risk</v>
      </c>
      <c r="S1356" s="3" t="str">
        <f>IF(Table1[[#This Row],[Age]]&lt;=18,"0-18",IF(Table1[[#This Row],[Age]]&lt;=35,"19-35",IF(Table1[[#This Row],[Age]]&lt;=50,"36-50",IF(Table1[[#This Row],[Age]]&lt;=65,"51-65","65+"))))</f>
        <v>36-50</v>
      </c>
    </row>
    <row r="1357" spans="1:19" x14ac:dyDescent="0.3">
      <c r="A1357" s="3" t="s">
        <v>4100</v>
      </c>
      <c r="B1357" s="3">
        <v>29</v>
      </c>
      <c r="C1357" s="3" t="s">
        <v>35</v>
      </c>
      <c r="D1357" s="3" t="s">
        <v>42</v>
      </c>
      <c r="E1357" s="3" t="s">
        <v>27</v>
      </c>
      <c r="F1357" s="4">
        <v>43829</v>
      </c>
      <c r="G1357" s="3" t="s">
        <v>4101</v>
      </c>
      <c r="H1357" s="3" t="s">
        <v>4102</v>
      </c>
      <c r="I1357" s="3" t="s">
        <v>65</v>
      </c>
      <c r="J1357" s="5">
        <v>34517.820468894402</v>
      </c>
      <c r="K1357" s="3">
        <v>204</v>
      </c>
      <c r="L1357" s="3" t="s">
        <v>31</v>
      </c>
      <c r="M1357" s="4">
        <v>43848</v>
      </c>
      <c r="N1357" s="3" t="s">
        <v>52</v>
      </c>
      <c r="O1357" s="3" t="s">
        <v>33</v>
      </c>
      <c r="P1357" s="3" t="str">
        <f>IF(Table1[[#This Row],[Billing Amount]]&lt;5000,"Low",IF(Table1[[#This Row],[Billing Amount]]&lt;=15000,"Medium","High"))</f>
        <v>High</v>
      </c>
      <c r="Q1357" s="3" t="str">
        <f>IF(Table1[[#This Row],[Discharge Date]]="Yes","Discharged","Under Treatment")</f>
        <v>Under Treatment</v>
      </c>
      <c r="R1357" s="3" t="str">
        <f>IF(Table1[[#This Row],[Test Results]]&gt;120,"High Risk","Normal")</f>
        <v>High Risk</v>
      </c>
      <c r="S1357" s="3" t="str">
        <f>IF(Table1[[#This Row],[Age]]&lt;=18,"0-18",IF(Table1[[#This Row],[Age]]&lt;=35,"19-35",IF(Table1[[#This Row],[Age]]&lt;=50,"36-50",IF(Table1[[#This Row],[Age]]&lt;=65,"51-65","65+"))))</f>
        <v>19-35</v>
      </c>
    </row>
    <row r="1358" spans="1:19" x14ac:dyDescent="0.3">
      <c r="A1358" s="3" t="s">
        <v>4103</v>
      </c>
      <c r="B1358" s="3">
        <v>80</v>
      </c>
      <c r="C1358" s="3" t="s">
        <v>35</v>
      </c>
      <c r="D1358" s="3" t="s">
        <v>59</v>
      </c>
      <c r="E1358" s="3" t="s">
        <v>27</v>
      </c>
      <c r="F1358" s="4">
        <v>44804</v>
      </c>
      <c r="G1358" s="3" t="s">
        <v>4104</v>
      </c>
      <c r="H1358" s="3" t="s">
        <v>4105</v>
      </c>
      <c r="I1358" s="3" t="s">
        <v>21</v>
      </c>
      <c r="J1358" s="5">
        <v>6971.6327403324904</v>
      </c>
      <c r="K1358" s="3">
        <v>161</v>
      </c>
      <c r="L1358" s="3" t="s">
        <v>46</v>
      </c>
      <c r="M1358" s="4">
        <v>44813</v>
      </c>
      <c r="N1358" s="3" t="s">
        <v>32</v>
      </c>
      <c r="O1358" s="3" t="s">
        <v>33</v>
      </c>
      <c r="P1358" s="3" t="str">
        <f>IF(Table1[[#This Row],[Billing Amount]]&lt;5000,"Low",IF(Table1[[#This Row],[Billing Amount]]&lt;=15000,"Medium","High"))</f>
        <v>Medium</v>
      </c>
      <c r="Q1358" s="3" t="str">
        <f>IF(Table1[[#This Row],[Discharge Date]]="Yes","Discharged","Under Treatment")</f>
        <v>Under Treatment</v>
      </c>
      <c r="R1358" s="3" t="str">
        <f>IF(Table1[[#This Row],[Test Results]]&gt;120,"High Risk","Normal")</f>
        <v>High Risk</v>
      </c>
      <c r="S1358" s="3" t="str">
        <f>IF(Table1[[#This Row],[Age]]&lt;=18,"0-18",IF(Table1[[#This Row],[Age]]&lt;=35,"19-35",IF(Table1[[#This Row],[Age]]&lt;=50,"36-50",IF(Table1[[#This Row],[Age]]&lt;=65,"51-65","65+"))))</f>
        <v>65+</v>
      </c>
    </row>
    <row r="1359" spans="1:19" x14ac:dyDescent="0.3">
      <c r="A1359" s="3" t="s">
        <v>4106</v>
      </c>
      <c r="B1359" s="3">
        <v>65</v>
      </c>
      <c r="C1359" s="3" t="s">
        <v>16</v>
      </c>
      <c r="D1359" s="3" t="s">
        <v>42</v>
      </c>
      <c r="E1359" s="3" t="s">
        <v>76</v>
      </c>
      <c r="F1359" s="4">
        <v>43691</v>
      </c>
      <c r="G1359" s="3" t="s">
        <v>4107</v>
      </c>
      <c r="H1359" s="3" t="s">
        <v>4108</v>
      </c>
      <c r="I1359" s="3" t="s">
        <v>21</v>
      </c>
      <c r="J1359" s="5">
        <v>43577.682997729898</v>
      </c>
      <c r="K1359" s="3">
        <v>396</v>
      </c>
      <c r="L1359" s="3" t="s">
        <v>46</v>
      </c>
      <c r="M1359" s="4">
        <v>43719</v>
      </c>
      <c r="N1359" s="3" t="s">
        <v>40</v>
      </c>
      <c r="O1359" s="3" t="s">
        <v>24</v>
      </c>
      <c r="P1359" s="3" t="str">
        <f>IF(Table1[[#This Row],[Billing Amount]]&lt;5000,"Low",IF(Table1[[#This Row],[Billing Amount]]&lt;=15000,"Medium","High"))</f>
        <v>High</v>
      </c>
      <c r="Q1359" s="3" t="str">
        <f>IF(Table1[[#This Row],[Discharge Date]]="Yes","Discharged","Under Treatment")</f>
        <v>Under Treatment</v>
      </c>
      <c r="R1359" s="3" t="str">
        <f>IF(Table1[[#This Row],[Test Results]]&gt;120,"High Risk","Normal")</f>
        <v>High Risk</v>
      </c>
      <c r="S1359" s="3" t="str">
        <f>IF(Table1[[#This Row],[Age]]&lt;=18,"0-18",IF(Table1[[#This Row],[Age]]&lt;=35,"19-35",IF(Table1[[#This Row],[Age]]&lt;=50,"36-50",IF(Table1[[#This Row],[Age]]&lt;=65,"51-65","65+"))))</f>
        <v>51-65</v>
      </c>
    </row>
    <row r="1360" spans="1:19" x14ac:dyDescent="0.3">
      <c r="A1360" s="3" t="s">
        <v>4109</v>
      </c>
      <c r="B1360" s="3">
        <v>38</v>
      </c>
      <c r="C1360" s="3" t="s">
        <v>35</v>
      </c>
      <c r="D1360" s="3" t="s">
        <v>103</v>
      </c>
      <c r="E1360" s="3" t="s">
        <v>76</v>
      </c>
      <c r="F1360" s="4">
        <v>44580</v>
      </c>
      <c r="G1360" s="3" t="s">
        <v>4110</v>
      </c>
      <c r="H1360" s="3" t="s">
        <v>4111</v>
      </c>
      <c r="I1360" s="3" t="s">
        <v>39</v>
      </c>
      <c r="J1360" s="5">
        <v>27755.6343714424</v>
      </c>
      <c r="K1360" s="3">
        <v>468</v>
      </c>
      <c r="L1360" s="3" t="s">
        <v>46</v>
      </c>
      <c r="M1360" s="4">
        <v>44584</v>
      </c>
      <c r="N1360" s="3" t="s">
        <v>79</v>
      </c>
      <c r="O1360" s="3" t="s">
        <v>33</v>
      </c>
      <c r="P1360" s="3" t="str">
        <f>IF(Table1[[#This Row],[Billing Amount]]&lt;5000,"Low",IF(Table1[[#This Row],[Billing Amount]]&lt;=15000,"Medium","High"))</f>
        <v>High</v>
      </c>
      <c r="Q1360" s="3" t="str">
        <f>IF(Table1[[#This Row],[Discharge Date]]="Yes","Discharged","Under Treatment")</f>
        <v>Under Treatment</v>
      </c>
      <c r="R1360" s="3" t="str">
        <f>IF(Table1[[#This Row],[Test Results]]&gt;120,"High Risk","Normal")</f>
        <v>High Risk</v>
      </c>
      <c r="S1360" s="3" t="str">
        <f>IF(Table1[[#This Row],[Age]]&lt;=18,"0-18",IF(Table1[[#This Row],[Age]]&lt;=35,"19-35",IF(Table1[[#This Row],[Age]]&lt;=50,"36-50",IF(Table1[[#This Row],[Age]]&lt;=65,"51-65","65+"))))</f>
        <v>36-50</v>
      </c>
    </row>
    <row r="1361" spans="1:19" x14ac:dyDescent="0.3">
      <c r="A1361" s="3" t="s">
        <v>4112</v>
      </c>
      <c r="B1361" s="3">
        <v>45</v>
      </c>
      <c r="C1361" s="3" t="s">
        <v>16</v>
      </c>
      <c r="D1361" s="3" t="s">
        <v>122</v>
      </c>
      <c r="E1361" s="3" t="s">
        <v>43</v>
      </c>
      <c r="F1361" s="4">
        <v>45413</v>
      </c>
      <c r="G1361" s="3" t="s">
        <v>4113</v>
      </c>
      <c r="H1361" s="3" t="s">
        <v>4114</v>
      </c>
      <c r="I1361" s="3" t="s">
        <v>21</v>
      </c>
      <c r="J1361" s="5">
        <v>20257.981249099299</v>
      </c>
      <c r="K1361" s="3">
        <v>134</v>
      </c>
      <c r="L1361" s="3" t="s">
        <v>31</v>
      </c>
      <c r="M1361" s="4">
        <v>45442</v>
      </c>
      <c r="N1361" s="3" t="s">
        <v>79</v>
      </c>
      <c r="O1361" s="3" t="s">
        <v>33</v>
      </c>
      <c r="P1361" s="3" t="str">
        <f>IF(Table1[[#This Row],[Billing Amount]]&lt;5000,"Low",IF(Table1[[#This Row],[Billing Amount]]&lt;=15000,"Medium","High"))</f>
        <v>High</v>
      </c>
      <c r="Q1361" s="3" t="str">
        <f>IF(Table1[[#This Row],[Discharge Date]]="Yes","Discharged","Under Treatment")</f>
        <v>Under Treatment</v>
      </c>
      <c r="R1361" s="3" t="str">
        <f>IF(Table1[[#This Row],[Test Results]]&gt;120,"High Risk","Normal")</f>
        <v>High Risk</v>
      </c>
      <c r="S1361" s="3" t="str">
        <f>IF(Table1[[#This Row],[Age]]&lt;=18,"0-18",IF(Table1[[#This Row],[Age]]&lt;=35,"19-35",IF(Table1[[#This Row],[Age]]&lt;=50,"36-50",IF(Table1[[#This Row],[Age]]&lt;=65,"51-65","65+"))))</f>
        <v>36-50</v>
      </c>
    </row>
    <row r="1362" spans="1:19" x14ac:dyDescent="0.3">
      <c r="A1362" s="3" t="s">
        <v>4115</v>
      </c>
      <c r="B1362" s="3">
        <v>18</v>
      </c>
      <c r="C1362" s="3" t="s">
        <v>35</v>
      </c>
      <c r="D1362" s="3" t="s">
        <v>17</v>
      </c>
      <c r="E1362" s="3" t="s">
        <v>76</v>
      </c>
      <c r="F1362" s="4">
        <v>44993</v>
      </c>
      <c r="G1362" s="3" t="s">
        <v>4116</v>
      </c>
      <c r="H1362" s="3" t="s">
        <v>4117</v>
      </c>
      <c r="I1362" s="3" t="s">
        <v>65</v>
      </c>
      <c r="J1362" s="5">
        <v>10381.479358717401</v>
      </c>
      <c r="K1362" s="3">
        <v>438</v>
      </c>
      <c r="L1362" s="3" t="s">
        <v>31</v>
      </c>
      <c r="M1362" s="4">
        <v>44994</v>
      </c>
      <c r="N1362" s="3" t="s">
        <v>79</v>
      </c>
      <c r="O1362" s="3" t="s">
        <v>33</v>
      </c>
      <c r="P1362" s="3" t="str">
        <f>IF(Table1[[#This Row],[Billing Amount]]&lt;5000,"Low",IF(Table1[[#This Row],[Billing Amount]]&lt;=15000,"Medium","High"))</f>
        <v>Medium</v>
      </c>
      <c r="Q1362" s="3" t="str">
        <f>IF(Table1[[#This Row],[Discharge Date]]="Yes","Discharged","Under Treatment")</f>
        <v>Under Treatment</v>
      </c>
      <c r="R1362" s="3" t="str">
        <f>IF(Table1[[#This Row],[Test Results]]&gt;120,"High Risk","Normal")</f>
        <v>High Risk</v>
      </c>
      <c r="S1362" s="3" t="str">
        <f>IF(Table1[[#This Row],[Age]]&lt;=18,"0-18",IF(Table1[[#This Row],[Age]]&lt;=35,"19-35",IF(Table1[[#This Row],[Age]]&lt;=50,"36-50",IF(Table1[[#This Row],[Age]]&lt;=65,"51-65","65+"))))</f>
        <v>0-18</v>
      </c>
    </row>
    <row r="1363" spans="1:19" x14ac:dyDescent="0.3">
      <c r="A1363" s="3" t="s">
        <v>4118</v>
      </c>
      <c r="B1363" s="3">
        <v>84</v>
      </c>
      <c r="C1363" s="3" t="s">
        <v>16</v>
      </c>
      <c r="D1363" s="3" t="s">
        <v>59</v>
      </c>
      <c r="E1363" s="3" t="s">
        <v>18</v>
      </c>
      <c r="F1363" s="4">
        <v>45175</v>
      </c>
      <c r="G1363" s="3" t="s">
        <v>4119</v>
      </c>
      <c r="H1363" s="3" t="s">
        <v>4120</v>
      </c>
      <c r="I1363" s="3" t="s">
        <v>21</v>
      </c>
      <c r="J1363" s="5">
        <v>2091.7714939395501</v>
      </c>
      <c r="K1363" s="3">
        <v>159</v>
      </c>
      <c r="L1363" s="3" t="s">
        <v>31</v>
      </c>
      <c r="M1363" s="4">
        <v>45193</v>
      </c>
      <c r="N1363" s="3" t="s">
        <v>52</v>
      </c>
      <c r="O1363" s="3" t="s">
        <v>33</v>
      </c>
      <c r="P1363" s="3" t="str">
        <f>IF(Table1[[#This Row],[Billing Amount]]&lt;5000,"Low",IF(Table1[[#This Row],[Billing Amount]]&lt;=15000,"Medium","High"))</f>
        <v>Low</v>
      </c>
      <c r="Q1363" s="3" t="str">
        <f>IF(Table1[[#This Row],[Discharge Date]]="Yes","Discharged","Under Treatment")</f>
        <v>Under Treatment</v>
      </c>
      <c r="R1363" s="3" t="str">
        <f>IF(Table1[[#This Row],[Test Results]]&gt;120,"High Risk","Normal")</f>
        <v>High Risk</v>
      </c>
      <c r="S1363" s="3" t="str">
        <f>IF(Table1[[#This Row],[Age]]&lt;=18,"0-18",IF(Table1[[#This Row],[Age]]&lt;=35,"19-35",IF(Table1[[#This Row],[Age]]&lt;=50,"36-50",IF(Table1[[#This Row],[Age]]&lt;=65,"51-65","65+"))))</f>
        <v>65+</v>
      </c>
    </row>
    <row r="1364" spans="1:19" x14ac:dyDescent="0.3">
      <c r="A1364" s="3" t="s">
        <v>4121</v>
      </c>
      <c r="B1364" s="3">
        <v>59</v>
      </c>
      <c r="C1364" s="3" t="s">
        <v>35</v>
      </c>
      <c r="D1364" s="3" t="s">
        <v>49</v>
      </c>
      <c r="E1364" s="3" t="s">
        <v>54</v>
      </c>
      <c r="F1364" s="4">
        <v>45015</v>
      </c>
      <c r="G1364" s="3" t="s">
        <v>4122</v>
      </c>
      <c r="H1364" s="3" t="s">
        <v>4123</v>
      </c>
      <c r="I1364" s="3" t="s">
        <v>57</v>
      </c>
      <c r="J1364" s="5">
        <v>40998.755402491202</v>
      </c>
      <c r="K1364" s="3">
        <v>163</v>
      </c>
      <c r="L1364" s="3" t="s">
        <v>46</v>
      </c>
      <c r="M1364" s="4">
        <v>45022</v>
      </c>
      <c r="N1364" s="3" t="s">
        <v>40</v>
      </c>
      <c r="O1364" s="3" t="s">
        <v>47</v>
      </c>
      <c r="P1364" s="3" t="str">
        <f>IF(Table1[[#This Row],[Billing Amount]]&lt;5000,"Low",IF(Table1[[#This Row],[Billing Amount]]&lt;=15000,"Medium","High"))</f>
        <v>High</v>
      </c>
      <c r="Q1364" s="3" t="str">
        <f>IF(Table1[[#This Row],[Discharge Date]]="Yes","Discharged","Under Treatment")</f>
        <v>Under Treatment</v>
      </c>
      <c r="R1364" s="3" t="str">
        <f>IF(Table1[[#This Row],[Test Results]]&gt;120,"High Risk","Normal")</f>
        <v>High Risk</v>
      </c>
      <c r="S1364" s="3" t="str">
        <f>IF(Table1[[#This Row],[Age]]&lt;=18,"0-18",IF(Table1[[#This Row],[Age]]&lt;=35,"19-35",IF(Table1[[#This Row],[Age]]&lt;=50,"36-50",IF(Table1[[#This Row],[Age]]&lt;=65,"51-65","65+"))))</f>
        <v>51-65</v>
      </c>
    </row>
    <row r="1365" spans="1:19" x14ac:dyDescent="0.3">
      <c r="A1365" s="3" t="s">
        <v>4124</v>
      </c>
      <c r="B1365" s="3">
        <v>77</v>
      </c>
      <c r="C1365" s="3" t="s">
        <v>16</v>
      </c>
      <c r="D1365" s="3" t="s">
        <v>17</v>
      </c>
      <c r="E1365" s="3" t="s">
        <v>18</v>
      </c>
      <c r="F1365" s="4">
        <v>44964</v>
      </c>
      <c r="G1365" s="3" t="s">
        <v>4125</v>
      </c>
      <c r="H1365" s="3" t="s">
        <v>4126</v>
      </c>
      <c r="I1365" s="3" t="s">
        <v>65</v>
      </c>
      <c r="J1365" s="5">
        <v>38466.647768131399</v>
      </c>
      <c r="K1365" s="3">
        <v>312</v>
      </c>
      <c r="L1365" s="3" t="s">
        <v>31</v>
      </c>
      <c r="M1365" s="4">
        <v>44976</v>
      </c>
      <c r="N1365" s="3" t="s">
        <v>23</v>
      </c>
      <c r="O1365" s="3" t="s">
        <v>24</v>
      </c>
      <c r="P1365" s="3" t="str">
        <f>IF(Table1[[#This Row],[Billing Amount]]&lt;5000,"Low",IF(Table1[[#This Row],[Billing Amount]]&lt;=15000,"Medium","High"))</f>
        <v>High</v>
      </c>
      <c r="Q1365" s="3" t="str">
        <f>IF(Table1[[#This Row],[Discharge Date]]="Yes","Discharged","Under Treatment")</f>
        <v>Under Treatment</v>
      </c>
      <c r="R1365" s="3" t="str">
        <f>IF(Table1[[#This Row],[Test Results]]&gt;120,"High Risk","Normal")</f>
        <v>High Risk</v>
      </c>
      <c r="S1365" s="3" t="str">
        <f>IF(Table1[[#This Row],[Age]]&lt;=18,"0-18",IF(Table1[[#This Row],[Age]]&lt;=35,"19-35",IF(Table1[[#This Row],[Age]]&lt;=50,"36-50",IF(Table1[[#This Row],[Age]]&lt;=65,"51-65","65+"))))</f>
        <v>65+</v>
      </c>
    </row>
    <row r="1366" spans="1:19" x14ac:dyDescent="0.3">
      <c r="A1366" s="3" t="s">
        <v>4127</v>
      </c>
      <c r="B1366" s="3">
        <v>68</v>
      </c>
      <c r="C1366" s="3" t="s">
        <v>35</v>
      </c>
      <c r="D1366" s="3" t="s">
        <v>49</v>
      </c>
      <c r="E1366" s="3" t="s">
        <v>27</v>
      </c>
      <c r="F1366" s="4">
        <v>44614</v>
      </c>
      <c r="G1366" s="3" t="s">
        <v>4128</v>
      </c>
      <c r="H1366" s="3" t="s">
        <v>4129</v>
      </c>
      <c r="I1366" s="3" t="s">
        <v>30</v>
      </c>
      <c r="J1366" s="5">
        <v>39205.2931369953</v>
      </c>
      <c r="K1366" s="3">
        <v>110</v>
      </c>
      <c r="L1366" s="3" t="s">
        <v>22</v>
      </c>
      <c r="M1366" s="4">
        <v>44624</v>
      </c>
      <c r="N1366" s="3" t="s">
        <v>32</v>
      </c>
      <c r="O1366" s="3" t="s">
        <v>24</v>
      </c>
      <c r="P1366" s="3" t="str">
        <f>IF(Table1[[#This Row],[Billing Amount]]&lt;5000,"Low",IF(Table1[[#This Row],[Billing Amount]]&lt;=15000,"Medium","High"))</f>
        <v>High</v>
      </c>
      <c r="Q1366" s="3" t="str">
        <f>IF(Table1[[#This Row],[Discharge Date]]="Yes","Discharged","Under Treatment")</f>
        <v>Under Treatment</v>
      </c>
      <c r="R1366" s="3" t="str">
        <f>IF(Table1[[#This Row],[Test Results]]&gt;120,"High Risk","Normal")</f>
        <v>High Risk</v>
      </c>
      <c r="S1366" s="3" t="str">
        <f>IF(Table1[[#This Row],[Age]]&lt;=18,"0-18",IF(Table1[[#This Row],[Age]]&lt;=35,"19-35",IF(Table1[[#This Row],[Age]]&lt;=50,"36-50",IF(Table1[[#This Row],[Age]]&lt;=65,"51-65","65+"))))</f>
        <v>65+</v>
      </c>
    </row>
    <row r="1367" spans="1:19" x14ac:dyDescent="0.3">
      <c r="A1367" s="3" t="s">
        <v>4130</v>
      </c>
      <c r="B1367" s="3">
        <v>45</v>
      </c>
      <c r="C1367" s="3" t="s">
        <v>16</v>
      </c>
      <c r="D1367" s="3" t="s">
        <v>122</v>
      </c>
      <c r="E1367" s="3" t="s">
        <v>43</v>
      </c>
      <c r="F1367" s="4">
        <v>44670</v>
      </c>
      <c r="G1367" s="3" t="s">
        <v>4131</v>
      </c>
      <c r="H1367" s="3" t="s">
        <v>4132</v>
      </c>
      <c r="I1367" s="3" t="s">
        <v>30</v>
      </c>
      <c r="J1367" s="5">
        <v>12781.956885363101</v>
      </c>
      <c r="K1367" s="3">
        <v>298</v>
      </c>
      <c r="L1367" s="3" t="s">
        <v>46</v>
      </c>
      <c r="M1367" s="4">
        <v>44681</v>
      </c>
      <c r="N1367" s="3" t="s">
        <v>23</v>
      </c>
      <c r="O1367" s="3" t="s">
        <v>47</v>
      </c>
      <c r="P1367" s="3" t="str">
        <f>IF(Table1[[#This Row],[Billing Amount]]&lt;5000,"Low",IF(Table1[[#This Row],[Billing Amount]]&lt;=15000,"Medium","High"))</f>
        <v>Medium</v>
      </c>
      <c r="Q1367" s="3" t="str">
        <f>IF(Table1[[#This Row],[Discharge Date]]="Yes","Discharged","Under Treatment")</f>
        <v>Under Treatment</v>
      </c>
      <c r="R1367" s="3" t="str">
        <f>IF(Table1[[#This Row],[Test Results]]&gt;120,"High Risk","Normal")</f>
        <v>High Risk</v>
      </c>
      <c r="S1367" s="3" t="str">
        <f>IF(Table1[[#This Row],[Age]]&lt;=18,"0-18",IF(Table1[[#This Row],[Age]]&lt;=35,"19-35",IF(Table1[[#This Row],[Age]]&lt;=50,"36-50",IF(Table1[[#This Row],[Age]]&lt;=65,"51-65","65+"))))</f>
        <v>36-50</v>
      </c>
    </row>
    <row r="1368" spans="1:19" x14ac:dyDescent="0.3">
      <c r="A1368" s="3" t="s">
        <v>4134</v>
      </c>
      <c r="B1368" s="3">
        <v>84</v>
      </c>
      <c r="C1368" s="3" t="s">
        <v>16</v>
      </c>
      <c r="D1368" s="3" t="s">
        <v>26</v>
      </c>
      <c r="E1368" s="3" t="s">
        <v>93</v>
      </c>
      <c r="F1368" s="4">
        <v>44705</v>
      </c>
      <c r="G1368" s="3" t="s">
        <v>4135</v>
      </c>
      <c r="H1368" s="3" t="s">
        <v>4136</v>
      </c>
      <c r="I1368" s="3" t="s">
        <v>57</v>
      </c>
      <c r="J1368" s="5">
        <v>17826.6140337738</v>
      </c>
      <c r="K1368" s="3">
        <v>276</v>
      </c>
      <c r="L1368" s="3" t="s">
        <v>22</v>
      </c>
      <c r="M1368" s="4">
        <v>44735</v>
      </c>
      <c r="N1368" s="3" t="s">
        <v>79</v>
      </c>
      <c r="O1368" s="3" t="s">
        <v>24</v>
      </c>
      <c r="P1368" s="3" t="str">
        <f>IF(Table1[[#This Row],[Billing Amount]]&lt;5000,"Low",IF(Table1[[#This Row],[Billing Amount]]&lt;=15000,"Medium","High"))</f>
        <v>High</v>
      </c>
      <c r="Q1368" s="3" t="str">
        <f>IF(Table1[[#This Row],[Discharge Date]]="Yes","Discharged","Under Treatment")</f>
        <v>Under Treatment</v>
      </c>
      <c r="R1368" s="3" t="str">
        <f>IF(Table1[[#This Row],[Test Results]]&gt;120,"High Risk","Normal")</f>
        <v>High Risk</v>
      </c>
      <c r="S1368" s="3" t="str">
        <f>IF(Table1[[#This Row],[Age]]&lt;=18,"0-18",IF(Table1[[#This Row],[Age]]&lt;=35,"19-35",IF(Table1[[#This Row],[Age]]&lt;=50,"36-50",IF(Table1[[#This Row],[Age]]&lt;=65,"51-65","65+"))))</f>
        <v>65+</v>
      </c>
    </row>
    <row r="1369" spans="1:19" x14ac:dyDescent="0.3">
      <c r="A1369" s="3" t="s">
        <v>4137</v>
      </c>
      <c r="B1369" s="3">
        <v>69</v>
      </c>
      <c r="C1369" s="3" t="s">
        <v>16</v>
      </c>
      <c r="D1369" s="3" t="s">
        <v>17</v>
      </c>
      <c r="E1369" s="3" t="s">
        <v>27</v>
      </c>
      <c r="F1369" s="4">
        <v>43628</v>
      </c>
      <c r="G1369" s="3" t="s">
        <v>4138</v>
      </c>
      <c r="H1369" s="3" t="s">
        <v>4139</v>
      </c>
      <c r="I1369" s="3" t="s">
        <v>21</v>
      </c>
      <c r="J1369" s="5">
        <v>47313.711475050099</v>
      </c>
      <c r="K1369" s="3">
        <v>116</v>
      </c>
      <c r="L1369" s="3" t="s">
        <v>22</v>
      </c>
      <c r="M1369" s="4">
        <v>43650</v>
      </c>
      <c r="N1369" s="3" t="s">
        <v>79</v>
      </c>
      <c r="O1369" s="3" t="s">
        <v>47</v>
      </c>
      <c r="P1369" s="3" t="str">
        <f>IF(Table1[[#This Row],[Billing Amount]]&lt;5000,"Low",IF(Table1[[#This Row],[Billing Amount]]&lt;=15000,"Medium","High"))</f>
        <v>High</v>
      </c>
      <c r="Q1369" s="3" t="str">
        <f>IF(Table1[[#This Row],[Discharge Date]]="Yes","Discharged","Under Treatment")</f>
        <v>Under Treatment</v>
      </c>
      <c r="R1369" s="3" t="str">
        <f>IF(Table1[[#This Row],[Test Results]]&gt;120,"High Risk","Normal")</f>
        <v>High Risk</v>
      </c>
      <c r="S1369" s="3" t="str">
        <f>IF(Table1[[#This Row],[Age]]&lt;=18,"0-18",IF(Table1[[#This Row],[Age]]&lt;=35,"19-35",IF(Table1[[#This Row],[Age]]&lt;=50,"36-50",IF(Table1[[#This Row],[Age]]&lt;=65,"51-65","65+"))))</f>
        <v>65+</v>
      </c>
    </row>
    <row r="1370" spans="1:19" x14ac:dyDescent="0.3">
      <c r="A1370" s="3" t="s">
        <v>4140</v>
      </c>
      <c r="B1370" s="3">
        <v>70</v>
      </c>
      <c r="C1370" s="3" t="s">
        <v>35</v>
      </c>
      <c r="D1370" s="3" t="s">
        <v>49</v>
      </c>
      <c r="E1370" s="3" t="s">
        <v>54</v>
      </c>
      <c r="F1370" s="4">
        <v>44031</v>
      </c>
      <c r="G1370" s="3" t="s">
        <v>4141</v>
      </c>
      <c r="H1370" s="3" t="s">
        <v>4142</v>
      </c>
      <c r="I1370" s="3" t="s">
        <v>39</v>
      </c>
      <c r="J1370" s="5">
        <v>11001.998694363199</v>
      </c>
      <c r="K1370" s="3">
        <v>348</v>
      </c>
      <c r="L1370" s="3" t="s">
        <v>22</v>
      </c>
      <c r="M1370" s="4">
        <v>44054</v>
      </c>
      <c r="N1370" s="3" t="s">
        <v>40</v>
      </c>
      <c r="O1370" s="3" t="s">
        <v>33</v>
      </c>
      <c r="P1370" s="3" t="str">
        <f>IF(Table1[[#This Row],[Billing Amount]]&lt;5000,"Low",IF(Table1[[#This Row],[Billing Amount]]&lt;=15000,"Medium","High"))</f>
        <v>Medium</v>
      </c>
      <c r="Q1370" s="3" t="str">
        <f>IF(Table1[[#This Row],[Discharge Date]]="Yes","Discharged","Under Treatment")</f>
        <v>Under Treatment</v>
      </c>
      <c r="R1370" s="3" t="str">
        <f>IF(Table1[[#This Row],[Test Results]]&gt;120,"High Risk","Normal")</f>
        <v>High Risk</v>
      </c>
      <c r="S1370" s="3" t="str">
        <f>IF(Table1[[#This Row],[Age]]&lt;=18,"0-18",IF(Table1[[#This Row],[Age]]&lt;=35,"19-35",IF(Table1[[#This Row],[Age]]&lt;=50,"36-50",IF(Table1[[#This Row],[Age]]&lt;=65,"51-65","65+"))))</f>
        <v>65+</v>
      </c>
    </row>
    <row r="1371" spans="1:19" x14ac:dyDescent="0.3">
      <c r="A1371" s="3" t="s">
        <v>4144</v>
      </c>
      <c r="B1371" s="3">
        <v>85</v>
      </c>
      <c r="C1371" s="3" t="s">
        <v>16</v>
      </c>
      <c r="D1371" s="3" t="s">
        <v>122</v>
      </c>
      <c r="E1371" s="3" t="s">
        <v>93</v>
      </c>
      <c r="F1371" s="4">
        <v>43778</v>
      </c>
      <c r="G1371" s="3" t="s">
        <v>4145</v>
      </c>
      <c r="H1371" s="3" t="s">
        <v>4146</v>
      </c>
      <c r="I1371" s="3" t="s">
        <v>65</v>
      </c>
      <c r="J1371" s="5">
        <v>45773.948146267001</v>
      </c>
      <c r="K1371" s="3">
        <v>441</v>
      </c>
      <c r="L1371" s="3" t="s">
        <v>46</v>
      </c>
      <c r="M1371" s="4">
        <v>43808</v>
      </c>
      <c r="N1371" s="3" t="s">
        <v>23</v>
      </c>
      <c r="O1371" s="3" t="s">
        <v>33</v>
      </c>
      <c r="P1371" s="3" t="str">
        <f>IF(Table1[[#This Row],[Billing Amount]]&lt;5000,"Low",IF(Table1[[#This Row],[Billing Amount]]&lt;=15000,"Medium","High"))</f>
        <v>High</v>
      </c>
      <c r="Q1371" s="3" t="str">
        <f>IF(Table1[[#This Row],[Discharge Date]]="Yes","Discharged","Under Treatment")</f>
        <v>Under Treatment</v>
      </c>
      <c r="R1371" s="3" t="str">
        <f>IF(Table1[[#This Row],[Test Results]]&gt;120,"High Risk","Normal")</f>
        <v>High Risk</v>
      </c>
      <c r="S1371" s="3" t="str">
        <f>IF(Table1[[#This Row],[Age]]&lt;=18,"0-18",IF(Table1[[#This Row],[Age]]&lt;=35,"19-35",IF(Table1[[#This Row],[Age]]&lt;=50,"36-50",IF(Table1[[#This Row],[Age]]&lt;=65,"51-65","65+"))))</f>
        <v>65+</v>
      </c>
    </row>
    <row r="1372" spans="1:19" x14ac:dyDescent="0.3">
      <c r="A1372" s="3" t="s">
        <v>4147</v>
      </c>
      <c r="B1372" s="3">
        <v>47</v>
      </c>
      <c r="C1372" s="3" t="s">
        <v>16</v>
      </c>
      <c r="D1372" s="3" t="s">
        <v>49</v>
      </c>
      <c r="E1372" s="3" t="s">
        <v>54</v>
      </c>
      <c r="F1372" s="4">
        <v>45117</v>
      </c>
      <c r="G1372" s="3" t="s">
        <v>4148</v>
      </c>
      <c r="H1372" s="3" t="s">
        <v>4149</v>
      </c>
      <c r="I1372" s="3" t="s">
        <v>30</v>
      </c>
      <c r="J1372" s="5">
        <v>1371.18317049497</v>
      </c>
      <c r="K1372" s="3">
        <v>169</v>
      </c>
      <c r="L1372" s="3" t="s">
        <v>46</v>
      </c>
      <c r="M1372" s="4">
        <v>45136</v>
      </c>
      <c r="N1372" s="3" t="s">
        <v>23</v>
      </c>
      <c r="O1372" s="3" t="s">
        <v>33</v>
      </c>
      <c r="P1372" s="3" t="str">
        <f>IF(Table1[[#This Row],[Billing Amount]]&lt;5000,"Low",IF(Table1[[#This Row],[Billing Amount]]&lt;=15000,"Medium","High"))</f>
        <v>Low</v>
      </c>
      <c r="Q1372" s="3" t="str">
        <f>IF(Table1[[#This Row],[Discharge Date]]="Yes","Discharged","Under Treatment")</f>
        <v>Under Treatment</v>
      </c>
      <c r="R1372" s="3" t="str">
        <f>IF(Table1[[#This Row],[Test Results]]&gt;120,"High Risk","Normal")</f>
        <v>High Risk</v>
      </c>
      <c r="S1372" s="3" t="str">
        <f>IF(Table1[[#This Row],[Age]]&lt;=18,"0-18",IF(Table1[[#This Row],[Age]]&lt;=35,"19-35",IF(Table1[[#This Row],[Age]]&lt;=50,"36-50",IF(Table1[[#This Row],[Age]]&lt;=65,"51-65","65+"))))</f>
        <v>36-50</v>
      </c>
    </row>
    <row r="1373" spans="1:19" x14ac:dyDescent="0.3">
      <c r="A1373" s="3" t="s">
        <v>4150</v>
      </c>
      <c r="B1373" s="3">
        <v>39</v>
      </c>
      <c r="C1373" s="3" t="s">
        <v>16</v>
      </c>
      <c r="D1373" s="3" t="s">
        <v>36</v>
      </c>
      <c r="E1373" s="3" t="s">
        <v>43</v>
      </c>
      <c r="F1373" s="4">
        <v>43879</v>
      </c>
      <c r="G1373" s="3" t="s">
        <v>4151</v>
      </c>
      <c r="H1373" s="3" t="s">
        <v>4152</v>
      </c>
      <c r="I1373" s="3" t="s">
        <v>21</v>
      </c>
      <c r="J1373" s="5">
        <v>25197.804976146999</v>
      </c>
      <c r="K1373" s="3">
        <v>141</v>
      </c>
      <c r="L1373" s="3" t="s">
        <v>31</v>
      </c>
      <c r="M1373" s="4">
        <v>43904</v>
      </c>
      <c r="N1373" s="3" t="s">
        <v>79</v>
      </c>
      <c r="O1373" s="3" t="s">
        <v>47</v>
      </c>
      <c r="P1373" s="3" t="str">
        <f>IF(Table1[[#This Row],[Billing Amount]]&lt;5000,"Low",IF(Table1[[#This Row],[Billing Amount]]&lt;=15000,"Medium","High"))</f>
        <v>High</v>
      </c>
      <c r="Q1373" s="3" t="str">
        <f>IF(Table1[[#This Row],[Discharge Date]]="Yes","Discharged","Under Treatment")</f>
        <v>Under Treatment</v>
      </c>
      <c r="R1373" s="3" t="str">
        <f>IF(Table1[[#This Row],[Test Results]]&gt;120,"High Risk","Normal")</f>
        <v>High Risk</v>
      </c>
      <c r="S1373" s="3" t="str">
        <f>IF(Table1[[#This Row],[Age]]&lt;=18,"0-18",IF(Table1[[#This Row],[Age]]&lt;=35,"19-35",IF(Table1[[#This Row],[Age]]&lt;=50,"36-50",IF(Table1[[#This Row],[Age]]&lt;=65,"51-65","65+"))))</f>
        <v>36-50</v>
      </c>
    </row>
    <row r="1374" spans="1:19" x14ac:dyDescent="0.3">
      <c r="A1374" s="3" t="s">
        <v>4153</v>
      </c>
      <c r="B1374" s="3">
        <v>77</v>
      </c>
      <c r="C1374" s="3" t="s">
        <v>35</v>
      </c>
      <c r="D1374" s="3" t="s">
        <v>17</v>
      </c>
      <c r="E1374" s="3" t="s">
        <v>93</v>
      </c>
      <c r="F1374" s="4">
        <v>43613</v>
      </c>
      <c r="G1374" s="3" t="s">
        <v>4154</v>
      </c>
      <c r="H1374" s="3" t="s">
        <v>4155</v>
      </c>
      <c r="I1374" s="3" t="s">
        <v>65</v>
      </c>
      <c r="J1374" s="5">
        <v>18672.769403720598</v>
      </c>
      <c r="K1374" s="3">
        <v>352</v>
      </c>
      <c r="L1374" s="3" t="s">
        <v>46</v>
      </c>
      <c r="M1374" s="4">
        <v>43632</v>
      </c>
      <c r="N1374" s="3" t="s">
        <v>40</v>
      </c>
      <c r="O1374" s="3" t="s">
        <v>33</v>
      </c>
      <c r="P1374" s="3" t="str">
        <f>IF(Table1[[#This Row],[Billing Amount]]&lt;5000,"Low",IF(Table1[[#This Row],[Billing Amount]]&lt;=15000,"Medium","High"))</f>
        <v>High</v>
      </c>
      <c r="Q1374" s="3" t="str">
        <f>IF(Table1[[#This Row],[Discharge Date]]="Yes","Discharged","Under Treatment")</f>
        <v>Under Treatment</v>
      </c>
      <c r="R1374" s="3" t="str">
        <f>IF(Table1[[#This Row],[Test Results]]&gt;120,"High Risk","Normal")</f>
        <v>High Risk</v>
      </c>
      <c r="S1374" s="3" t="str">
        <f>IF(Table1[[#This Row],[Age]]&lt;=18,"0-18",IF(Table1[[#This Row],[Age]]&lt;=35,"19-35",IF(Table1[[#This Row],[Age]]&lt;=50,"36-50",IF(Table1[[#This Row],[Age]]&lt;=65,"51-65","65+"))))</f>
        <v>65+</v>
      </c>
    </row>
    <row r="1375" spans="1:19" x14ac:dyDescent="0.3">
      <c r="A1375" s="3" t="s">
        <v>4156</v>
      </c>
      <c r="B1375" s="3">
        <v>69</v>
      </c>
      <c r="C1375" s="3" t="s">
        <v>35</v>
      </c>
      <c r="D1375" s="3" t="s">
        <v>103</v>
      </c>
      <c r="E1375" s="3" t="s">
        <v>76</v>
      </c>
      <c r="F1375" s="4">
        <v>43845</v>
      </c>
      <c r="G1375" s="3" t="s">
        <v>4157</v>
      </c>
      <c r="H1375" s="3" t="s">
        <v>4158</v>
      </c>
      <c r="I1375" s="3" t="s">
        <v>39</v>
      </c>
      <c r="J1375" s="5">
        <v>8843.25124193587</v>
      </c>
      <c r="K1375" s="3">
        <v>349</v>
      </c>
      <c r="L1375" s="3" t="s">
        <v>31</v>
      </c>
      <c r="M1375" s="4">
        <v>43856</v>
      </c>
      <c r="N1375" s="3" t="s">
        <v>79</v>
      </c>
      <c r="O1375" s="3" t="s">
        <v>24</v>
      </c>
      <c r="P1375" s="3" t="str">
        <f>IF(Table1[[#This Row],[Billing Amount]]&lt;5000,"Low",IF(Table1[[#This Row],[Billing Amount]]&lt;=15000,"Medium","High"))</f>
        <v>Medium</v>
      </c>
      <c r="Q1375" s="3" t="str">
        <f>IF(Table1[[#This Row],[Discharge Date]]="Yes","Discharged","Under Treatment")</f>
        <v>Under Treatment</v>
      </c>
      <c r="R1375" s="3" t="str">
        <f>IF(Table1[[#This Row],[Test Results]]&gt;120,"High Risk","Normal")</f>
        <v>High Risk</v>
      </c>
      <c r="S1375" s="3" t="str">
        <f>IF(Table1[[#This Row],[Age]]&lt;=18,"0-18",IF(Table1[[#This Row],[Age]]&lt;=35,"19-35",IF(Table1[[#This Row],[Age]]&lt;=50,"36-50",IF(Table1[[#This Row],[Age]]&lt;=65,"51-65","65+"))))</f>
        <v>65+</v>
      </c>
    </row>
    <row r="1376" spans="1:19" x14ac:dyDescent="0.3">
      <c r="A1376" s="3" t="s">
        <v>4159</v>
      </c>
      <c r="B1376" s="3">
        <v>53</v>
      </c>
      <c r="C1376" s="3" t="s">
        <v>35</v>
      </c>
      <c r="D1376" s="3" t="s">
        <v>42</v>
      </c>
      <c r="E1376" s="3" t="s">
        <v>93</v>
      </c>
      <c r="F1376" s="4">
        <v>44965</v>
      </c>
      <c r="G1376" s="3" t="s">
        <v>4160</v>
      </c>
      <c r="H1376" s="3" t="s">
        <v>4161</v>
      </c>
      <c r="I1376" s="3" t="s">
        <v>57</v>
      </c>
      <c r="J1376" s="5">
        <v>27779.500991305598</v>
      </c>
      <c r="K1376" s="3">
        <v>402</v>
      </c>
      <c r="L1376" s="3" t="s">
        <v>22</v>
      </c>
      <c r="M1376" s="4">
        <v>44983</v>
      </c>
      <c r="N1376" s="3" t="s">
        <v>32</v>
      </c>
      <c r="O1376" s="3" t="s">
        <v>47</v>
      </c>
      <c r="P1376" s="3" t="str">
        <f>IF(Table1[[#This Row],[Billing Amount]]&lt;5000,"Low",IF(Table1[[#This Row],[Billing Amount]]&lt;=15000,"Medium","High"))</f>
        <v>High</v>
      </c>
      <c r="Q1376" s="3" t="str">
        <f>IF(Table1[[#This Row],[Discharge Date]]="Yes","Discharged","Under Treatment")</f>
        <v>Under Treatment</v>
      </c>
      <c r="R1376" s="3" t="str">
        <f>IF(Table1[[#This Row],[Test Results]]&gt;120,"High Risk","Normal")</f>
        <v>High Risk</v>
      </c>
      <c r="S1376" s="3" t="str">
        <f>IF(Table1[[#This Row],[Age]]&lt;=18,"0-18",IF(Table1[[#This Row],[Age]]&lt;=35,"19-35",IF(Table1[[#This Row],[Age]]&lt;=50,"36-50",IF(Table1[[#This Row],[Age]]&lt;=65,"51-65","65+"))))</f>
        <v>51-65</v>
      </c>
    </row>
    <row r="1377" spans="1:19" x14ac:dyDescent="0.3">
      <c r="A1377" s="3" t="s">
        <v>4162</v>
      </c>
      <c r="B1377" s="3">
        <v>51</v>
      </c>
      <c r="C1377" s="3" t="s">
        <v>35</v>
      </c>
      <c r="D1377" s="3" t="s">
        <v>122</v>
      </c>
      <c r="E1377" s="3" t="s">
        <v>54</v>
      </c>
      <c r="F1377" s="4">
        <v>44218</v>
      </c>
      <c r="G1377" s="3" t="s">
        <v>4163</v>
      </c>
      <c r="H1377" s="3" t="s">
        <v>4164</v>
      </c>
      <c r="I1377" s="3" t="s">
        <v>30</v>
      </c>
      <c r="J1377" s="5">
        <v>21208.015798785698</v>
      </c>
      <c r="K1377" s="3">
        <v>352</v>
      </c>
      <c r="L1377" s="3" t="s">
        <v>46</v>
      </c>
      <c r="M1377" s="4">
        <v>44244</v>
      </c>
      <c r="N1377" s="3" t="s">
        <v>40</v>
      </c>
      <c r="O1377" s="3" t="s">
        <v>47</v>
      </c>
      <c r="P1377" s="3" t="str">
        <f>IF(Table1[[#This Row],[Billing Amount]]&lt;5000,"Low",IF(Table1[[#This Row],[Billing Amount]]&lt;=15000,"Medium","High"))</f>
        <v>High</v>
      </c>
      <c r="Q1377" s="3" t="str">
        <f>IF(Table1[[#This Row],[Discharge Date]]="Yes","Discharged","Under Treatment")</f>
        <v>Under Treatment</v>
      </c>
      <c r="R1377" s="3" t="str">
        <f>IF(Table1[[#This Row],[Test Results]]&gt;120,"High Risk","Normal")</f>
        <v>High Risk</v>
      </c>
      <c r="S1377" s="3" t="str">
        <f>IF(Table1[[#This Row],[Age]]&lt;=18,"0-18",IF(Table1[[#This Row],[Age]]&lt;=35,"19-35",IF(Table1[[#This Row],[Age]]&lt;=50,"36-50",IF(Table1[[#This Row],[Age]]&lt;=65,"51-65","65+"))))</f>
        <v>51-65</v>
      </c>
    </row>
    <row r="1378" spans="1:19" x14ac:dyDescent="0.3">
      <c r="A1378" s="3" t="s">
        <v>4165</v>
      </c>
      <c r="B1378" s="3">
        <v>21</v>
      </c>
      <c r="C1378" s="3" t="s">
        <v>16</v>
      </c>
      <c r="D1378" s="3" t="s">
        <v>36</v>
      </c>
      <c r="E1378" s="3" t="s">
        <v>93</v>
      </c>
      <c r="F1378" s="4">
        <v>43868</v>
      </c>
      <c r="G1378" s="3" t="s">
        <v>4166</v>
      </c>
      <c r="H1378" s="3" t="s">
        <v>4167</v>
      </c>
      <c r="I1378" s="3" t="s">
        <v>65</v>
      </c>
      <c r="J1378" s="5">
        <v>44455.981189821498</v>
      </c>
      <c r="K1378" s="3">
        <v>120</v>
      </c>
      <c r="L1378" s="3" t="s">
        <v>31</v>
      </c>
      <c r="M1378" s="4">
        <v>43870</v>
      </c>
      <c r="N1378" s="3" t="s">
        <v>52</v>
      </c>
      <c r="O1378" s="3" t="s">
        <v>33</v>
      </c>
      <c r="P1378" s="3" t="str">
        <f>IF(Table1[[#This Row],[Billing Amount]]&lt;5000,"Low",IF(Table1[[#This Row],[Billing Amount]]&lt;=15000,"Medium","High"))</f>
        <v>High</v>
      </c>
      <c r="Q1378" s="3" t="str">
        <f>IF(Table1[[#This Row],[Discharge Date]]="Yes","Discharged","Under Treatment")</f>
        <v>Under Treatment</v>
      </c>
      <c r="R1378" s="3" t="str">
        <f>IF(Table1[[#This Row],[Test Results]]&gt;120,"High Risk","Normal")</f>
        <v>High Risk</v>
      </c>
      <c r="S1378" s="3" t="str">
        <f>IF(Table1[[#This Row],[Age]]&lt;=18,"0-18",IF(Table1[[#This Row],[Age]]&lt;=35,"19-35",IF(Table1[[#This Row],[Age]]&lt;=50,"36-50",IF(Table1[[#This Row],[Age]]&lt;=65,"51-65","65+"))))</f>
        <v>19-35</v>
      </c>
    </row>
    <row r="1379" spans="1:19" x14ac:dyDescent="0.3">
      <c r="A1379" s="3" t="s">
        <v>4168</v>
      </c>
      <c r="B1379" s="3">
        <v>83</v>
      </c>
      <c r="C1379" s="3" t="s">
        <v>35</v>
      </c>
      <c r="D1379" s="3" t="s">
        <v>59</v>
      </c>
      <c r="E1379" s="3" t="s">
        <v>76</v>
      </c>
      <c r="F1379" s="4">
        <v>44341</v>
      </c>
      <c r="G1379" s="3" t="s">
        <v>4169</v>
      </c>
      <c r="H1379" s="3" t="s">
        <v>4170</v>
      </c>
      <c r="I1379" s="3" t="s">
        <v>21</v>
      </c>
      <c r="J1379" s="5">
        <v>26435.256793702501</v>
      </c>
      <c r="K1379" s="3">
        <v>131</v>
      </c>
      <c r="L1379" s="3" t="s">
        <v>22</v>
      </c>
      <c r="M1379" s="4">
        <v>44370</v>
      </c>
      <c r="N1379" s="3" t="s">
        <v>52</v>
      </c>
      <c r="O1379" s="3" t="s">
        <v>33</v>
      </c>
      <c r="P1379" s="3" t="str">
        <f>IF(Table1[[#This Row],[Billing Amount]]&lt;5000,"Low",IF(Table1[[#This Row],[Billing Amount]]&lt;=15000,"Medium","High"))</f>
        <v>High</v>
      </c>
      <c r="Q1379" s="3" t="str">
        <f>IF(Table1[[#This Row],[Discharge Date]]="Yes","Discharged","Under Treatment")</f>
        <v>Under Treatment</v>
      </c>
      <c r="R1379" s="3" t="str">
        <f>IF(Table1[[#This Row],[Test Results]]&gt;120,"High Risk","Normal")</f>
        <v>High Risk</v>
      </c>
      <c r="S1379" s="3" t="str">
        <f>IF(Table1[[#This Row],[Age]]&lt;=18,"0-18",IF(Table1[[#This Row],[Age]]&lt;=35,"19-35",IF(Table1[[#This Row],[Age]]&lt;=50,"36-50",IF(Table1[[#This Row],[Age]]&lt;=65,"51-65","65+"))))</f>
        <v>65+</v>
      </c>
    </row>
    <row r="1380" spans="1:19" x14ac:dyDescent="0.3">
      <c r="A1380" s="3" t="s">
        <v>4171</v>
      </c>
      <c r="B1380" s="3">
        <v>57</v>
      </c>
      <c r="C1380" s="3" t="s">
        <v>35</v>
      </c>
      <c r="D1380" s="3" t="s">
        <v>49</v>
      </c>
      <c r="E1380" s="3" t="s">
        <v>27</v>
      </c>
      <c r="F1380" s="4">
        <v>44735</v>
      </c>
      <c r="G1380" s="3" t="s">
        <v>4172</v>
      </c>
      <c r="H1380" s="3" t="s">
        <v>4173</v>
      </c>
      <c r="I1380" s="3" t="s">
        <v>57</v>
      </c>
      <c r="J1380" s="5">
        <v>27292.275487086099</v>
      </c>
      <c r="K1380" s="3">
        <v>140</v>
      </c>
      <c r="L1380" s="3" t="s">
        <v>22</v>
      </c>
      <c r="M1380" s="4">
        <v>44750</v>
      </c>
      <c r="N1380" s="3" t="s">
        <v>79</v>
      </c>
      <c r="O1380" s="3" t="s">
        <v>24</v>
      </c>
      <c r="P1380" s="3" t="str">
        <f>IF(Table1[[#This Row],[Billing Amount]]&lt;5000,"Low",IF(Table1[[#This Row],[Billing Amount]]&lt;=15000,"Medium","High"))</f>
        <v>High</v>
      </c>
      <c r="Q1380" s="3" t="str">
        <f>IF(Table1[[#This Row],[Discharge Date]]="Yes","Discharged","Under Treatment")</f>
        <v>Under Treatment</v>
      </c>
      <c r="R1380" s="3" t="str">
        <f>IF(Table1[[#This Row],[Test Results]]&gt;120,"High Risk","Normal")</f>
        <v>High Risk</v>
      </c>
      <c r="S1380" s="3" t="str">
        <f>IF(Table1[[#This Row],[Age]]&lt;=18,"0-18",IF(Table1[[#This Row],[Age]]&lt;=35,"19-35",IF(Table1[[#This Row],[Age]]&lt;=50,"36-50",IF(Table1[[#This Row],[Age]]&lt;=65,"51-65","65+"))))</f>
        <v>51-65</v>
      </c>
    </row>
    <row r="1381" spans="1:19" x14ac:dyDescent="0.3">
      <c r="A1381" s="3" t="s">
        <v>4174</v>
      </c>
      <c r="B1381" s="3">
        <v>31</v>
      </c>
      <c r="C1381" s="3" t="s">
        <v>35</v>
      </c>
      <c r="D1381" s="3" t="s">
        <v>103</v>
      </c>
      <c r="E1381" s="3" t="s">
        <v>54</v>
      </c>
      <c r="F1381" s="4">
        <v>44459</v>
      </c>
      <c r="G1381" s="3" t="s">
        <v>4175</v>
      </c>
      <c r="H1381" s="3" t="s">
        <v>4176</v>
      </c>
      <c r="I1381" s="3" t="s">
        <v>21</v>
      </c>
      <c r="J1381" s="5">
        <v>30108.9412022621</v>
      </c>
      <c r="K1381" s="3">
        <v>158</v>
      </c>
      <c r="L1381" s="3" t="s">
        <v>22</v>
      </c>
      <c r="M1381" s="4">
        <v>44480</v>
      </c>
      <c r="N1381" s="3" t="s">
        <v>79</v>
      </c>
      <c r="O1381" s="3" t="s">
        <v>24</v>
      </c>
      <c r="P1381" s="3" t="str">
        <f>IF(Table1[[#This Row],[Billing Amount]]&lt;5000,"Low",IF(Table1[[#This Row],[Billing Amount]]&lt;=15000,"Medium","High"))</f>
        <v>High</v>
      </c>
      <c r="Q1381" s="3" t="str">
        <f>IF(Table1[[#This Row],[Discharge Date]]="Yes","Discharged","Under Treatment")</f>
        <v>Under Treatment</v>
      </c>
      <c r="R1381" s="3" t="str">
        <f>IF(Table1[[#This Row],[Test Results]]&gt;120,"High Risk","Normal")</f>
        <v>High Risk</v>
      </c>
      <c r="S1381" s="3" t="str">
        <f>IF(Table1[[#This Row],[Age]]&lt;=18,"0-18",IF(Table1[[#This Row],[Age]]&lt;=35,"19-35",IF(Table1[[#This Row],[Age]]&lt;=50,"36-50",IF(Table1[[#This Row],[Age]]&lt;=65,"51-65","65+"))))</f>
        <v>19-35</v>
      </c>
    </row>
    <row r="1382" spans="1:19" x14ac:dyDescent="0.3">
      <c r="A1382" s="3" t="s">
        <v>4177</v>
      </c>
      <c r="B1382" s="3">
        <v>68</v>
      </c>
      <c r="C1382" s="3" t="s">
        <v>16</v>
      </c>
      <c r="D1382" s="3" t="s">
        <v>59</v>
      </c>
      <c r="E1382" s="3" t="s">
        <v>18</v>
      </c>
      <c r="F1382" s="4">
        <v>45041</v>
      </c>
      <c r="G1382" s="3" t="s">
        <v>4178</v>
      </c>
      <c r="H1382" s="3" t="s">
        <v>4179</v>
      </c>
      <c r="I1382" s="3" t="s">
        <v>39</v>
      </c>
      <c r="J1382" s="5">
        <v>9540.6805001706707</v>
      </c>
      <c r="K1382" s="3">
        <v>222</v>
      </c>
      <c r="L1382" s="3" t="s">
        <v>31</v>
      </c>
      <c r="M1382" s="4">
        <v>45068</v>
      </c>
      <c r="N1382" s="3" t="s">
        <v>79</v>
      </c>
      <c r="O1382" s="3" t="s">
        <v>33</v>
      </c>
      <c r="P1382" s="3" t="str">
        <f>IF(Table1[[#This Row],[Billing Amount]]&lt;5000,"Low",IF(Table1[[#This Row],[Billing Amount]]&lt;=15000,"Medium","High"))</f>
        <v>Medium</v>
      </c>
      <c r="Q1382" s="3" t="str">
        <f>IF(Table1[[#This Row],[Discharge Date]]="Yes","Discharged","Under Treatment")</f>
        <v>Under Treatment</v>
      </c>
      <c r="R1382" s="3" t="str">
        <f>IF(Table1[[#This Row],[Test Results]]&gt;120,"High Risk","Normal")</f>
        <v>High Risk</v>
      </c>
      <c r="S1382" s="3" t="str">
        <f>IF(Table1[[#This Row],[Age]]&lt;=18,"0-18",IF(Table1[[#This Row],[Age]]&lt;=35,"19-35",IF(Table1[[#This Row],[Age]]&lt;=50,"36-50",IF(Table1[[#This Row],[Age]]&lt;=65,"51-65","65+"))))</f>
        <v>65+</v>
      </c>
    </row>
    <row r="1383" spans="1:19" x14ac:dyDescent="0.3">
      <c r="A1383" s="3" t="s">
        <v>4180</v>
      </c>
      <c r="B1383" s="3">
        <v>49</v>
      </c>
      <c r="C1383" s="3" t="s">
        <v>35</v>
      </c>
      <c r="D1383" s="3" t="s">
        <v>103</v>
      </c>
      <c r="E1383" s="3" t="s">
        <v>43</v>
      </c>
      <c r="F1383" s="4">
        <v>43793</v>
      </c>
      <c r="G1383" s="3" t="s">
        <v>4181</v>
      </c>
      <c r="H1383" s="3" t="s">
        <v>4182</v>
      </c>
      <c r="I1383" s="3" t="s">
        <v>30</v>
      </c>
      <c r="J1383" s="5">
        <v>40130.261445374599</v>
      </c>
      <c r="K1383" s="3">
        <v>447</v>
      </c>
      <c r="L1383" s="3" t="s">
        <v>31</v>
      </c>
      <c r="M1383" s="4">
        <v>43817</v>
      </c>
      <c r="N1383" s="3" t="s">
        <v>79</v>
      </c>
      <c r="O1383" s="3" t="s">
        <v>47</v>
      </c>
      <c r="P1383" s="3" t="str">
        <f>IF(Table1[[#This Row],[Billing Amount]]&lt;5000,"Low",IF(Table1[[#This Row],[Billing Amount]]&lt;=15000,"Medium","High"))</f>
        <v>High</v>
      </c>
      <c r="Q1383" s="3" t="str">
        <f>IF(Table1[[#This Row],[Discharge Date]]="Yes","Discharged","Under Treatment")</f>
        <v>Under Treatment</v>
      </c>
      <c r="R1383" s="3" t="str">
        <f>IF(Table1[[#This Row],[Test Results]]&gt;120,"High Risk","Normal")</f>
        <v>High Risk</v>
      </c>
      <c r="S1383" s="3" t="str">
        <f>IF(Table1[[#This Row],[Age]]&lt;=18,"0-18",IF(Table1[[#This Row],[Age]]&lt;=35,"19-35",IF(Table1[[#This Row],[Age]]&lt;=50,"36-50",IF(Table1[[#This Row],[Age]]&lt;=65,"51-65","65+"))))</f>
        <v>36-50</v>
      </c>
    </row>
    <row r="1384" spans="1:19" x14ac:dyDescent="0.3">
      <c r="A1384" s="3" t="s">
        <v>4183</v>
      </c>
      <c r="B1384" s="3">
        <v>84</v>
      </c>
      <c r="C1384" s="3" t="s">
        <v>16</v>
      </c>
      <c r="D1384" s="3" t="s">
        <v>42</v>
      </c>
      <c r="E1384" s="3" t="s">
        <v>18</v>
      </c>
      <c r="F1384" s="4">
        <v>44298</v>
      </c>
      <c r="G1384" s="3" t="s">
        <v>4184</v>
      </c>
      <c r="H1384" s="3" t="s">
        <v>4185</v>
      </c>
      <c r="I1384" s="3" t="s">
        <v>30</v>
      </c>
      <c r="J1384" s="5">
        <v>36198.320489842001</v>
      </c>
      <c r="K1384" s="3">
        <v>406</v>
      </c>
      <c r="L1384" s="3" t="s">
        <v>22</v>
      </c>
      <c r="M1384" s="4">
        <v>44308</v>
      </c>
      <c r="N1384" s="3" t="s">
        <v>52</v>
      </c>
      <c r="O1384" s="3" t="s">
        <v>47</v>
      </c>
      <c r="P1384" s="3" t="str">
        <f>IF(Table1[[#This Row],[Billing Amount]]&lt;5000,"Low",IF(Table1[[#This Row],[Billing Amount]]&lt;=15000,"Medium","High"))</f>
        <v>High</v>
      </c>
      <c r="Q1384" s="3" t="str">
        <f>IF(Table1[[#This Row],[Discharge Date]]="Yes","Discharged","Under Treatment")</f>
        <v>Under Treatment</v>
      </c>
      <c r="R1384" s="3" t="str">
        <f>IF(Table1[[#This Row],[Test Results]]&gt;120,"High Risk","Normal")</f>
        <v>High Risk</v>
      </c>
      <c r="S1384" s="3" t="str">
        <f>IF(Table1[[#This Row],[Age]]&lt;=18,"0-18",IF(Table1[[#This Row],[Age]]&lt;=35,"19-35",IF(Table1[[#This Row],[Age]]&lt;=50,"36-50",IF(Table1[[#This Row],[Age]]&lt;=65,"51-65","65+"))))</f>
        <v>65+</v>
      </c>
    </row>
    <row r="1385" spans="1:19" x14ac:dyDescent="0.3">
      <c r="A1385" s="3" t="s">
        <v>4186</v>
      </c>
      <c r="B1385" s="3">
        <v>69</v>
      </c>
      <c r="C1385" s="3" t="s">
        <v>16</v>
      </c>
      <c r="D1385" s="3" t="s">
        <v>36</v>
      </c>
      <c r="E1385" s="3" t="s">
        <v>54</v>
      </c>
      <c r="F1385" s="4">
        <v>44152</v>
      </c>
      <c r="G1385" s="3" t="s">
        <v>4187</v>
      </c>
      <c r="H1385" s="3" t="s">
        <v>4188</v>
      </c>
      <c r="I1385" s="3" t="s">
        <v>65</v>
      </c>
      <c r="J1385" s="5">
        <v>46067.274143618</v>
      </c>
      <c r="K1385" s="3">
        <v>297</v>
      </c>
      <c r="L1385" s="3" t="s">
        <v>31</v>
      </c>
      <c r="M1385" s="4">
        <v>44171</v>
      </c>
      <c r="N1385" s="3" t="s">
        <v>23</v>
      </c>
      <c r="O1385" s="3" t="s">
        <v>24</v>
      </c>
      <c r="P1385" s="3" t="str">
        <f>IF(Table1[[#This Row],[Billing Amount]]&lt;5000,"Low",IF(Table1[[#This Row],[Billing Amount]]&lt;=15000,"Medium","High"))</f>
        <v>High</v>
      </c>
      <c r="Q1385" s="3" t="str">
        <f>IF(Table1[[#This Row],[Discharge Date]]="Yes","Discharged","Under Treatment")</f>
        <v>Under Treatment</v>
      </c>
      <c r="R1385" s="3" t="str">
        <f>IF(Table1[[#This Row],[Test Results]]&gt;120,"High Risk","Normal")</f>
        <v>High Risk</v>
      </c>
      <c r="S1385" s="3" t="str">
        <f>IF(Table1[[#This Row],[Age]]&lt;=18,"0-18",IF(Table1[[#This Row],[Age]]&lt;=35,"19-35",IF(Table1[[#This Row],[Age]]&lt;=50,"36-50",IF(Table1[[#This Row],[Age]]&lt;=65,"51-65","65+"))))</f>
        <v>65+</v>
      </c>
    </row>
    <row r="1386" spans="1:19" x14ac:dyDescent="0.3">
      <c r="A1386" s="3" t="s">
        <v>4189</v>
      </c>
      <c r="B1386" s="3">
        <v>68</v>
      </c>
      <c r="C1386" s="3" t="s">
        <v>35</v>
      </c>
      <c r="D1386" s="3" t="s">
        <v>17</v>
      </c>
      <c r="E1386" s="3" t="s">
        <v>18</v>
      </c>
      <c r="F1386" s="4">
        <v>44662</v>
      </c>
      <c r="G1386" s="3" t="s">
        <v>4190</v>
      </c>
      <c r="H1386" s="3" t="s">
        <v>4191</v>
      </c>
      <c r="I1386" s="3" t="s">
        <v>30</v>
      </c>
      <c r="J1386" s="5">
        <v>22442.442850759599</v>
      </c>
      <c r="K1386" s="3">
        <v>172</v>
      </c>
      <c r="L1386" s="3" t="s">
        <v>46</v>
      </c>
      <c r="M1386" s="4">
        <v>44686</v>
      </c>
      <c r="N1386" s="3" t="s">
        <v>32</v>
      </c>
      <c r="O1386" s="3" t="s">
        <v>24</v>
      </c>
      <c r="P1386" s="3" t="str">
        <f>IF(Table1[[#This Row],[Billing Amount]]&lt;5000,"Low",IF(Table1[[#This Row],[Billing Amount]]&lt;=15000,"Medium","High"))</f>
        <v>High</v>
      </c>
      <c r="Q1386" s="3" t="str">
        <f>IF(Table1[[#This Row],[Discharge Date]]="Yes","Discharged","Under Treatment")</f>
        <v>Under Treatment</v>
      </c>
      <c r="R1386" s="3" t="str">
        <f>IF(Table1[[#This Row],[Test Results]]&gt;120,"High Risk","Normal")</f>
        <v>High Risk</v>
      </c>
      <c r="S1386" s="3" t="str">
        <f>IF(Table1[[#This Row],[Age]]&lt;=18,"0-18",IF(Table1[[#This Row],[Age]]&lt;=35,"19-35",IF(Table1[[#This Row],[Age]]&lt;=50,"36-50",IF(Table1[[#This Row],[Age]]&lt;=65,"51-65","65+"))))</f>
        <v>65+</v>
      </c>
    </row>
    <row r="1387" spans="1:19" x14ac:dyDescent="0.3">
      <c r="A1387" s="3" t="s">
        <v>4192</v>
      </c>
      <c r="B1387" s="3">
        <v>72</v>
      </c>
      <c r="C1387" s="3" t="s">
        <v>16</v>
      </c>
      <c r="D1387" s="3" t="s">
        <v>59</v>
      </c>
      <c r="E1387" s="3" t="s">
        <v>27</v>
      </c>
      <c r="F1387" s="4">
        <v>44918</v>
      </c>
      <c r="G1387" s="3" t="s">
        <v>4193</v>
      </c>
      <c r="H1387" s="3" t="s">
        <v>4194</v>
      </c>
      <c r="I1387" s="3" t="s">
        <v>57</v>
      </c>
      <c r="J1387" s="5">
        <v>32679.282472369599</v>
      </c>
      <c r="K1387" s="3">
        <v>382</v>
      </c>
      <c r="L1387" s="3" t="s">
        <v>46</v>
      </c>
      <c r="M1387" s="4">
        <v>44936</v>
      </c>
      <c r="N1387" s="3" t="s">
        <v>40</v>
      </c>
      <c r="O1387" s="3" t="s">
        <v>24</v>
      </c>
      <c r="P1387" s="3" t="str">
        <f>IF(Table1[[#This Row],[Billing Amount]]&lt;5000,"Low",IF(Table1[[#This Row],[Billing Amount]]&lt;=15000,"Medium","High"))</f>
        <v>High</v>
      </c>
      <c r="Q1387" s="3" t="str">
        <f>IF(Table1[[#This Row],[Discharge Date]]="Yes","Discharged","Under Treatment")</f>
        <v>Under Treatment</v>
      </c>
      <c r="R1387" s="3" t="str">
        <f>IF(Table1[[#This Row],[Test Results]]&gt;120,"High Risk","Normal")</f>
        <v>High Risk</v>
      </c>
      <c r="S1387" s="3" t="str">
        <f>IF(Table1[[#This Row],[Age]]&lt;=18,"0-18",IF(Table1[[#This Row],[Age]]&lt;=35,"19-35",IF(Table1[[#This Row],[Age]]&lt;=50,"36-50",IF(Table1[[#This Row],[Age]]&lt;=65,"51-65","65+"))))</f>
        <v>65+</v>
      </c>
    </row>
    <row r="1388" spans="1:19" x14ac:dyDescent="0.3">
      <c r="A1388" s="3" t="s">
        <v>4195</v>
      </c>
      <c r="B1388" s="3">
        <v>36</v>
      </c>
      <c r="C1388" s="3" t="s">
        <v>16</v>
      </c>
      <c r="D1388" s="3" t="s">
        <v>49</v>
      </c>
      <c r="E1388" s="3" t="s">
        <v>54</v>
      </c>
      <c r="F1388" s="4">
        <v>44163</v>
      </c>
      <c r="G1388" s="3" t="s">
        <v>4196</v>
      </c>
      <c r="H1388" s="3" t="s">
        <v>4197</v>
      </c>
      <c r="I1388" s="3" t="s">
        <v>65</v>
      </c>
      <c r="J1388" s="5">
        <v>38630.956589326401</v>
      </c>
      <c r="K1388" s="3">
        <v>173</v>
      </c>
      <c r="L1388" s="3" t="s">
        <v>22</v>
      </c>
      <c r="M1388" s="4">
        <v>44171</v>
      </c>
      <c r="N1388" s="3" t="s">
        <v>52</v>
      </c>
      <c r="O1388" s="3" t="s">
        <v>47</v>
      </c>
      <c r="P1388" s="3" t="str">
        <f>IF(Table1[[#This Row],[Billing Amount]]&lt;5000,"Low",IF(Table1[[#This Row],[Billing Amount]]&lt;=15000,"Medium","High"))</f>
        <v>High</v>
      </c>
      <c r="Q1388" s="3" t="str">
        <f>IF(Table1[[#This Row],[Discharge Date]]="Yes","Discharged","Under Treatment")</f>
        <v>Under Treatment</v>
      </c>
      <c r="R1388" s="3" t="str">
        <f>IF(Table1[[#This Row],[Test Results]]&gt;120,"High Risk","Normal")</f>
        <v>High Risk</v>
      </c>
      <c r="S1388" s="3" t="str">
        <f>IF(Table1[[#This Row],[Age]]&lt;=18,"0-18",IF(Table1[[#This Row],[Age]]&lt;=35,"19-35",IF(Table1[[#This Row],[Age]]&lt;=50,"36-50",IF(Table1[[#This Row],[Age]]&lt;=65,"51-65","65+"))))</f>
        <v>36-50</v>
      </c>
    </row>
    <row r="1389" spans="1:19" x14ac:dyDescent="0.3">
      <c r="A1389" s="3" t="s">
        <v>4198</v>
      </c>
      <c r="B1389" s="3">
        <v>78</v>
      </c>
      <c r="C1389" s="3" t="s">
        <v>35</v>
      </c>
      <c r="D1389" s="3" t="s">
        <v>122</v>
      </c>
      <c r="E1389" s="3" t="s">
        <v>27</v>
      </c>
      <c r="F1389" s="4">
        <v>44293</v>
      </c>
      <c r="G1389" s="3" t="s">
        <v>4199</v>
      </c>
      <c r="H1389" s="3" t="s">
        <v>4200</v>
      </c>
      <c r="I1389" s="3" t="s">
        <v>39</v>
      </c>
      <c r="J1389" s="5">
        <v>19336.594677598001</v>
      </c>
      <c r="K1389" s="3">
        <v>231</v>
      </c>
      <c r="L1389" s="3" t="s">
        <v>31</v>
      </c>
      <c r="M1389" s="4">
        <v>44306</v>
      </c>
      <c r="N1389" s="3" t="s">
        <v>32</v>
      </c>
      <c r="O1389" s="3" t="s">
        <v>47</v>
      </c>
      <c r="P1389" s="3" t="str">
        <f>IF(Table1[[#This Row],[Billing Amount]]&lt;5000,"Low",IF(Table1[[#This Row],[Billing Amount]]&lt;=15000,"Medium","High"))</f>
        <v>High</v>
      </c>
      <c r="Q1389" s="3" t="str">
        <f>IF(Table1[[#This Row],[Discharge Date]]="Yes","Discharged","Under Treatment")</f>
        <v>Under Treatment</v>
      </c>
      <c r="R1389" s="3" t="str">
        <f>IF(Table1[[#This Row],[Test Results]]&gt;120,"High Risk","Normal")</f>
        <v>High Risk</v>
      </c>
      <c r="S1389" s="3" t="str">
        <f>IF(Table1[[#This Row],[Age]]&lt;=18,"0-18",IF(Table1[[#This Row],[Age]]&lt;=35,"19-35",IF(Table1[[#This Row],[Age]]&lt;=50,"36-50",IF(Table1[[#This Row],[Age]]&lt;=65,"51-65","65+"))))</f>
        <v>65+</v>
      </c>
    </row>
    <row r="1390" spans="1:19" x14ac:dyDescent="0.3">
      <c r="A1390" s="3" t="s">
        <v>4201</v>
      </c>
      <c r="B1390" s="3">
        <v>62</v>
      </c>
      <c r="C1390" s="3" t="s">
        <v>16</v>
      </c>
      <c r="D1390" s="3" t="s">
        <v>42</v>
      </c>
      <c r="E1390" s="3" t="s">
        <v>43</v>
      </c>
      <c r="F1390" s="4">
        <v>45326</v>
      </c>
      <c r="G1390" s="3" t="s">
        <v>4202</v>
      </c>
      <c r="H1390" s="3" t="s">
        <v>4203</v>
      </c>
      <c r="I1390" s="3" t="s">
        <v>21</v>
      </c>
      <c r="J1390" s="5">
        <v>23079.885703635198</v>
      </c>
      <c r="K1390" s="3">
        <v>164</v>
      </c>
      <c r="L1390" s="3" t="s">
        <v>46</v>
      </c>
      <c r="M1390" s="4">
        <v>45344</v>
      </c>
      <c r="N1390" s="3" t="s">
        <v>40</v>
      </c>
      <c r="O1390" s="3" t="s">
        <v>47</v>
      </c>
      <c r="P1390" s="3" t="str">
        <f>IF(Table1[[#This Row],[Billing Amount]]&lt;5000,"Low",IF(Table1[[#This Row],[Billing Amount]]&lt;=15000,"Medium","High"))</f>
        <v>High</v>
      </c>
      <c r="Q1390" s="3" t="str">
        <f>IF(Table1[[#This Row],[Discharge Date]]="Yes","Discharged","Under Treatment")</f>
        <v>Under Treatment</v>
      </c>
      <c r="R1390" s="3" t="str">
        <f>IF(Table1[[#This Row],[Test Results]]&gt;120,"High Risk","Normal")</f>
        <v>High Risk</v>
      </c>
      <c r="S1390" s="3" t="str">
        <f>IF(Table1[[#This Row],[Age]]&lt;=18,"0-18",IF(Table1[[#This Row],[Age]]&lt;=35,"19-35",IF(Table1[[#This Row],[Age]]&lt;=50,"36-50",IF(Table1[[#This Row],[Age]]&lt;=65,"51-65","65+"))))</f>
        <v>51-65</v>
      </c>
    </row>
    <row r="1391" spans="1:19" x14ac:dyDescent="0.3">
      <c r="A1391" s="3" t="s">
        <v>4204</v>
      </c>
      <c r="B1391" s="3">
        <v>39</v>
      </c>
      <c r="C1391" s="3" t="s">
        <v>16</v>
      </c>
      <c r="D1391" s="3" t="s">
        <v>17</v>
      </c>
      <c r="E1391" s="3" t="s">
        <v>18</v>
      </c>
      <c r="F1391" s="4">
        <v>44645</v>
      </c>
      <c r="G1391" s="3" t="s">
        <v>4205</v>
      </c>
      <c r="H1391" s="3" t="s">
        <v>4206</v>
      </c>
      <c r="I1391" s="3" t="s">
        <v>65</v>
      </c>
      <c r="J1391" s="5">
        <v>8052.8298733749398</v>
      </c>
      <c r="K1391" s="3">
        <v>233</v>
      </c>
      <c r="L1391" s="3" t="s">
        <v>31</v>
      </c>
      <c r="M1391" s="4">
        <v>44666</v>
      </c>
      <c r="N1391" s="3" t="s">
        <v>52</v>
      </c>
      <c r="O1391" s="3" t="s">
        <v>33</v>
      </c>
      <c r="P1391" s="3" t="str">
        <f>IF(Table1[[#This Row],[Billing Amount]]&lt;5000,"Low",IF(Table1[[#This Row],[Billing Amount]]&lt;=15000,"Medium","High"))</f>
        <v>Medium</v>
      </c>
      <c r="Q1391" s="3" t="str">
        <f>IF(Table1[[#This Row],[Discharge Date]]="Yes","Discharged","Under Treatment")</f>
        <v>Under Treatment</v>
      </c>
      <c r="R1391" s="3" t="str">
        <f>IF(Table1[[#This Row],[Test Results]]&gt;120,"High Risk","Normal")</f>
        <v>High Risk</v>
      </c>
      <c r="S1391" s="3" t="str">
        <f>IF(Table1[[#This Row],[Age]]&lt;=18,"0-18",IF(Table1[[#This Row],[Age]]&lt;=35,"19-35",IF(Table1[[#This Row],[Age]]&lt;=50,"36-50",IF(Table1[[#This Row],[Age]]&lt;=65,"51-65","65+"))))</f>
        <v>36-50</v>
      </c>
    </row>
    <row r="1392" spans="1:19" x14ac:dyDescent="0.3">
      <c r="A1392" s="3" t="s">
        <v>4207</v>
      </c>
      <c r="B1392" s="3">
        <v>79</v>
      </c>
      <c r="C1392" s="3" t="s">
        <v>16</v>
      </c>
      <c r="D1392" s="3" t="s">
        <v>42</v>
      </c>
      <c r="E1392" s="3" t="s">
        <v>18</v>
      </c>
      <c r="F1392" s="4">
        <v>44177</v>
      </c>
      <c r="G1392" s="3" t="s">
        <v>4208</v>
      </c>
      <c r="H1392" s="3" t="s">
        <v>4209</v>
      </c>
      <c r="I1392" s="3" t="s">
        <v>30</v>
      </c>
      <c r="J1392" s="5">
        <v>40396.592390298603</v>
      </c>
      <c r="K1392" s="3">
        <v>132</v>
      </c>
      <c r="L1392" s="3" t="s">
        <v>46</v>
      </c>
      <c r="M1392" s="4">
        <v>44200</v>
      </c>
      <c r="N1392" s="3" t="s">
        <v>79</v>
      </c>
      <c r="O1392" s="3" t="s">
        <v>47</v>
      </c>
      <c r="P1392" s="3" t="str">
        <f>IF(Table1[[#This Row],[Billing Amount]]&lt;5000,"Low",IF(Table1[[#This Row],[Billing Amount]]&lt;=15000,"Medium","High"))</f>
        <v>High</v>
      </c>
      <c r="Q1392" s="3" t="str">
        <f>IF(Table1[[#This Row],[Discharge Date]]="Yes","Discharged","Under Treatment")</f>
        <v>Under Treatment</v>
      </c>
      <c r="R1392" s="3" t="str">
        <f>IF(Table1[[#This Row],[Test Results]]&gt;120,"High Risk","Normal")</f>
        <v>High Risk</v>
      </c>
      <c r="S1392" s="3" t="str">
        <f>IF(Table1[[#This Row],[Age]]&lt;=18,"0-18",IF(Table1[[#This Row],[Age]]&lt;=35,"19-35",IF(Table1[[#This Row],[Age]]&lt;=50,"36-50",IF(Table1[[#This Row],[Age]]&lt;=65,"51-65","65+"))))</f>
        <v>65+</v>
      </c>
    </row>
    <row r="1393" spans="1:19" x14ac:dyDescent="0.3">
      <c r="A1393" s="3" t="s">
        <v>4210</v>
      </c>
      <c r="B1393" s="3">
        <v>62</v>
      </c>
      <c r="C1393" s="3" t="s">
        <v>16</v>
      </c>
      <c r="D1393" s="3" t="s">
        <v>59</v>
      </c>
      <c r="E1393" s="3" t="s">
        <v>93</v>
      </c>
      <c r="F1393" s="4">
        <v>43675</v>
      </c>
      <c r="G1393" s="3" t="s">
        <v>4211</v>
      </c>
      <c r="H1393" s="3" t="s">
        <v>4212</v>
      </c>
      <c r="I1393" s="3" t="s">
        <v>39</v>
      </c>
      <c r="J1393" s="5">
        <v>9938.8192674080801</v>
      </c>
      <c r="K1393" s="3">
        <v>138</v>
      </c>
      <c r="L1393" s="3" t="s">
        <v>31</v>
      </c>
      <c r="M1393" s="4">
        <v>43696</v>
      </c>
      <c r="N1393" s="3" t="s">
        <v>32</v>
      </c>
      <c r="O1393" s="3" t="s">
        <v>47</v>
      </c>
      <c r="P1393" s="3" t="str">
        <f>IF(Table1[[#This Row],[Billing Amount]]&lt;5000,"Low",IF(Table1[[#This Row],[Billing Amount]]&lt;=15000,"Medium","High"))</f>
        <v>Medium</v>
      </c>
      <c r="Q1393" s="3" t="str">
        <f>IF(Table1[[#This Row],[Discharge Date]]="Yes","Discharged","Under Treatment")</f>
        <v>Under Treatment</v>
      </c>
      <c r="R1393" s="3" t="str">
        <f>IF(Table1[[#This Row],[Test Results]]&gt;120,"High Risk","Normal")</f>
        <v>High Risk</v>
      </c>
      <c r="S1393" s="3" t="str">
        <f>IF(Table1[[#This Row],[Age]]&lt;=18,"0-18",IF(Table1[[#This Row],[Age]]&lt;=35,"19-35",IF(Table1[[#This Row],[Age]]&lt;=50,"36-50",IF(Table1[[#This Row],[Age]]&lt;=65,"51-65","65+"))))</f>
        <v>51-65</v>
      </c>
    </row>
    <row r="1394" spans="1:19" x14ac:dyDescent="0.3">
      <c r="A1394" s="3" t="s">
        <v>4213</v>
      </c>
      <c r="B1394" s="3">
        <v>30</v>
      </c>
      <c r="C1394" s="3" t="s">
        <v>16</v>
      </c>
      <c r="D1394" s="3" t="s">
        <v>36</v>
      </c>
      <c r="E1394" s="3" t="s">
        <v>76</v>
      </c>
      <c r="F1394" s="4">
        <v>44768</v>
      </c>
      <c r="G1394" s="3" t="s">
        <v>4214</v>
      </c>
      <c r="H1394" s="3" t="s">
        <v>4215</v>
      </c>
      <c r="I1394" s="3" t="s">
        <v>39</v>
      </c>
      <c r="J1394" s="5">
        <v>40606.792224705699</v>
      </c>
      <c r="K1394" s="3">
        <v>244</v>
      </c>
      <c r="L1394" s="3" t="s">
        <v>31</v>
      </c>
      <c r="M1394" s="4">
        <v>44770</v>
      </c>
      <c r="N1394" s="3" t="s">
        <v>40</v>
      </c>
      <c r="O1394" s="3" t="s">
        <v>47</v>
      </c>
      <c r="P1394" s="3" t="str">
        <f>IF(Table1[[#This Row],[Billing Amount]]&lt;5000,"Low",IF(Table1[[#This Row],[Billing Amount]]&lt;=15000,"Medium","High"))</f>
        <v>High</v>
      </c>
      <c r="Q1394" s="3" t="str">
        <f>IF(Table1[[#This Row],[Discharge Date]]="Yes","Discharged","Under Treatment")</f>
        <v>Under Treatment</v>
      </c>
      <c r="R1394" s="3" t="str">
        <f>IF(Table1[[#This Row],[Test Results]]&gt;120,"High Risk","Normal")</f>
        <v>High Risk</v>
      </c>
      <c r="S1394" s="3" t="str">
        <f>IF(Table1[[#This Row],[Age]]&lt;=18,"0-18",IF(Table1[[#This Row],[Age]]&lt;=35,"19-35",IF(Table1[[#This Row],[Age]]&lt;=50,"36-50",IF(Table1[[#This Row],[Age]]&lt;=65,"51-65","65+"))))</f>
        <v>19-35</v>
      </c>
    </row>
    <row r="1395" spans="1:19" x14ac:dyDescent="0.3">
      <c r="A1395" s="3" t="s">
        <v>4216</v>
      </c>
      <c r="B1395" s="3">
        <v>65</v>
      </c>
      <c r="C1395" s="3" t="s">
        <v>35</v>
      </c>
      <c r="D1395" s="3" t="s">
        <v>103</v>
      </c>
      <c r="E1395" s="3" t="s">
        <v>93</v>
      </c>
      <c r="F1395" s="4">
        <v>43749</v>
      </c>
      <c r="G1395" s="3" t="s">
        <v>4217</v>
      </c>
      <c r="H1395" s="3" t="s">
        <v>4218</v>
      </c>
      <c r="I1395" s="3" t="s">
        <v>21</v>
      </c>
      <c r="J1395" s="5">
        <v>34220.973554600001</v>
      </c>
      <c r="K1395" s="3">
        <v>394</v>
      </c>
      <c r="L1395" s="3" t="s">
        <v>46</v>
      </c>
      <c r="M1395" s="4">
        <v>43753</v>
      </c>
      <c r="N1395" s="3" t="s">
        <v>23</v>
      </c>
      <c r="O1395" s="3" t="s">
        <v>47</v>
      </c>
      <c r="P1395" s="3" t="str">
        <f>IF(Table1[[#This Row],[Billing Amount]]&lt;5000,"Low",IF(Table1[[#This Row],[Billing Amount]]&lt;=15000,"Medium","High"))</f>
        <v>High</v>
      </c>
      <c r="Q1395" s="3" t="str">
        <f>IF(Table1[[#This Row],[Discharge Date]]="Yes","Discharged","Under Treatment")</f>
        <v>Under Treatment</v>
      </c>
      <c r="R1395" s="3" t="str">
        <f>IF(Table1[[#This Row],[Test Results]]&gt;120,"High Risk","Normal")</f>
        <v>High Risk</v>
      </c>
      <c r="S1395" s="3" t="str">
        <f>IF(Table1[[#This Row],[Age]]&lt;=18,"0-18",IF(Table1[[#This Row],[Age]]&lt;=35,"19-35",IF(Table1[[#This Row],[Age]]&lt;=50,"36-50",IF(Table1[[#This Row],[Age]]&lt;=65,"51-65","65+"))))</f>
        <v>51-65</v>
      </c>
    </row>
    <row r="1396" spans="1:19" x14ac:dyDescent="0.3">
      <c r="A1396" s="3" t="s">
        <v>4219</v>
      </c>
      <c r="B1396" s="3">
        <v>73</v>
      </c>
      <c r="C1396" s="3" t="s">
        <v>16</v>
      </c>
      <c r="D1396" s="3" t="s">
        <v>36</v>
      </c>
      <c r="E1396" s="3" t="s">
        <v>76</v>
      </c>
      <c r="F1396" s="4">
        <v>43870</v>
      </c>
      <c r="G1396" s="3" t="s">
        <v>4220</v>
      </c>
      <c r="H1396" s="3" t="s">
        <v>4221</v>
      </c>
      <c r="I1396" s="3" t="s">
        <v>30</v>
      </c>
      <c r="J1396" s="5">
        <v>13445.561321008599</v>
      </c>
      <c r="K1396" s="3">
        <v>410</v>
      </c>
      <c r="L1396" s="3" t="s">
        <v>22</v>
      </c>
      <c r="M1396" s="4">
        <v>43877</v>
      </c>
      <c r="N1396" s="3" t="s">
        <v>32</v>
      </c>
      <c r="O1396" s="3" t="s">
        <v>47</v>
      </c>
      <c r="P1396" s="3" t="str">
        <f>IF(Table1[[#This Row],[Billing Amount]]&lt;5000,"Low",IF(Table1[[#This Row],[Billing Amount]]&lt;=15000,"Medium","High"))</f>
        <v>Medium</v>
      </c>
      <c r="Q1396" s="3" t="str">
        <f>IF(Table1[[#This Row],[Discharge Date]]="Yes","Discharged","Under Treatment")</f>
        <v>Under Treatment</v>
      </c>
      <c r="R1396" s="3" t="str">
        <f>IF(Table1[[#This Row],[Test Results]]&gt;120,"High Risk","Normal")</f>
        <v>High Risk</v>
      </c>
      <c r="S1396" s="3" t="str">
        <f>IF(Table1[[#This Row],[Age]]&lt;=18,"0-18",IF(Table1[[#This Row],[Age]]&lt;=35,"19-35",IF(Table1[[#This Row],[Age]]&lt;=50,"36-50",IF(Table1[[#This Row],[Age]]&lt;=65,"51-65","65+"))))</f>
        <v>65+</v>
      </c>
    </row>
    <row r="1397" spans="1:19" x14ac:dyDescent="0.3">
      <c r="A1397" s="3" t="s">
        <v>4222</v>
      </c>
      <c r="B1397" s="3">
        <v>75</v>
      </c>
      <c r="C1397" s="3" t="s">
        <v>35</v>
      </c>
      <c r="D1397" s="3" t="s">
        <v>42</v>
      </c>
      <c r="E1397" s="3" t="s">
        <v>18</v>
      </c>
      <c r="F1397" s="4">
        <v>44116</v>
      </c>
      <c r="G1397" s="3" t="s">
        <v>4223</v>
      </c>
      <c r="H1397" s="3" t="s">
        <v>4224</v>
      </c>
      <c r="I1397" s="3" t="s">
        <v>30</v>
      </c>
      <c r="J1397" s="5">
        <v>7556.5139964661303</v>
      </c>
      <c r="K1397" s="3">
        <v>174</v>
      </c>
      <c r="L1397" s="3" t="s">
        <v>31</v>
      </c>
      <c r="M1397" s="4">
        <v>44138</v>
      </c>
      <c r="N1397" s="3" t="s">
        <v>79</v>
      </c>
      <c r="O1397" s="3" t="s">
        <v>47</v>
      </c>
      <c r="P1397" s="3" t="str">
        <f>IF(Table1[[#This Row],[Billing Amount]]&lt;5000,"Low",IF(Table1[[#This Row],[Billing Amount]]&lt;=15000,"Medium","High"))</f>
        <v>Medium</v>
      </c>
      <c r="Q1397" s="3" t="str">
        <f>IF(Table1[[#This Row],[Discharge Date]]="Yes","Discharged","Under Treatment")</f>
        <v>Under Treatment</v>
      </c>
      <c r="R1397" s="3" t="str">
        <f>IF(Table1[[#This Row],[Test Results]]&gt;120,"High Risk","Normal")</f>
        <v>High Risk</v>
      </c>
      <c r="S1397" s="3" t="str">
        <f>IF(Table1[[#This Row],[Age]]&lt;=18,"0-18",IF(Table1[[#This Row],[Age]]&lt;=35,"19-35",IF(Table1[[#This Row],[Age]]&lt;=50,"36-50",IF(Table1[[#This Row],[Age]]&lt;=65,"51-65","65+"))))</f>
        <v>65+</v>
      </c>
    </row>
    <row r="1398" spans="1:19" x14ac:dyDescent="0.3">
      <c r="A1398" s="3" t="s">
        <v>4225</v>
      </c>
      <c r="B1398" s="3">
        <v>74</v>
      </c>
      <c r="C1398" s="3" t="s">
        <v>16</v>
      </c>
      <c r="D1398" s="3" t="s">
        <v>49</v>
      </c>
      <c r="E1398" s="3" t="s">
        <v>93</v>
      </c>
      <c r="F1398" s="4">
        <v>44563</v>
      </c>
      <c r="G1398" s="3" t="s">
        <v>4226</v>
      </c>
      <c r="H1398" s="3" t="s">
        <v>2934</v>
      </c>
      <c r="I1398" s="3" t="s">
        <v>65</v>
      </c>
      <c r="J1398" s="5">
        <v>14522.5503310038</v>
      </c>
      <c r="K1398" s="3">
        <v>384</v>
      </c>
      <c r="L1398" s="3" t="s">
        <v>22</v>
      </c>
      <c r="M1398" s="4">
        <v>44571</v>
      </c>
      <c r="N1398" s="3" t="s">
        <v>32</v>
      </c>
      <c r="O1398" s="3" t="s">
        <v>24</v>
      </c>
      <c r="P1398" s="3" t="str">
        <f>IF(Table1[[#This Row],[Billing Amount]]&lt;5000,"Low",IF(Table1[[#This Row],[Billing Amount]]&lt;=15000,"Medium","High"))</f>
        <v>Medium</v>
      </c>
      <c r="Q1398" s="3" t="str">
        <f>IF(Table1[[#This Row],[Discharge Date]]="Yes","Discharged","Under Treatment")</f>
        <v>Under Treatment</v>
      </c>
      <c r="R1398" s="3" t="str">
        <f>IF(Table1[[#This Row],[Test Results]]&gt;120,"High Risk","Normal")</f>
        <v>High Risk</v>
      </c>
      <c r="S1398" s="3" t="str">
        <f>IF(Table1[[#This Row],[Age]]&lt;=18,"0-18",IF(Table1[[#This Row],[Age]]&lt;=35,"19-35",IF(Table1[[#This Row],[Age]]&lt;=50,"36-50",IF(Table1[[#This Row],[Age]]&lt;=65,"51-65","65+"))))</f>
        <v>65+</v>
      </c>
    </row>
    <row r="1399" spans="1:19" x14ac:dyDescent="0.3">
      <c r="A1399" s="3" t="s">
        <v>4227</v>
      </c>
      <c r="B1399" s="3">
        <v>38</v>
      </c>
      <c r="C1399" s="3" t="s">
        <v>16</v>
      </c>
      <c r="D1399" s="3" t="s">
        <v>42</v>
      </c>
      <c r="E1399" s="3" t="s">
        <v>18</v>
      </c>
      <c r="F1399" s="4">
        <v>44658</v>
      </c>
      <c r="G1399" s="3" t="s">
        <v>4228</v>
      </c>
      <c r="H1399" s="3" t="s">
        <v>4229</v>
      </c>
      <c r="I1399" s="3" t="s">
        <v>57</v>
      </c>
      <c r="J1399" s="5">
        <v>33999.2663495995</v>
      </c>
      <c r="K1399" s="3">
        <v>104</v>
      </c>
      <c r="L1399" s="3" t="s">
        <v>31</v>
      </c>
      <c r="M1399" s="4">
        <v>44667</v>
      </c>
      <c r="N1399" s="3" t="s">
        <v>40</v>
      </c>
      <c r="O1399" s="3" t="s">
        <v>24</v>
      </c>
      <c r="P1399" s="3" t="str">
        <f>IF(Table1[[#This Row],[Billing Amount]]&lt;5000,"Low",IF(Table1[[#This Row],[Billing Amount]]&lt;=15000,"Medium","High"))</f>
        <v>High</v>
      </c>
      <c r="Q1399" s="3" t="str">
        <f>IF(Table1[[#This Row],[Discharge Date]]="Yes","Discharged","Under Treatment")</f>
        <v>Under Treatment</v>
      </c>
      <c r="R1399" s="3" t="str">
        <f>IF(Table1[[#This Row],[Test Results]]&gt;120,"High Risk","Normal")</f>
        <v>High Risk</v>
      </c>
      <c r="S1399" s="3" t="str">
        <f>IF(Table1[[#This Row],[Age]]&lt;=18,"0-18",IF(Table1[[#This Row],[Age]]&lt;=35,"19-35",IF(Table1[[#This Row],[Age]]&lt;=50,"36-50",IF(Table1[[#This Row],[Age]]&lt;=65,"51-65","65+"))))</f>
        <v>36-50</v>
      </c>
    </row>
    <row r="1400" spans="1:19" x14ac:dyDescent="0.3">
      <c r="A1400" s="3" t="s">
        <v>4230</v>
      </c>
      <c r="B1400" s="3">
        <v>82</v>
      </c>
      <c r="C1400" s="3" t="s">
        <v>16</v>
      </c>
      <c r="D1400" s="3" t="s">
        <v>49</v>
      </c>
      <c r="E1400" s="3" t="s">
        <v>27</v>
      </c>
      <c r="F1400" s="4">
        <v>43720</v>
      </c>
      <c r="G1400" s="3" t="s">
        <v>4231</v>
      </c>
      <c r="H1400" s="3" t="s">
        <v>4232</v>
      </c>
      <c r="I1400" s="3" t="s">
        <v>65</v>
      </c>
      <c r="J1400" s="5">
        <v>36980.8757258763</v>
      </c>
      <c r="K1400" s="3">
        <v>278</v>
      </c>
      <c r="L1400" s="3" t="s">
        <v>46</v>
      </c>
      <c r="M1400" s="4">
        <v>43748</v>
      </c>
      <c r="N1400" s="3" t="s">
        <v>32</v>
      </c>
      <c r="O1400" s="3" t="s">
        <v>24</v>
      </c>
      <c r="P1400" s="3" t="str">
        <f>IF(Table1[[#This Row],[Billing Amount]]&lt;5000,"Low",IF(Table1[[#This Row],[Billing Amount]]&lt;=15000,"Medium","High"))</f>
        <v>High</v>
      </c>
      <c r="Q1400" s="3" t="str">
        <f>IF(Table1[[#This Row],[Discharge Date]]="Yes","Discharged","Under Treatment")</f>
        <v>Under Treatment</v>
      </c>
      <c r="R1400" s="3" t="str">
        <f>IF(Table1[[#This Row],[Test Results]]&gt;120,"High Risk","Normal")</f>
        <v>High Risk</v>
      </c>
      <c r="S1400" s="3" t="str">
        <f>IF(Table1[[#This Row],[Age]]&lt;=18,"0-18",IF(Table1[[#This Row],[Age]]&lt;=35,"19-35",IF(Table1[[#This Row],[Age]]&lt;=50,"36-50",IF(Table1[[#This Row],[Age]]&lt;=65,"51-65","65+"))))</f>
        <v>65+</v>
      </c>
    </row>
    <row r="1401" spans="1:19" x14ac:dyDescent="0.3">
      <c r="A1401" s="3" t="s">
        <v>4234</v>
      </c>
      <c r="B1401" s="3">
        <v>23</v>
      </c>
      <c r="C1401" s="3" t="s">
        <v>16</v>
      </c>
      <c r="D1401" s="3" t="s">
        <v>49</v>
      </c>
      <c r="E1401" s="3" t="s">
        <v>43</v>
      </c>
      <c r="F1401" s="4">
        <v>44901</v>
      </c>
      <c r="G1401" s="3" t="s">
        <v>4235</v>
      </c>
      <c r="H1401" s="3" t="s">
        <v>4236</v>
      </c>
      <c r="I1401" s="3" t="s">
        <v>65</v>
      </c>
      <c r="J1401" s="5">
        <v>48558.883276052104</v>
      </c>
      <c r="K1401" s="3">
        <v>220</v>
      </c>
      <c r="L1401" s="3" t="s">
        <v>31</v>
      </c>
      <c r="M1401" s="4">
        <v>44903</v>
      </c>
      <c r="N1401" s="3" t="s">
        <v>32</v>
      </c>
      <c r="O1401" s="3" t="s">
        <v>33</v>
      </c>
      <c r="P1401" s="3" t="str">
        <f>IF(Table1[[#This Row],[Billing Amount]]&lt;5000,"Low",IF(Table1[[#This Row],[Billing Amount]]&lt;=15000,"Medium","High"))</f>
        <v>High</v>
      </c>
      <c r="Q1401" s="3" t="str">
        <f>IF(Table1[[#This Row],[Discharge Date]]="Yes","Discharged","Under Treatment")</f>
        <v>Under Treatment</v>
      </c>
      <c r="R1401" s="3" t="str">
        <f>IF(Table1[[#This Row],[Test Results]]&gt;120,"High Risk","Normal")</f>
        <v>High Risk</v>
      </c>
      <c r="S1401" s="3" t="str">
        <f>IF(Table1[[#This Row],[Age]]&lt;=18,"0-18",IF(Table1[[#This Row],[Age]]&lt;=35,"19-35",IF(Table1[[#This Row],[Age]]&lt;=50,"36-50",IF(Table1[[#This Row],[Age]]&lt;=65,"51-65","65+"))))</f>
        <v>19-35</v>
      </c>
    </row>
    <row r="1402" spans="1:19" x14ac:dyDescent="0.3">
      <c r="A1402" s="3" t="s">
        <v>4237</v>
      </c>
      <c r="B1402" s="3">
        <v>65</v>
      </c>
      <c r="C1402" s="3" t="s">
        <v>16</v>
      </c>
      <c r="D1402" s="3" t="s">
        <v>103</v>
      </c>
      <c r="E1402" s="3" t="s">
        <v>93</v>
      </c>
      <c r="F1402" s="4">
        <v>44225</v>
      </c>
      <c r="G1402" s="3" t="s">
        <v>4238</v>
      </c>
      <c r="H1402" s="3" t="s">
        <v>4239</v>
      </c>
      <c r="I1402" s="3" t="s">
        <v>21</v>
      </c>
      <c r="J1402" s="5">
        <v>33875.657873095901</v>
      </c>
      <c r="K1402" s="3">
        <v>425</v>
      </c>
      <c r="L1402" s="3" t="s">
        <v>22</v>
      </c>
      <c r="M1402" s="4">
        <v>44237</v>
      </c>
      <c r="N1402" s="3" t="s">
        <v>32</v>
      </c>
      <c r="O1402" s="3" t="s">
        <v>47</v>
      </c>
      <c r="P1402" s="3" t="str">
        <f>IF(Table1[[#This Row],[Billing Amount]]&lt;5000,"Low",IF(Table1[[#This Row],[Billing Amount]]&lt;=15000,"Medium","High"))</f>
        <v>High</v>
      </c>
      <c r="Q1402" s="3" t="str">
        <f>IF(Table1[[#This Row],[Discharge Date]]="Yes","Discharged","Under Treatment")</f>
        <v>Under Treatment</v>
      </c>
      <c r="R1402" s="3" t="str">
        <f>IF(Table1[[#This Row],[Test Results]]&gt;120,"High Risk","Normal")</f>
        <v>High Risk</v>
      </c>
      <c r="S1402" s="3" t="str">
        <f>IF(Table1[[#This Row],[Age]]&lt;=18,"0-18",IF(Table1[[#This Row],[Age]]&lt;=35,"19-35",IF(Table1[[#This Row],[Age]]&lt;=50,"36-50",IF(Table1[[#This Row],[Age]]&lt;=65,"51-65","65+"))))</f>
        <v>51-65</v>
      </c>
    </row>
    <row r="1403" spans="1:19" x14ac:dyDescent="0.3">
      <c r="A1403" s="3" t="s">
        <v>4240</v>
      </c>
      <c r="B1403" s="3">
        <v>40</v>
      </c>
      <c r="C1403" s="3" t="s">
        <v>35</v>
      </c>
      <c r="D1403" s="3" t="s">
        <v>36</v>
      </c>
      <c r="E1403" s="3" t="s">
        <v>27</v>
      </c>
      <c r="F1403" s="4">
        <v>44446</v>
      </c>
      <c r="G1403" s="3" t="s">
        <v>4241</v>
      </c>
      <c r="H1403" s="3" t="s">
        <v>4242</v>
      </c>
      <c r="I1403" s="3" t="s">
        <v>65</v>
      </c>
      <c r="J1403" s="5">
        <v>30134.496049836798</v>
      </c>
      <c r="K1403" s="3">
        <v>173</v>
      </c>
      <c r="L1403" s="3" t="s">
        <v>22</v>
      </c>
      <c r="M1403" s="4">
        <v>44470</v>
      </c>
      <c r="N1403" s="3" t="s">
        <v>23</v>
      </c>
      <c r="O1403" s="3" t="s">
        <v>47</v>
      </c>
      <c r="P1403" s="3" t="str">
        <f>IF(Table1[[#This Row],[Billing Amount]]&lt;5000,"Low",IF(Table1[[#This Row],[Billing Amount]]&lt;=15000,"Medium","High"))</f>
        <v>High</v>
      </c>
      <c r="Q1403" s="3" t="str">
        <f>IF(Table1[[#This Row],[Discharge Date]]="Yes","Discharged","Under Treatment")</f>
        <v>Under Treatment</v>
      </c>
      <c r="R1403" s="3" t="str">
        <f>IF(Table1[[#This Row],[Test Results]]&gt;120,"High Risk","Normal")</f>
        <v>High Risk</v>
      </c>
      <c r="S1403" s="3" t="str">
        <f>IF(Table1[[#This Row],[Age]]&lt;=18,"0-18",IF(Table1[[#This Row],[Age]]&lt;=35,"19-35",IF(Table1[[#This Row],[Age]]&lt;=50,"36-50",IF(Table1[[#This Row],[Age]]&lt;=65,"51-65","65+"))))</f>
        <v>36-50</v>
      </c>
    </row>
    <row r="1404" spans="1:19" x14ac:dyDescent="0.3">
      <c r="A1404" s="3" t="s">
        <v>4243</v>
      </c>
      <c r="B1404" s="3">
        <v>63</v>
      </c>
      <c r="C1404" s="3" t="s">
        <v>35</v>
      </c>
      <c r="D1404" s="3" t="s">
        <v>49</v>
      </c>
      <c r="E1404" s="3" t="s">
        <v>54</v>
      </c>
      <c r="F1404" s="4">
        <v>44149</v>
      </c>
      <c r="G1404" s="3" t="s">
        <v>4244</v>
      </c>
      <c r="H1404" s="3" t="s">
        <v>4245</v>
      </c>
      <c r="I1404" s="3" t="s">
        <v>57</v>
      </c>
      <c r="J1404" s="5">
        <v>2530.2396880156102</v>
      </c>
      <c r="K1404" s="3">
        <v>468</v>
      </c>
      <c r="L1404" s="3" t="s">
        <v>46</v>
      </c>
      <c r="M1404" s="4">
        <v>44156</v>
      </c>
      <c r="N1404" s="3" t="s">
        <v>32</v>
      </c>
      <c r="O1404" s="3" t="s">
        <v>33</v>
      </c>
      <c r="P1404" s="3" t="str">
        <f>IF(Table1[[#This Row],[Billing Amount]]&lt;5000,"Low",IF(Table1[[#This Row],[Billing Amount]]&lt;=15000,"Medium","High"))</f>
        <v>Low</v>
      </c>
      <c r="Q1404" s="3" t="str">
        <f>IF(Table1[[#This Row],[Discharge Date]]="Yes","Discharged","Under Treatment")</f>
        <v>Under Treatment</v>
      </c>
      <c r="R1404" s="3" t="str">
        <f>IF(Table1[[#This Row],[Test Results]]&gt;120,"High Risk","Normal")</f>
        <v>High Risk</v>
      </c>
      <c r="S1404" s="3" t="str">
        <f>IF(Table1[[#This Row],[Age]]&lt;=18,"0-18",IF(Table1[[#This Row],[Age]]&lt;=35,"19-35",IF(Table1[[#This Row],[Age]]&lt;=50,"36-50",IF(Table1[[#This Row],[Age]]&lt;=65,"51-65","65+"))))</f>
        <v>51-65</v>
      </c>
    </row>
    <row r="1405" spans="1:19" x14ac:dyDescent="0.3">
      <c r="A1405" s="3" t="s">
        <v>4246</v>
      </c>
      <c r="B1405" s="3">
        <v>29</v>
      </c>
      <c r="C1405" s="3" t="s">
        <v>35</v>
      </c>
      <c r="D1405" s="3" t="s">
        <v>122</v>
      </c>
      <c r="E1405" s="3" t="s">
        <v>54</v>
      </c>
      <c r="F1405" s="4">
        <v>44979</v>
      </c>
      <c r="G1405" s="3" t="s">
        <v>4247</v>
      </c>
      <c r="H1405" s="3" t="s">
        <v>4248</v>
      </c>
      <c r="I1405" s="3" t="s">
        <v>21</v>
      </c>
      <c r="J1405" s="5">
        <v>1038.3428238915801</v>
      </c>
      <c r="K1405" s="3">
        <v>484</v>
      </c>
      <c r="L1405" s="3" t="s">
        <v>46</v>
      </c>
      <c r="M1405" s="4">
        <v>45009</v>
      </c>
      <c r="N1405" s="3" t="s">
        <v>40</v>
      </c>
      <c r="O1405" s="3" t="s">
        <v>33</v>
      </c>
      <c r="P1405" s="3" t="str">
        <f>IF(Table1[[#This Row],[Billing Amount]]&lt;5000,"Low",IF(Table1[[#This Row],[Billing Amount]]&lt;=15000,"Medium","High"))</f>
        <v>Low</v>
      </c>
      <c r="Q1405" s="3" t="str">
        <f>IF(Table1[[#This Row],[Discharge Date]]="Yes","Discharged","Under Treatment")</f>
        <v>Under Treatment</v>
      </c>
      <c r="R1405" s="3" t="str">
        <f>IF(Table1[[#This Row],[Test Results]]&gt;120,"High Risk","Normal")</f>
        <v>High Risk</v>
      </c>
      <c r="S1405" s="3" t="str">
        <f>IF(Table1[[#This Row],[Age]]&lt;=18,"0-18",IF(Table1[[#This Row],[Age]]&lt;=35,"19-35",IF(Table1[[#This Row],[Age]]&lt;=50,"36-50",IF(Table1[[#This Row],[Age]]&lt;=65,"51-65","65+"))))</f>
        <v>19-35</v>
      </c>
    </row>
    <row r="1406" spans="1:19" x14ac:dyDescent="0.3">
      <c r="A1406" s="3" t="s">
        <v>4249</v>
      </c>
      <c r="B1406" s="3">
        <v>39</v>
      </c>
      <c r="C1406" s="3" t="s">
        <v>16</v>
      </c>
      <c r="D1406" s="3" t="s">
        <v>17</v>
      </c>
      <c r="E1406" s="3" t="s">
        <v>27</v>
      </c>
      <c r="F1406" s="4">
        <v>44937</v>
      </c>
      <c r="G1406" s="3" t="s">
        <v>4250</v>
      </c>
      <c r="H1406" s="3" t="s">
        <v>4251</v>
      </c>
      <c r="I1406" s="3" t="s">
        <v>65</v>
      </c>
      <c r="J1406" s="5">
        <v>44470.456939166797</v>
      </c>
      <c r="K1406" s="3">
        <v>480</v>
      </c>
      <c r="L1406" s="3" t="s">
        <v>22</v>
      </c>
      <c r="M1406" s="4">
        <v>44960</v>
      </c>
      <c r="N1406" s="3" t="s">
        <v>40</v>
      </c>
      <c r="O1406" s="3" t="s">
        <v>24</v>
      </c>
      <c r="P1406" s="3" t="str">
        <f>IF(Table1[[#This Row],[Billing Amount]]&lt;5000,"Low",IF(Table1[[#This Row],[Billing Amount]]&lt;=15000,"Medium","High"))</f>
        <v>High</v>
      </c>
      <c r="Q1406" s="3" t="str">
        <f>IF(Table1[[#This Row],[Discharge Date]]="Yes","Discharged","Under Treatment")</f>
        <v>Under Treatment</v>
      </c>
      <c r="R1406" s="3" t="str">
        <f>IF(Table1[[#This Row],[Test Results]]&gt;120,"High Risk","Normal")</f>
        <v>High Risk</v>
      </c>
      <c r="S1406" s="3" t="str">
        <f>IF(Table1[[#This Row],[Age]]&lt;=18,"0-18",IF(Table1[[#This Row],[Age]]&lt;=35,"19-35",IF(Table1[[#This Row],[Age]]&lt;=50,"36-50",IF(Table1[[#This Row],[Age]]&lt;=65,"51-65","65+"))))</f>
        <v>36-50</v>
      </c>
    </row>
    <row r="1407" spans="1:19" x14ac:dyDescent="0.3">
      <c r="A1407" s="3" t="s">
        <v>4252</v>
      </c>
      <c r="B1407" s="3">
        <v>65</v>
      </c>
      <c r="C1407" s="3" t="s">
        <v>16</v>
      </c>
      <c r="D1407" s="3" t="s">
        <v>49</v>
      </c>
      <c r="E1407" s="3" t="s">
        <v>54</v>
      </c>
      <c r="F1407" s="4">
        <v>44731</v>
      </c>
      <c r="G1407" s="3" t="s">
        <v>4253</v>
      </c>
      <c r="H1407" s="3" t="s">
        <v>4254</v>
      </c>
      <c r="I1407" s="3" t="s">
        <v>21</v>
      </c>
      <c r="J1407" s="5">
        <v>22281.7736142184</v>
      </c>
      <c r="K1407" s="3">
        <v>317</v>
      </c>
      <c r="L1407" s="3" t="s">
        <v>31</v>
      </c>
      <c r="M1407" s="4">
        <v>44741</v>
      </c>
      <c r="N1407" s="3" t="s">
        <v>32</v>
      </c>
      <c r="O1407" s="3" t="s">
        <v>24</v>
      </c>
      <c r="P1407" s="3" t="str">
        <f>IF(Table1[[#This Row],[Billing Amount]]&lt;5000,"Low",IF(Table1[[#This Row],[Billing Amount]]&lt;=15000,"Medium","High"))</f>
        <v>High</v>
      </c>
      <c r="Q1407" s="3" t="str">
        <f>IF(Table1[[#This Row],[Discharge Date]]="Yes","Discharged","Under Treatment")</f>
        <v>Under Treatment</v>
      </c>
      <c r="R1407" s="3" t="str">
        <f>IF(Table1[[#This Row],[Test Results]]&gt;120,"High Risk","Normal")</f>
        <v>High Risk</v>
      </c>
      <c r="S1407" s="3" t="str">
        <f>IF(Table1[[#This Row],[Age]]&lt;=18,"0-18",IF(Table1[[#This Row],[Age]]&lt;=35,"19-35",IF(Table1[[#This Row],[Age]]&lt;=50,"36-50",IF(Table1[[#This Row],[Age]]&lt;=65,"51-65","65+"))))</f>
        <v>51-65</v>
      </c>
    </row>
    <row r="1408" spans="1:19" x14ac:dyDescent="0.3">
      <c r="A1408" s="3" t="s">
        <v>4256</v>
      </c>
      <c r="B1408" s="3">
        <v>76</v>
      </c>
      <c r="C1408" s="3" t="s">
        <v>16</v>
      </c>
      <c r="D1408" s="3" t="s">
        <v>17</v>
      </c>
      <c r="E1408" s="3" t="s">
        <v>18</v>
      </c>
      <c r="F1408" s="4">
        <v>44080</v>
      </c>
      <c r="G1408" s="3" t="s">
        <v>4257</v>
      </c>
      <c r="H1408" s="3" t="s">
        <v>4258</v>
      </c>
      <c r="I1408" s="3" t="s">
        <v>21</v>
      </c>
      <c r="J1408" s="5">
        <v>9729.3303175077508</v>
      </c>
      <c r="K1408" s="3">
        <v>413</v>
      </c>
      <c r="L1408" s="3" t="s">
        <v>46</v>
      </c>
      <c r="M1408" s="4">
        <v>44092</v>
      </c>
      <c r="N1408" s="3" t="s">
        <v>40</v>
      </c>
      <c r="O1408" s="3" t="s">
        <v>33</v>
      </c>
      <c r="P1408" s="3" t="str">
        <f>IF(Table1[[#This Row],[Billing Amount]]&lt;5000,"Low",IF(Table1[[#This Row],[Billing Amount]]&lt;=15000,"Medium","High"))</f>
        <v>Medium</v>
      </c>
      <c r="Q1408" s="3" t="str">
        <f>IF(Table1[[#This Row],[Discharge Date]]="Yes","Discharged","Under Treatment")</f>
        <v>Under Treatment</v>
      </c>
      <c r="R1408" s="3" t="str">
        <f>IF(Table1[[#This Row],[Test Results]]&gt;120,"High Risk","Normal")</f>
        <v>High Risk</v>
      </c>
      <c r="S1408" s="3" t="str">
        <f>IF(Table1[[#This Row],[Age]]&lt;=18,"0-18",IF(Table1[[#This Row],[Age]]&lt;=35,"19-35",IF(Table1[[#This Row],[Age]]&lt;=50,"36-50",IF(Table1[[#This Row],[Age]]&lt;=65,"51-65","65+"))))</f>
        <v>65+</v>
      </c>
    </row>
    <row r="1409" spans="1:19" x14ac:dyDescent="0.3">
      <c r="A1409" s="3" t="s">
        <v>4259</v>
      </c>
      <c r="B1409" s="3">
        <v>84</v>
      </c>
      <c r="C1409" s="3" t="s">
        <v>35</v>
      </c>
      <c r="D1409" s="3" t="s">
        <v>122</v>
      </c>
      <c r="E1409" s="3" t="s">
        <v>54</v>
      </c>
      <c r="F1409" s="4">
        <v>44754</v>
      </c>
      <c r="G1409" s="3" t="s">
        <v>4260</v>
      </c>
      <c r="H1409" s="3" t="s">
        <v>4261</v>
      </c>
      <c r="I1409" s="3" t="s">
        <v>21</v>
      </c>
      <c r="J1409" s="5">
        <v>47750.021468631203</v>
      </c>
      <c r="K1409" s="3">
        <v>443</v>
      </c>
      <c r="L1409" s="3" t="s">
        <v>22</v>
      </c>
      <c r="M1409" s="4">
        <v>44779</v>
      </c>
      <c r="N1409" s="3" t="s">
        <v>40</v>
      </c>
      <c r="O1409" s="3" t="s">
        <v>24</v>
      </c>
      <c r="P1409" s="3" t="str">
        <f>IF(Table1[[#This Row],[Billing Amount]]&lt;5000,"Low",IF(Table1[[#This Row],[Billing Amount]]&lt;=15000,"Medium","High"))</f>
        <v>High</v>
      </c>
      <c r="Q1409" s="3" t="str">
        <f>IF(Table1[[#This Row],[Discharge Date]]="Yes","Discharged","Under Treatment")</f>
        <v>Under Treatment</v>
      </c>
      <c r="R1409" s="3" t="str">
        <f>IF(Table1[[#This Row],[Test Results]]&gt;120,"High Risk","Normal")</f>
        <v>High Risk</v>
      </c>
      <c r="S1409" s="3" t="str">
        <f>IF(Table1[[#This Row],[Age]]&lt;=18,"0-18",IF(Table1[[#This Row],[Age]]&lt;=35,"19-35",IF(Table1[[#This Row],[Age]]&lt;=50,"36-50",IF(Table1[[#This Row],[Age]]&lt;=65,"51-65","65+"))))</f>
        <v>65+</v>
      </c>
    </row>
    <row r="1410" spans="1:19" x14ac:dyDescent="0.3">
      <c r="A1410" s="3" t="s">
        <v>4262</v>
      </c>
      <c r="B1410" s="3">
        <v>76</v>
      </c>
      <c r="C1410" s="3" t="s">
        <v>35</v>
      </c>
      <c r="D1410" s="3" t="s">
        <v>42</v>
      </c>
      <c r="E1410" s="3" t="s">
        <v>18</v>
      </c>
      <c r="F1410" s="4">
        <v>44623</v>
      </c>
      <c r="G1410" s="3" t="s">
        <v>4263</v>
      </c>
      <c r="H1410" s="3" t="s">
        <v>4264</v>
      </c>
      <c r="I1410" s="3" t="s">
        <v>57</v>
      </c>
      <c r="J1410" s="5">
        <v>14023.101874113399</v>
      </c>
      <c r="K1410" s="3">
        <v>355</v>
      </c>
      <c r="L1410" s="3" t="s">
        <v>46</v>
      </c>
      <c r="M1410" s="4">
        <v>44636</v>
      </c>
      <c r="N1410" s="3" t="s">
        <v>52</v>
      </c>
      <c r="O1410" s="3" t="s">
        <v>33</v>
      </c>
      <c r="P1410" s="3" t="str">
        <f>IF(Table1[[#This Row],[Billing Amount]]&lt;5000,"Low",IF(Table1[[#This Row],[Billing Amount]]&lt;=15000,"Medium","High"))</f>
        <v>Medium</v>
      </c>
      <c r="Q1410" s="3" t="str">
        <f>IF(Table1[[#This Row],[Discharge Date]]="Yes","Discharged","Under Treatment")</f>
        <v>Under Treatment</v>
      </c>
      <c r="R1410" s="3" t="str">
        <f>IF(Table1[[#This Row],[Test Results]]&gt;120,"High Risk","Normal")</f>
        <v>High Risk</v>
      </c>
      <c r="S1410" s="3" t="str">
        <f>IF(Table1[[#This Row],[Age]]&lt;=18,"0-18",IF(Table1[[#This Row],[Age]]&lt;=35,"19-35",IF(Table1[[#This Row],[Age]]&lt;=50,"36-50",IF(Table1[[#This Row],[Age]]&lt;=65,"51-65","65+"))))</f>
        <v>65+</v>
      </c>
    </row>
    <row r="1411" spans="1:19" x14ac:dyDescent="0.3">
      <c r="A1411" s="3" t="s">
        <v>4265</v>
      </c>
      <c r="B1411" s="3">
        <v>63</v>
      </c>
      <c r="C1411" s="3" t="s">
        <v>35</v>
      </c>
      <c r="D1411" s="3" t="s">
        <v>17</v>
      </c>
      <c r="E1411" s="3" t="s">
        <v>43</v>
      </c>
      <c r="F1411" s="4">
        <v>44430</v>
      </c>
      <c r="G1411" s="3" t="s">
        <v>4266</v>
      </c>
      <c r="H1411" s="3" t="s">
        <v>4267</v>
      </c>
      <c r="I1411" s="3" t="s">
        <v>65</v>
      </c>
      <c r="J1411" s="5">
        <v>4520.4753302878098</v>
      </c>
      <c r="K1411" s="3">
        <v>243</v>
      </c>
      <c r="L1411" s="3" t="s">
        <v>46</v>
      </c>
      <c r="M1411" s="4">
        <v>44450</v>
      </c>
      <c r="N1411" s="3" t="s">
        <v>32</v>
      </c>
      <c r="O1411" s="3" t="s">
        <v>47</v>
      </c>
      <c r="P1411" s="3" t="str">
        <f>IF(Table1[[#This Row],[Billing Amount]]&lt;5000,"Low",IF(Table1[[#This Row],[Billing Amount]]&lt;=15000,"Medium","High"))</f>
        <v>Low</v>
      </c>
      <c r="Q1411" s="3" t="str">
        <f>IF(Table1[[#This Row],[Discharge Date]]="Yes","Discharged","Under Treatment")</f>
        <v>Under Treatment</v>
      </c>
      <c r="R1411" s="3" t="str">
        <f>IF(Table1[[#This Row],[Test Results]]&gt;120,"High Risk","Normal")</f>
        <v>High Risk</v>
      </c>
      <c r="S1411" s="3" t="str">
        <f>IF(Table1[[#This Row],[Age]]&lt;=18,"0-18",IF(Table1[[#This Row],[Age]]&lt;=35,"19-35",IF(Table1[[#This Row],[Age]]&lt;=50,"36-50",IF(Table1[[#This Row],[Age]]&lt;=65,"51-65","65+"))))</f>
        <v>51-65</v>
      </c>
    </row>
    <row r="1412" spans="1:19" x14ac:dyDescent="0.3">
      <c r="A1412" s="3" t="s">
        <v>4268</v>
      </c>
      <c r="B1412" s="3">
        <v>65</v>
      </c>
      <c r="C1412" s="3" t="s">
        <v>16</v>
      </c>
      <c r="D1412" s="3" t="s">
        <v>26</v>
      </c>
      <c r="E1412" s="3" t="s">
        <v>93</v>
      </c>
      <c r="F1412" s="4">
        <v>43863</v>
      </c>
      <c r="G1412" s="3" t="s">
        <v>4269</v>
      </c>
      <c r="H1412" s="3" t="s">
        <v>4270</v>
      </c>
      <c r="I1412" s="3" t="s">
        <v>21</v>
      </c>
      <c r="J1412" s="5">
        <v>7693.3059088011096</v>
      </c>
      <c r="K1412" s="3">
        <v>470</v>
      </c>
      <c r="L1412" s="3" t="s">
        <v>46</v>
      </c>
      <c r="M1412" s="4">
        <v>43873</v>
      </c>
      <c r="N1412" s="3" t="s">
        <v>32</v>
      </c>
      <c r="O1412" s="3" t="s">
        <v>24</v>
      </c>
      <c r="P1412" s="3" t="str">
        <f>IF(Table1[[#This Row],[Billing Amount]]&lt;5000,"Low",IF(Table1[[#This Row],[Billing Amount]]&lt;=15000,"Medium","High"))</f>
        <v>Medium</v>
      </c>
      <c r="Q1412" s="3" t="str">
        <f>IF(Table1[[#This Row],[Discharge Date]]="Yes","Discharged","Under Treatment")</f>
        <v>Under Treatment</v>
      </c>
      <c r="R1412" s="3" t="str">
        <f>IF(Table1[[#This Row],[Test Results]]&gt;120,"High Risk","Normal")</f>
        <v>High Risk</v>
      </c>
      <c r="S1412" s="3" t="str">
        <f>IF(Table1[[#This Row],[Age]]&lt;=18,"0-18",IF(Table1[[#This Row],[Age]]&lt;=35,"19-35",IF(Table1[[#This Row],[Age]]&lt;=50,"36-50",IF(Table1[[#This Row],[Age]]&lt;=65,"51-65","65+"))))</f>
        <v>51-65</v>
      </c>
    </row>
    <row r="1413" spans="1:19" x14ac:dyDescent="0.3">
      <c r="A1413" s="3" t="s">
        <v>4271</v>
      </c>
      <c r="B1413" s="3">
        <v>72</v>
      </c>
      <c r="C1413" s="3" t="s">
        <v>35</v>
      </c>
      <c r="D1413" s="3" t="s">
        <v>26</v>
      </c>
      <c r="E1413" s="3" t="s">
        <v>54</v>
      </c>
      <c r="F1413" s="4">
        <v>44408</v>
      </c>
      <c r="G1413" s="3" t="s">
        <v>4272</v>
      </c>
      <c r="H1413" s="3" t="s">
        <v>4273</v>
      </c>
      <c r="I1413" s="3" t="s">
        <v>39</v>
      </c>
      <c r="J1413" s="5">
        <v>28834.073348153601</v>
      </c>
      <c r="K1413" s="3">
        <v>487</v>
      </c>
      <c r="L1413" s="3" t="s">
        <v>46</v>
      </c>
      <c r="M1413" s="4">
        <v>44419</v>
      </c>
      <c r="N1413" s="3" t="s">
        <v>52</v>
      </c>
      <c r="O1413" s="3" t="s">
        <v>47</v>
      </c>
      <c r="P1413" s="3" t="str">
        <f>IF(Table1[[#This Row],[Billing Amount]]&lt;5000,"Low",IF(Table1[[#This Row],[Billing Amount]]&lt;=15000,"Medium","High"))</f>
        <v>High</v>
      </c>
      <c r="Q1413" s="3" t="str">
        <f>IF(Table1[[#This Row],[Discharge Date]]="Yes","Discharged","Under Treatment")</f>
        <v>Under Treatment</v>
      </c>
      <c r="R1413" s="3" t="str">
        <f>IF(Table1[[#This Row],[Test Results]]&gt;120,"High Risk","Normal")</f>
        <v>High Risk</v>
      </c>
      <c r="S1413" s="3" t="str">
        <f>IF(Table1[[#This Row],[Age]]&lt;=18,"0-18",IF(Table1[[#This Row],[Age]]&lt;=35,"19-35",IF(Table1[[#This Row],[Age]]&lt;=50,"36-50",IF(Table1[[#This Row],[Age]]&lt;=65,"51-65","65+"))))</f>
        <v>65+</v>
      </c>
    </row>
    <row r="1414" spans="1:19" x14ac:dyDescent="0.3">
      <c r="A1414" s="3" t="s">
        <v>4274</v>
      </c>
      <c r="B1414" s="3">
        <v>42</v>
      </c>
      <c r="C1414" s="3" t="s">
        <v>35</v>
      </c>
      <c r="D1414" s="3" t="s">
        <v>17</v>
      </c>
      <c r="E1414" s="3" t="s">
        <v>27</v>
      </c>
      <c r="F1414" s="4">
        <v>44211</v>
      </c>
      <c r="G1414" s="3" t="s">
        <v>4275</v>
      </c>
      <c r="H1414" s="3" t="s">
        <v>4276</v>
      </c>
      <c r="I1414" s="3" t="s">
        <v>30</v>
      </c>
      <c r="J1414" s="5">
        <v>33587.372086234398</v>
      </c>
      <c r="K1414" s="3">
        <v>232</v>
      </c>
      <c r="L1414" s="3" t="s">
        <v>46</v>
      </c>
      <c r="M1414" s="4">
        <v>44228</v>
      </c>
      <c r="N1414" s="3" t="s">
        <v>23</v>
      </c>
      <c r="O1414" s="3" t="s">
        <v>33</v>
      </c>
      <c r="P1414" s="3" t="str">
        <f>IF(Table1[[#This Row],[Billing Amount]]&lt;5000,"Low",IF(Table1[[#This Row],[Billing Amount]]&lt;=15000,"Medium","High"))</f>
        <v>High</v>
      </c>
      <c r="Q1414" s="3" t="str">
        <f>IF(Table1[[#This Row],[Discharge Date]]="Yes","Discharged","Under Treatment")</f>
        <v>Under Treatment</v>
      </c>
      <c r="R1414" s="3" t="str">
        <f>IF(Table1[[#This Row],[Test Results]]&gt;120,"High Risk","Normal")</f>
        <v>High Risk</v>
      </c>
      <c r="S1414" s="3" t="str">
        <f>IF(Table1[[#This Row],[Age]]&lt;=18,"0-18",IF(Table1[[#This Row],[Age]]&lt;=35,"19-35",IF(Table1[[#This Row],[Age]]&lt;=50,"36-50",IF(Table1[[#This Row],[Age]]&lt;=65,"51-65","65+"))))</f>
        <v>36-50</v>
      </c>
    </row>
    <row r="1415" spans="1:19" x14ac:dyDescent="0.3">
      <c r="A1415" s="3" t="s">
        <v>4277</v>
      </c>
      <c r="B1415" s="3">
        <v>22</v>
      </c>
      <c r="C1415" s="3" t="s">
        <v>35</v>
      </c>
      <c r="D1415" s="3" t="s">
        <v>122</v>
      </c>
      <c r="E1415" s="3" t="s">
        <v>18</v>
      </c>
      <c r="F1415" s="4">
        <v>44854</v>
      </c>
      <c r="G1415" s="3" t="s">
        <v>4278</v>
      </c>
      <c r="H1415" s="3" t="s">
        <v>4279</v>
      </c>
      <c r="I1415" s="3" t="s">
        <v>39</v>
      </c>
      <c r="J1415" s="5">
        <v>49693.3691113268</v>
      </c>
      <c r="K1415" s="3">
        <v>191</v>
      </c>
      <c r="L1415" s="3" t="s">
        <v>31</v>
      </c>
      <c r="M1415" s="4">
        <v>44861</v>
      </c>
      <c r="N1415" s="3" t="s">
        <v>79</v>
      </c>
      <c r="O1415" s="3" t="s">
        <v>47</v>
      </c>
      <c r="P1415" s="3" t="str">
        <f>IF(Table1[[#This Row],[Billing Amount]]&lt;5000,"Low",IF(Table1[[#This Row],[Billing Amount]]&lt;=15000,"Medium","High"))</f>
        <v>High</v>
      </c>
      <c r="Q1415" s="3" t="str">
        <f>IF(Table1[[#This Row],[Discharge Date]]="Yes","Discharged","Under Treatment")</f>
        <v>Under Treatment</v>
      </c>
      <c r="R1415" s="3" t="str">
        <f>IF(Table1[[#This Row],[Test Results]]&gt;120,"High Risk","Normal")</f>
        <v>High Risk</v>
      </c>
      <c r="S1415" s="3" t="str">
        <f>IF(Table1[[#This Row],[Age]]&lt;=18,"0-18",IF(Table1[[#This Row],[Age]]&lt;=35,"19-35",IF(Table1[[#This Row],[Age]]&lt;=50,"36-50",IF(Table1[[#This Row],[Age]]&lt;=65,"51-65","65+"))))</f>
        <v>19-35</v>
      </c>
    </row>
    <row r="1416" spans="1:19" x14ac:dyDescent="0.3">
      <c r="A1416" s="3" t="s">
        <v>4280</v>
      </c>
      <c r="B1416" s="3">
        <v>20</v>
      </c>
      <c r="C1416" s="3" t="s">
        <v>35</v>
      </c>
      <c r="D1416" s="3" t="s">
        <v>122</v>
      </c>
      <c r="E1416" s="3" t="s">
        <v>93</v>
      </c>
      <c r="F1416" s="4">
        <v>44684</v>
      </c>
      <c r="G1416" s="3" t="s">
        <v>4281</v>
      </c>
      <c r="H1416" s="3" t="s">
        <v>4282</v>
      </c>
      <c r="I1416" s="3" t="s">
        <v>39</v>
      </c>
      <c r="J1416" s="5">
        <v>12499.5218822602</v>
      </c>
      <c r="K1416" s="3">
        <v>455</v>
      </c>
      <c r="L1416" s="3" t="s">
        <v>22</v>
      </c>
      <c r="M1416" s="4">
        <v>44697</v>
      </c>
      <c r="N1416" s="3" t="s">
        <v>40</v>
      </c>
      <c r="O1416" s="3" t="s">
        <v>47</v>
      </c>
      <c r="P1416" s="3" t="str">
        <f>IF(Table1[[#This Row],[Billing Amount]]&lt;5000,"Low",IF(Table1[[#This Row],[Billing Amount]]&lt;=15000,"Medium","High"))</f>
        <v>Medium</v>
      </c>
      <c r="Q1416" s="3" t="str">
        <f>IF(Table1[[#This Row],[Discharge Date]]="Yes","Discharged","Under Treatment")</f>
        <v>Under Treatment</v>
      </c>
      <c r="R1416" s="3" t="str">
        <f>IF(Table1[[#This Row],[Test Results]]&gt;120,"High Risk","Normal")</f>
        <v>High Risk</v>
      </c>
      <c r="S1416" s="3" t="str">
        <f>IF(Table1[[#This Row],[Age]]&lt;=18,"0-18",IF(Table1[[#This Row],[Age]]&lt;=35,"19-35",IF(Table1[[#This Row],[Age]]&lt;=50,"36-50",IF(Table1[[#This Row],[Age]]&lt;=65,"51-65","65+"))))</f>
        <v>19-35</v>
      </c>
    </row>
    <row r="1417" spans="1:19" x14ac:dyDescent="0.3">
      <c r="A1417" s="3" t="s">
        <v>4283</v>
      </c>
      <c r="B1417" s="3">
        <v>52</v>
      </c>
      <c r="C1417" s="3" t="s">
        <v>35</v>
      </c>
      <c r="D1417" s="3" t="s">
        <v>49</v>
      </c>
      <c r="E1417" s="3" t="s">
        <v>93</v>
      </c>
      <c r="F1417" s="4">
        <v>45419</v>
      </c>
      <c r="G1417" s="3" t="s">
        <v>4284</v>
      </c>
      <c r="H1417" s="3" t="s">
        <v>4285</v>
      </c>
      <c r="I1417" s="3" t="s">
        <v>39</v>
      </c>
      <c r="J1417" s="5">
        <v>14755.3328347812</v>
      </c>
      <c r="K1417" s="3">
        <v>374</v>
      </c>
      <c r="L1417" s="3" t="s">
        <v>22</v>
      </c>
      <c r="M1417" s="4">
        <v>45424</v>
      </c>
      <c r="N1417" s="3" t="s">
        <v>23</v>
      </c>
      <c r="O1417" s="3" t="s">
        <v>33</v>
      </c>
      <c r="P1417" s="3" t="str">
        <f>IF(Table1[[#This Row],[Billing Amount]]&lt;5000,"Low",IF(Table1[[#This Row],[Billing Amount]]&lt;=15000,"Medium","High"))</f>
        <v>Medium</v>
      </c>
      <c r="Q1417" s="3" t="str">
        <f>IF(Table1[[#This Row],[Discharge Date]]="Yes","Discharged","Under Treatment")</f>
        <v>Under Treatment</v>
      </c>
      <c r="R1417" s="3" t="str">
        <f>IF(Table1[[#This Row],[Test Results]]&gt;120,"High Risk","Normal")</f>
        <v>High Risk</v>
      </c>
      <c r="S1417" s="3" t="str">
        <f>IF(Table1[[#This Row],[Age]]&lt;=18,"0-18",IF(Table1[[#This Row],[Age]]&lt;=35,"19-35",IF(Table1[[#This Row],[Age]]&lt;=50,"36-50",IF(Table1[[#This Row],[Age]]&lt;=65,"51-65","65+"))))</f>
        <v>51-65</v>
      </c>
    </row>
    <row r="1418" spans="1:19" x14ac:dyDescent="0.3">
      <c r="A1418" s="3" t="s">
        <v>4286</v>
      </c>
      <c r="B1418" s="3">
        <v>33</v>
      </c>
      <c r="C1418" s="3" t="s">
        <v>16</v>
      </c>
      <c r="D1418" s="3" t="s">
        <v>42</v>
      </c>
      <c r="E1418" s="3" t="s">
        <v>93</v>
      </c>
      <c r="F1418" s="4">
        <v>45018</v>
      </c>
      <c r="G1418" s="3" t="s">
        <v>4287</v>
      </c>
      <c r="H1418" s="3" t="s">
        <v>4288</v>
      </c>
      <c r="I1418" s="3" t="s">
        <v>21</v>
      </c>
      <c r="J1418" s="5">
        <v>15663.988539783501</v>
      </c>
      <c r="K1418" s="3">
        <v>496</v>
      </c>
      <c r="L1418" s="3" t="s">
        <v>46</v>
      </c>
      <c r="M1418" s="4">
        <v>45029</v>
      </c>
      <c r="N1418" s="3" t="s">
        <v>40</v>
      </c>
      <c r="O1418" s="3" t="s">
        <v>33</v>
      </c>
      <c r="P1418" s="3" t="str">
        <f>IF(Table1[[#This Row],[Billing Amount]]&lt;5000,"Low",IF(Table1[[#This Row],[Billing Amount]]&lt;=15000,"Medium","High"))</f>
        <v>High</v>
      </c>
      <c r="Q1418" s="3" t="str">
        <f>IF(Table1[[#This Row],[Discharge Date]]="Yes","Discharged","Under Treatment")</f>
        <v>Under Treatment</v>
      </c>
      <c r="R1418" s="3" t="str">
        <f>IF(Table1[[#This Row],[Test Results]]&gt;120,"High Risk","Normal")</f>
        <v>High Risk</v>
      </c>
      <c r="S1418" s="3" t="str">
        <f>IF(Table1[[#This Row],[Age]]&lt;=18,"0-18",IF(Table1[[#This Row],[Age]]&lt;=35,"19-35",IF(Table1[[#This Row],[Age]]&lt;=50,"36-50",IF(Table1[[#This Row],[Age]]&lt;=65,"51-65","65+"))))</f>
        <v>19-35</v>
      </c>
    </row>
    <row r="1419" spans="1:19" x14ac:dyDescent="0.3">
      <c r="A1419" s="3" t="s">
        <v>4289</v>
      </c>
      <c r="B1419" s="3">
        <v>80</v>
      </c>
      <c r="C1419" s="3" t="s">
        <v>16</v>
      </c>
      <c r="D1419" s="3" t="s">
        <v>103</v>
      </c>
      <c r="E1419" s="3" t="s">
        <v>43</v>
      </c>
      <c r="F1419" s="4">
        <v>44103</v>
      </c>
      <c r="G1419" s="3" t="s">
        <v>4290</v>
      </c>
      <c r="H1419" s="3" t="s">
        <v>4291</v>
      </c>
      <c r="I1419" s="3" t="s">
        <v>30</v>
      </c>
      <c r="J1419" s="5">
        <v>47581.418202550703</v>
      </c>
      <c r="K1419" s="3">
        <v>134</v>
      </c>
      <c r="L1419" s="3" t="s">
        <v>31</v>
      </c>
      <c r="M1419" s="4">
        <v>44115</v>
      </c>
      <c r="N1419" s="3" t="s">
        <v>23</v>
      </c>
      <c r="O1419" s="3" t="s">
        <v>47</v>
      </c>
      <c r="P1419" s="3" t="str">
        <f>IF(Table1[[#This Row],[Billing Amount]]&lt;5000,"Low",IF(Table1[[#This Row],[Billing Amount]]&lt;=15000,"Medium","High"))</f>
        <v>High</v>
      </c>
      <c r="Q1419" s="3" t="str">
        <f>IF(Table1[[#This Row],[Discharge Date]]="Yes","Discharged","Under Treatment")</f>
        <v>Under Treatment</v>
      </c>
      <c r="R1419" s="3" t="str">
        <f>IF(Table1[[#This Row],[Test Results]]&gt;120,"High Risk","Normal")</f>
        <v>High Risk</v>
      </c>
      <c r="S1419" s="3" t="str">
        <f>IF(Table1[[#This Row],[Age]]&lt;=18,"0-18",IF(Table1[[#This Row],[Age]]&lt;=35,"19-35",IF(Table1[[#This Row],[Age]]&lt;=50,"36-50",IF(Table1[[#This Row],[Age]]&lt;=65,"51-65","65+"))))</f>
        <v>65+</v>
      </c>
    </row>
    <row r="1420" spans="1:19" x14ac:dyDescent="0.3">
      <c r="A1420" s="3" t="s">
        <v>4292</v>
      </c>
      <c r="B1420" s="3">
        <v>73</v>
      </c>
      <c r="C1420" s="3" t="s">
        <v>16</v>
      </c>
      <c r="D1420" s="3" t="s">
        <v>42</v>
      </c>
      <c r="E1420" s="3" t="s">
        <v>93</v>
      </c>
      <c r="F1420" s="4">
        <v>45034</v>
      </c>
      <c r="G1420" s="3" t="s">
        <v>4293</v>
      </c>
      <c r="H1420" s="3" t="s">
        <v>4294</v>
      </c>
      <c r="I1420" s="3" t="s">
        <v>39</v>
      </c>
      <c r="J1420" s="5">
        <v>34257.894852998601</v>
      </c>
      <c r="K1420" s="3">
        <v>313</v>
      </c>
      <c r="L1420" s="3" t="s">
        <v>46</v>
      </c>
      <c r="M1420" s="4">
        <v>45055</v>
      </c>
      <c r="N1420" s="3" t="s">
        <v>40</v>
      </c>
      <c r="O1420" s="3" t="s">
        <v>33</v>
      </c>
      <c r="P1420" s="3" t="str">
        <f>IF(Table1[[#This Row],[Billing Amount]]&lt;5000,"Low",IF(Table1[[#This Row],[Billing Amount]]&lt;=15000,"Medium","High"))</f>
        <v>High</v>
      </c>
      <c r="Q1420" s="3" t="str">
        <f>IF(Table1[[#This Row],[Discharge Date]]="Yes","Discharged","Under Treatment")</f>
        <v>Under Treatment</v>
      </c>
      <c r="R1420" s="3" t="str">
        <f>IF(Table1[[#This Row],[Test Results]]&gt;120,"High Risk","Normal")</f>
        <v>High Risk</v>
      </c>
      <c r="S1420" s="3" t="str">
        <f>IF(Table1[[#This Row],[Age]]&lt;=18,"0-18",IF(Table1[[#This Row],[Age]]&lt;=35,"19-35",IF(Table1[[#This Row],[Age]]&lt;=50,"36-50",IF(Table1[[#This Row],[Age]]&lt;=65,"51-65","65+"))))</f>
        <v>65+</v>
      </c>
    </row>
    <row r="1421" spans="1:19" x14ac:dyDescent="0.3">
      <c r="A1421" s="3" t="s">
        <v>4295</v>
      </c>
      <c r="B1421" s="3">
        <v>66</v>
      </c>
      <c r="C1421" s="3" t="s">
        <v>16</v>
      </c>
      <c r="D1421" s="3" t="s">
        <v>26</v>
      </c>
      <c r="E1421" s="3" t="s">
        <v>54</v>
      </c>
      <c r="F1421" s="4">
        <v>45337</v>
      </c>
      <c r="G1421" s="3" t="s">
        <v>845</v>
      </c>
      <c r="H1421" s="3" t="s">
        <v>4296</v>
      </c>
      <c r="I1421" s="3" t="s">
        <v>30</v>
      </c>
      <c r="J1421" s="5">
        <v>42744.314621145997</v>
      </c>
      <c r="K1421" s="3">
        <v>244</v>
      </c>
      <c r="L1421" s="3" t="s">
        <v>46</v>
      </c>
      <c r="M1421" s="4">
        <v>45345</v>
      </c>
      <c r="N1421" s="3" t="s">
        <v>23</v>
      </c>
      <c r="O1421" s="3" t="s">
        <v>47</v>
      </c>
      <c r="P1421" s="3" t="str">
        <f>IF(Table1[[#This Row],[Billing Amount]]&lt;5000,"Low",IF(Table1[[#This Row],[Billing Amount]]&lt;=15000,"Medium","High"))</f>
        <v>High</v>
      </c>
      <c r="Q1421" s="3" t="str">
        <f>IF(Table1[[#This Row],[Discharge Date]]="Yes","Discharged","Under Treatment")</f>
        <v>Under Treatment</v>
      </c>
      <c r="R1421" s="3" t="str">
        <f>IF(Table1[[#This Row],[Test Results]]&gt;120,"High Risk","Normal")</f>
        <v>High Risk</v>
      </c>
      <c r="S1421" s="3" t="str">
        <f>IF(Table1[[#This Row],[Age]]&lt;=18,"0-18",IF(Table1[[#This Row],[Age]]&lt;=35,"19-35",IF(Table1[[#This Row],[Age]]&lt;=50,"36-50",IF(Table1[[#This Row],[Age]]&lt;=65,"51-65","65+"))))</f>
        <v>65+</v>
      </c>
    </row>
    <row r="1422" spans="1:19" x14ac:dyDescent="0.3">
      <c r="A1422" s="3" t="s">
        <v>4297</v>
      </c>
      <c r="B1422" s="3">
        <v>85</v>
      </c>
      <c r="C1422" s="3" t="s">
        <v>16</v>
      </c>
      <c r="D1422" s="3" t="s">
        <v>49</v>
      </c>
      <c r="E1422" s="3" t="s">
        <v>54</v>
      </c>
      <c r="F1422" s="4">
        <v>44555</v>
      </c>
      <c r="G1422" s="3" t="s">
        <v>4298</v>
      </c>
      <c r="H1422" s="3" t="s">
        <v>4143</v>
      </c>
      <c r="I1422" s="3" t="s">
        <v>39</v>
      </c>
      <c r="J1422" s="5">
        <v>48253.729975183502</v>
      </c>
      <c r="K1422" s="3">
        <v>289</v>
      </c>
      <c r="L1422" s="3" t="s">
        <v>46</v>
      </c>
      <c r="M1422" s="4">
        <v>44573</v>
      </c>
      <c r="N1422" s="3" t="s">
        <v>52</v>
      </c>
      <c r="O1422" s="3" t="s">
        <v>24</v>
      </c>
      <c r="P1422" s="3" t="str">
        <f>IF(Table1[[#This Row],[Billing Amount]]&lt;5000,"Low",IF(Table1[[#This Row],[Billing Amount]]&lt;=15000,"Medium","High"))</f>
        <v>High</v>
      </c>
      <c r="Q1422" s="3" t="str">
        <f>IF(Table1[[#This Row],[Discharge Date]]="Yes","Discharged","Under Treatment")</f>
        <v>Under Treatment</v>
      </c>
      <c r="R1422" s="3" t="str">
        <f>IF(Table1[[#This Row],[Test Results]]&gt;120,"High Risk","Normal")</f>
        <v>High Risk</v>
      </c>
      <c r="S1422" s="3" t="str">
        <f>IF(Table1[[#This Row],[Age]]&lt;=18,"0-18",IF(Table1[[#This Row],[Age]]&lt;=35,"19-35",IF(Table1[[#This Row],[Age]]&lt;=50,"36-50",IF(Table1[[#This Row],[Age]]&lt;=65,"51-65","65+"))))</f>
        <v>65+</v>
      </c>
    </row>
    <row r="1423" spans="1:19" x14ac:dyDescent="0.3">
      <c r="A1423" s="3" t="s">
        <v>4299</v>
      </c>
      <c r="B1423" s="3">
        <v>82</v>
      </c>
      <c r="C1423" s="3" t="s">
        <v>35</v>
      </c>
      <c r="D1423" s="3" t="s">
        <v>49</v>
      </c>
      <c r="E1423" s="3" t="s">
        <v>76</v>
      </c>
      <c r="F1423" s="4">
        <v>44145</v>
      </c>
      <c r="G1423" s="3" t="s">
        <v>4300</v>
      </c>
      <c r="H1423" s="3" t="s">
        <v>4301</v>
      </c>
      <c r="I1423" s="3" t="s">
        <v>39</v>
      </c>
      <c r="J1423" s="5">
        <v>37089.581890155998</v>
      </c>
      <c r="K1423" s="3">
        <v>430</v>
      </c>
      <c r="L1423" s="3" t="s">
        <v>22</v>
      </c>
      <c r="M1423" s="4">
        <v>44167</v>
      </c>
      <c r="N1423" s="3" t="s">
        <v>40</v>
      </c>
      <c r="O1423" s="3" t="s">
        <v>47</v>
      </c>
      <c r="P1423" s="3" t="str">
        <f>IF(Table1[[#This Row],[Billing Amount]]&lt;5000,"Low",IF(Table1[[#This Row],[Billing Amount]]&lt;=15000,"Medium","High"))</f>
        <v>High</v>
      </c>
      <c r="Q1423" s="3" t="str">
        <f>IF(Table1[[#This Row],[Discharge Date]]="Yes","Discharged","Under Treatment")</f>
        <v>Under Treatment</v>
      </c>
      <c r="R1423" s="3" t="str">
        <f>IF(Table1[[#This Row],[Test Results]]&gt;120,"High Risk","Normal")</f>
        <v>High Risk</v>
      </c>
      <c r="S1423" s="3" t="str">
        <f>IF(Table1[[#This Row],[Age]]&lt;=18,"0-18",IF(Table1[[#This Row],[Age]]&lt;=35,"19-35",IF(Table1[[#This Row],[Age]]&lt;=50,"36-50",IF(Table1[[#This Row],[Age]]&lt;=65,"51-65","65+"))))</f>
        <v>65+</v>
      </c>
    </row>
    <row r="1424" spans="1:19" x14ac:dyDescent="0.3">
      <c r="A1424" s="3" t="s">
        <v>4302</v>
      </c>
      <c r="B1424" s="3">
        <v>72</v>
      </c>
      <c r="C1424" s="3" t="s">
        <v>35</v>
      </c>
      <c r="D1424" s="3" t="s">
        <v>42</v>
      </c>
      <c r="E1424" s="3" t="s">
        <v>43</v>
      </c>
      <c r="F1424" s="4">
        <v>44191</v>
      </c>
      <c r="G1424" s="3" t="s">
        <v>4303</v>
      </c>
      <c r="H1424" s="3" t="s">
        <v>4304</v>
      </c>
      <c r="I1424" s="3" t="s">
        <v>39</v>
      </c>
      <c r="J1424" s="5">
        <v>17734.260954569902</v>
      </c>
      <c r="K1424" s="3">
        <v>393</v>
      </c>
      <c r="L1424" s="3" t="s">
        <v>46</v>
      </c>
      <c r="M1424" s="4">
        <v>44210</v>
      </c>
      <c r="N1424" s="3" t="s">
        <v>32</v>
      </c>
      <c r="O1424" s="3" t="s">
        <v>24</v>
      </c>
      <c r="P1424" s="3" t="str">
        <f>IF(Table1[[#This Row],[Billing Amount]]&lt;5000,"Low",IF(Table1[[#This Row],[Billing Amount]]&lt;=15000,"Medium","High"))</f>
        <v>High</v>
      </c>
      <c r="Q1424" s="3" t="str">
        <f>IF(Table1[[#This Row],[Discharge Date]]="Yes","Discharged","Under Treatment")</f>
        <v>Under Treatment</v>
      </c>
      <c r="R1424" s="3" t="str">
        <f>IF(Table1[[#This Row],[Test Results]]&gt;120,"High Risk","Normal")</f>
        <v>High Risk</v>
      </c>
      <c r="S1424" s="3" t="str">
        <f>IF(Table1[[#This Row],[Age]]&lt;=18,"0-18",IF(Table1[[#This Row],[Age]]&lt;=35,"19-35",IF(Table1[[#This Row],[Age]]&lt;=50,"36-50",IF(Table1[[#This Row],[Age]]&lt;=65,"51-65","65+"))))</f>
        <v>65+</v>
      </c>
    </row>
    <row r="1425" spans="1:19" x14ac:dyDescent="0.3">
      <c r="A1425" s="3" t="s">
        <v>4305</v>
      </c>
      <c r="B1425" s="3">
        <v>40</v>
      </c>
      <c r="C1425" s="3" t="s">
        <v>16</v>
      </c>
      <c r="D1425" s="3" t="s">
        <v>103</v>
      </c>
      <c r="E1425" s="3" t="s">
        <v>18</v>
      </c>
      <c r="F1425" s="4">
        <v>44546</v>
      </c>
      <c r="G1425" s="3" t="s">
        <v>4306</v>
      </c>
      <c r="H1425" s="3" t="s">
        <v>4307</v>
      </c>
      <c r="I1425" s="3" t="s">
        <v>57</v>
      </c>
      <c r="J1425" s="5">
        <v>10366.323960973499</v>
      </c>
      <c r="K1425" s="3">
        <v>375</v>
      </c>
      <c r="L1425" s="3" t="s">
        <v>31</v>
      </c>
      <c r="M1425" s="4">
        <v>44551</v>
      </c>
      <c r="N1425" s="3" t="s">
        <v>40</v>
      </c>
      <c r="O1425" s="3" t="s">
        <v>33</v>
      </c>
      <c r="P1425" s="3" t="str">
        <f>IF(Table1[[#This Row],[Billing Amount]]&lt;5000,"Low",IF(Table1[[#This Row],[Billing Amount]]&lt;=15000,"Medium","High"))</f>
        <v>Medium</v>
      </c>
      <c r="Q1425" s="3" t="str">
        <f>IF(Table1[[#This Row],[Discharge Date]]="Yes","Discharged","Under Treatment")</f>
        <v>Under Treatment</v>
      </c>
      <c r="R1425" s="3" t="str">
        <f>IF(Table1[[#This Row],[Test Results]]&gt;120,"High Risk","Normal")</f>
        <v>High Risk</v>
      </c>
      <c r="S1425" s="3" t="str">
        <f>IF(Table1[[#This Row],[Age]]&lt;=18,"0-18",IF(Table1[[#This Row],[Age]]&lt;=35,"19-35",IF(Table1[[#This Row],[Age]]&lt;=50,"36-50",IF(Table1[[#This Row],[Age]]&lt;=65,"51-65","65+"))))</f>
        <v>36-50</v>
      </c>
    </row>
    <row r="1426" spans="1:19" x14ac:dyDescent="0.3">
      <c r="A1426" s="3" t="s">
        <v>4308</v>
      </c>
      <c r="B1426" s="3">
        <v>36</v>
      </c>
      <c r="C1426" s="3" t="s">
        <v>35</v>
      </c>
      <c r="D1426" s="3" t="s">
        <v>36</v>
      </c>
      <c r="E1426" s="3" t="s">
        <v>76</v>
      </c>
      <c r="F1426" s="4">
        <v>44289</v>
      </c>
      <c r="G1426" s="3" t="s">
        <v>4309</v>
      </c>
      <c r="H1426" s="3" t="s">
        <v>4310</v>
      </c>
      <c r="I1426" s="3" t="s">
        <v>65</v>
      </c>
      <c r="J1426" s="5">
        <v>16037.022848451799</v>
      </c>
      <c r="K1426" s="3">
        <v>252</v>
      </c>
      <c r="L1426" s="3" t="s">
        <v>22</v>
      </c>
      <c r="M1426" s="4">
        <v>44290</v>
      </c>
      <c r="N1426" s="3" t="s">
        <v>79</v>
      </c>
      <c r="O1426" s="3" t="s">
        <v>24</v>
      </c>
      <c r="P1426" s="3" t="str">
        <f>IF(Table1[[#This Row],[Billing Amount]]&lt;5000,"Low",IF(Table1[[#This Row],[Billing Amount]]&lt;=15000,"Medium","High"))</f>
        <v>High</v>
      </c>
      <c r="Q1426" s="3" t="str">
        <f>IF(Table1[[#This Row],[Discharge Date]]="Yes","Discharged","Under Treatment")</f>
        <v>Under Treatment</v>
      </c>
      <c r="R1426" s="3" t="str">
        <f>IF(Table1[[#This Row],[Test Results]]&gt;120,"High Risk","Normal")</f>
        <v>High Risk</v>
      </c>
      <c r="S1426" s="3" t="str">
        <f>IF(Table1[[#This Row],[Age]]&lt;=18,"0-18",IF(Table1[[#This Row],[Age]]&lt;=35,"19-35",IF(Table1[[#This Row],[Age]]&lt;=50,"36-50",IF(Table1[[#This Row],[Age]]&lt;=65,"51-65","65+"))))</f>
        <v>36-50</v>
      </c>
    </row>
    <row r="1427" spans="1:19" x14ac:dyDescent="0.3">
      <c r="A1427" s="3" t="s">
        <v>4311</v>
      </c>
      <c r="B1427" s="3">
        <v>32</v>
      </c>
      <c r="C1427" s="3" t="s">
        <v>16</v>
      </c>
      <c r="D1427" s="3" t="s">
        <v>42</v>
      </c>
      <c r="E1427" s="3" t="s">
        <v>76</v>
      </c>
      <c r="F1427" s="4">
        <v>44229</v>
      </c>
      <c r="G1427" s="3" t="s">
        <v>4312</v>
      </c>
      <c r="H1427" s="3" t="s">
        <v>4313</v>
      </c>
      <c r="I1427" s="3" t="s">
        <v>39</v>
      </c>
      <c r="J1427" s="5">
        <v>45483.112335555597</v>
      </c>
      <c r="K1427" s="3">
        <v>364</v>
      </c>
      <c r="L1427" s="3" t="s">
        <v>22</v>
      </c>
      <c r="M1427" s="4">
        <v>44249</v>
      </c>
      <c r="N1427" s="3" t="s">
        <v>40</v>
      </c>
      <c r="O1427" s="3" t="s">
        <v>33</v>
      </c>
      <c r="P1427" s="3" t="str">
        <f>IF(Table1[[#This Row],[Billing Amount]]&lt;5000,"Low",IF(Table1[[#This Row],[Billing Amount]]&lt;=15000,"Medium","High"))</f>
        <v>High</v>
      </c>
      <c r="Q1427" s="3" t="str">
        <f>IF(Table1[[#This Row],[Discharge Date]]="Yes","Discharged","Under Treatment")</f>
        <v>Under Treatment</v>
      </c>
      <c r="R1427" s="3" t="str">
        <f>IF(Table1[[#This Row],[Test Results]]&gt;120,"High Risk","Normal")</f>
        <v>High Risk</v>
      </c>
      <c r="S1427" s="3" t="str">
        <f>IF(Table1[[#This Row],[Age]]&lt;=18,"0-18",IF(Table1[[#This Row],[Age]]&lt;=35,"19-35",IF(Table1[[#This Row],[Age]]&lt;=50,"36-50",IF(Table1[[#This Row],[Age]]&lt;=65,"51-65","65+"))))</f>
        <v>19-35</v>
      </c>
    </row>
    <row r="1428" spans="1:19" x14ac:dyDescent="0.3">
      <c r="A1428" s="3" t="s">
        <v>4314</v>
      </c>
      <c r="B1428" s="3">
        <v>31</v>
      </c>
      <c r="C1428" s="3" t="s">
        <v>35</v>
      </c>
      <c r="D1428" s="3" t="s">
        <v>122</v>
      </c>
      <c r="E1428" s="3" t="s">
        <v>54</v>
      </c>
      <c r="F1428" s="4">
        <v>43661</v>
      </c>
      <c r="G1428" s="3" t="s">
        <v>4315</v>
      </c>
      <c r="H1428" s="3" t="s">
        <v>4316</v>
      </c>
      <c r="I1428" s="3" t="s">
        <v>30</v>
      </c>
      <c r="J1428" s="5">
        <v>9613.6932648196307</v>
      </c>
      <c r="K1428" s="3">
        <v>184</v>
      </c>
      <c r="L1428" s="3" t="s">
        <v>31</v>
      </c>
      <c r="M1428" s="4">
        <v>43684</v>
      </c>
      <c r="N1428" s="3" t="s">
        <v>79</v>
      </c>
      <c r="O1428" s="3" t="s">
        <v>47</v>
      </c>
      <c r="P1428" s="3" t="str">
        <f>IF(Table1[[#This Row],[Billing Amount]]&lt;5000,"Low",IF(Table1[[#This Row],[Billing Amount]]&lt;=15000,"Medium","High"))</f>
        <v>Medium</v>
      </c>
      <c r="Q1428" s="3" t="str">
        <f>IF(Table1[[#This Row],[Discharge Date]]="Yes","Discharged","Under Treatment")</f>
        <v>Under Treatment</v>
      </c>
      <c r="R1428" s="3" t="str">
        <f>IF(Table1[[#This Row],[Test Results]]&gt;120,"High Risk","Normal")</f>
        <v>High Risk</v>
      </c>
      <c r="S1428" s="3" t="str">
        <f>IF(Table1[[#This Row],[Age]]&lt;=18,"0-18",IF(Table1[[#This Row],[Age]]&lt;=35,"19-35",IF(Table1[[#This Row],[Age]]&lt;=50,"36-50",IF(Table1[[#This Row],[Age]]&lt;=65,"51-65","65+"))))</f>
        <v>19-35</v>
      </c>
    </row>
    <row r="1429" spans="1:19" x14ac:dyDescent="0.3">
      <c r="A1429" s="3" t="s">
        <v>4317</v>
      </c>
      <c r="B1429" s="3">
        <v>23</v>
      </c>
      <c r="C1429" s="3" t="s">
        <v>35</v>
      </c>
      <c r="D1429" s="3" t="s">
        <v>42</v>
      </c>
      <c r="E1429" s="3" t="s">
        <v>27</v>
      </c>
      <c r="F1429" s="4">
        <v>44253</v>
      </c>
      <c r="G1429" s="3" t="s">
        <v>4318</v>
      </c>
      <c r="H1429" s="3" t="s">
        <v>4319</v>
      </c>
      <c r="I1429" s="3" t="s">
        <v>65</v>
      </c>
      <c r="J1429" s="5">
        <v>19953.038163535901</v>
      </c>
      <c r="K1429" s="3">
        <v>184</v>
      </c>
      <c r="L1429" s="3" t="s">
        <v>22</v>
      </c>
      <c r="M1429" s="4">
        <v>44279</v>
      </c>
      <c r="N1429" s="3" t="s">
        <v>40</v>
      </c>
      <c r="O1429" s="3" t="s">
        <v>33</v>
      </c>
      <c r="P1429" s="3" t="str">
        <f>IF(Table1[[#This Row],[Billing Amount]]&lt;5000,"Low",IF(Table1[[#This Row],[Billing Amount]]&lt;=15000,"Medium","High"))</f>
        <v>High</v>
      </c>
      <c r="Q1429" s="3" t="str">
        <f>IF(Table1[[#This Row],[Discharge Date]]="Yes","Discharged","Under Treatment")</f>
        <v>Under Treatment</v>
      </c>
      <c r="R1429" s="3" t="str">
        <f>IF(Table1[[#This Row],[Test Results]]&gt;120,"High Risk","Normal")</f>
        <v>High Risk</v>
      </c>
      <c r="S1429" s="3" t="str">
        <f>IF(Table1[[#This Row],[Age]]&lt;=18,"0-18",IF(Table1[[#This Row],[Age]]&lt;=35,"19-35",IF(Table1[[#This Row],[Age]]&lt;=50,"36-50",IF(Table1[[#This Row],[Age]]&lt;=65,"51-65","65+"))))</f>
        <v>19-35</v>
      </c>
    </row>
    <row r="1430" spans="1:19" x14ac:dyDescent="0.3">
      <c r="A1430" s="3" t="s">
        <v>4320</v>
      </c>
      <c r="B1430" s="3">
        <v>27</v>
      </c>
      <c r="C1430" s="3" t="s">
        <v>35</v>
      </c>
      <c r="D1430" s="3" t="s">
        <v>122</v>
      </c>
      <c r="E1430" s="3" t="s">
        <v>27</v>
      </c>
      <c r="F1430" s="4">
        <v>45217</v>
      </c>
      <c r="G1430" s="3" t="s">
        <v>4321</v>
      </c>
      <c r="H1430" s="3" t="s">
        <v>4322</v>
      </c>
      <c r="I1430" s="3" t="s">
        <v>65</v>
      </c>
      <c r="J1430" s="5">
        <v>39341.559067803799</v>
      </c>
      <c r="K1430" s="3">
        <v>497</v>
      </c>
      <c r="L1430" s="3" t="s">
        <v>22</v>
      </c>
      <c r="M1430" s="4">
        <v>45231</v>
      </c>
      <c r="N1430" s="3" t="s">
        <v>40</v>
      </c>
      <c r="O1430" s="3" t="s">
        <v>47</v>
      </c>
      <c r="P1430" s="3" t="str">
        <f>IF(Table1[[#This Row],[Billing Amount]]&lt;5000,"Low",IF(Table1[[#This Row],[Billing Amount]]&lt;=15000,"Medium","High"))</f>
        <v>High</v>
      </c>
      <c r="Q1430" s="3" t="str">
        <f>IF(Table1[[#This Row],[Discharge Date]]="Yes","Discharged","Under Treatment")</f>
        <v>Under Treatment</v>
      </c>
      <c r="R1430" s="3" t="str">
        <f>IF(Table1[[#This Row],[Test Results]]&gt;120,"High Risk","Normal")</f>
        <v>High Risk</v>
      </c>
      <c r="S1430" s="3" t="str">
        <f>IF(Table1[[#This Row],[Age]]&lt;=18,"0-18",IF(Table1[[#This Row],[Age]]&lt;=35,"19-35",IF(Table1[[#This Row],[Age]]&lt;=50,"36-50",IF(Table1[[#This Row],[Age]]&lt;=65,"51-65","65+"))))</f>
        <v>19-35</v>
      </c>
    </row>
    <row r="1431" spans="1:19" x14ac:dyDescent="0.3">
      <c r="A1431" s="3" t="s">
        <v>4323</v>
      </c>
      <c r="B1431" s="3">
        <v>38</v>
      </c>
      <c r="C1431" s="3" t="s">
        <v>35</v>
      </c>
      <c r="D1431" s="3" t="s">
        <v>36</v>
      </c>
      <c r="E1431" s="3" t="s">
        <v>54</v>
      </c>
      <c r="F1431" s="4">
        <v>43762</v>
      </c>
      <c r="G1431" s="3" t="s">
        <v>4324</v>
      </c>
      <c r="H1431" s="3" t="s">
        <v>4325</v>
      </c>
      <c r="I1431" s="3" t="s">
        <v>65</v>
      </c>
      <c r="J1431" s="5">
        <v>4577.4655193713998</v>
      </c>
      <c r="K1431" s="3">
        <v>469</v>
      </c>
      <c r="L1431" s="3" t="s">
        <v>31</v>
      </c>
      <c r="M1431" s="4">
        <v>43763</v>
      </c>
      <c r="N1431" s="3" t="s">
        <v>79</v>
      </c>
      <c r="O1431" s="3" t="s">
        <v>33</v>
      </c>
      <c r="P1431" s="3" t="str">
        <f>IF(Table1[[#This Row],[Billing Amount]]&lt;5000,"Low",IF(Table1[[#This Row],[Billing Amount]]&lt;=15000,"Medium","High"))</f>
        <v>Low</v>
      </c>
      <c r="Q1431" s="3" t="str">
        <f>IF(Table1[[#This Row],[Discharge Date]]="Yes","Discharged","Under Treatment")</f>
        <v>Under Treatment</v>
      </c>
      <c r="R1431" s="3" t="str">
        <f>IF(Table1[[#This Row],[Test Results]]&gt;120,"High Risk","Normal")</f>
        <v>High Risk</v>
      </c>
      <c r="S1431" s="3" t="str">
        <f>IF(Table1[[#This Row],[Age]]&lt;=18,"0-18",IF(Table1[[#This Row],[Age]]&lt;=35,"19-35",IF(Table1[[#This Row],[Age]]&lt;=50,"36-50",IF(Table1[[#This Row],[Age]]&lt;=65,"51-65","65+"))))</f>
        <v>36-50</v>
      </c>
    </row>
    <row r="1432" spans="1:19" x14ac:dyDescent="0.3">
      <c r="A1432" s="3" t="s">
        <v>4326</v>
      </c>
      <c r="B1432" s="3">
        <v>79</v>
      </c>
      <c r="C1432" s="3" t="s">
        <v>16</v>
      </c>
      <c r="D1432" s="3" t="s">
        <v>59</v>
      </c>
      <c r="E1432" s="3" t="s">
        <v>18</v>
      </c>
      <c r="F1432" s="4">
        <v>44422</v>
      </c>
      <c r="G1432" s="3" t="s">
        <v>4327</v>
      </c>
      <c r="H1432" s="3" t="s">
        <v>4328</v>
      </c>
      <c r="I1432" s="3" t="s">
        <v>65</v>
      </c>
      <c r="J1432" s="5">
        <v>8804.3531608244793</v>
      </c>
      <c r="K1432" s="3">
        <v>451</v>
      </c>
      <c r="L1432" s="3" t="s">
        <v>31</v>
      </c>
      <c r="M1432" s="4">
        <v>44427</v>
      </c>
      <c r="N1432" s="3" t="s">
        <v>40</v>
      </c>
      <c r="O1432" s="3" t="s">
        <v>24</v>
      </c>
      <c r="P1432" s="3" t="str">
        <f>IF(Table1[[#This Row],[Billing Amount]]&lt;5000,"Low",IF(Table1[[#This Row],[Billing Amount]]&lt;=15000,"Medium","High"))</f>
        <v>Medium</v>
      </c>
      <c r="Q1432" s="3" t="str">
        <f>IF(Table1[[#This Row],[Discharge Date]]="Yes","Discharged","Under Treatment")</f>
        <v>Under Treatment</v>
      </c>
      <c r="R1432" s="3" t="str">
        <f>IF(Table1[[#This Row],[Test Results]]&gt;120,"High Risk","Normal")</f>
        <v>High Risk</v>
      </c>
      <c r="S1432" s="3" t="str">
        <f>IF(Table1[[#This Row],[Age]]&lt;=18,"0-18",IF(Table1[[#This Row],[Age]]&lt;=35,"19-35",IF(Table1[[#This Row],[Age]]&lt;=50,"36-50",IF(Table1[[#This Row],[Age]]&lt;=65,"51-65","65+"))))</f>
        <v>65+</v>
      </c>
    </row>
    <row r="1433" spans="1:19" x14ac:dyDescent="0.3">
      <c r="A1433" s="3" t="s">
        <v>4329</v>
      </c>
      <c r="B1433" s="3">
        <v>19</v>
      </c>
      <c r="C1433" s="3" t="s">
        <v>16</v>
      </c>
      <c r="D1433" s="3" t="s">
        <v>26</v>
      </c>
      <c r="E1433" s="3" t="s">
        <v>93</v>
      </c>
      <c r="F1433" s="4">
        <v>44340</v>
      </c>
      <c r="G1433" s="3" t="s">
        <v>4330</v>
      </c>
      <c r="H1433" s="3" t="s">
        <v>4331</v>
      </c>
      <c r="I1433" s="3" t="s">
        <v>30</v>
      </c>
      <c r="J1433" s="5">
        <v>23088.4337435856</v>
      </c>
      <c r="K1433" s="3">
        <v>104</v>
      </c>
      <c r="L1433" s="3" t="s">
        <v>22</v>
      </c>
      <c r="M1433" s="4">
        <v>44347</v>
      </c>
      <c r="N1433" s="3" t="s">
        <v>40</v>
      </c>
      <c r="O1433" s="3" t="s">
        <v>24</v>
      </c>
      <c r="P1433" s="3" t="str">
        <f>IF(Table1[[#This Row],[Billing Amount]]&lt;5000,"Low",IF(Table1[[#This Row],[Billing Amount]]&lt;=15000,"Medium","High"))</f>
        <v>High</v>
      </c>
      <c r="Q1433" s="3" t="str">
        <f>IF(Table1[[#This Row],[Discharge Date]]="Yes","Discharged","Under Treatment")</f>
        <v>Under Treatment</v>
      </c>
      <c r="R1433" s="3" t="str">
        <f>IF(Table1[[#This Row],[Test Results]]&gt;120,"High Risk","Normal")</f>
        <v>High Risk</v>
      </c>
      <c r="S1433" s="3" t="str">
        <f>IF(Table1[[#This Row],[Age]]&lt;=18,"0-18",IF(Table1[[#This Row],[Age]]&lt;=35,"19-35",IF(Table1[[#This Row],[Age]]&lt;=50,"36-50",IF(Table1[[#This Row],[Age]]&lt;=65,"51-65","65+"))))</f>
        <v>19-35</v>
      </c>
    </row>
    <row r="1434" spans="1:19" x14ac:dyDescent="0.3">
      <c r="A1434" s="3" t="s">
        <v>4332</v>
      </c>
      <c r="B1434" s="3">
        <v>20</v>
      </c>
      <c r="C1434" s="3" t="s">
        <v>16</v>
      </c>
      <c r="D1434" s="3" t="s">
        <v>26</v>
      </c>
      <c r="E1434" s="3" t="s">
        <v>54</v>
      </c>
      <c r="F1434" s="4">
        <v>44466</v>
      </c>
      <c r="G1434" s="3" t="s">
        <v>4333</v>
      </c>
      <c r="H1434" s="3" t="s">
        <v>4334</v>
      </c>
      <c r="I1434" s="3" t="s">
        <v>21</v>
      </c>
      <c r="J1434" s="5">
        <v>10768.498004749899</v>
      </c>
      <c r="K1434" s="3">
        <v>112</v>
      </c>
      <c r="L1434" s="3" t="s">
        <v>31</v>
      </c>
      <c r="M1434" s="4">
        <v>44487</v>
      </c>
      <c r="N1434" s="3" t="s">
        <v>79</v>
      </c>
      <c r="O1434" s="3" t="s">
        <v>47</v>
      </c>
      <c r="P1434" s="3" t="str">
        <f>IF(Table1[[#This Row],[Billing Amount]]&lt;5000,"Low",IF(Table1[[#This Row],[Billing Amount]]&lt;=15000,"Medium","High"))</f>
        <v>Medium</v>
      </c>
      <c r="Q1434" s="3" t="str">
        <f>IF(Table1[[#This Row],[Discharge Date]]="Yes","Discharged","Under Treatment")</f>
        <v>Under Treatment</v>
      </c>
      <c r="R1434" s="3" t="str">
        <f>IF(Table1[[#This Row],[Test Results]]&gt;120,"High Risk","Normal")</f>
        <v>High Risk</v>
      </c>
      <c r="S1434" s="3" t="str">
        <f>IF(Table1[[#This Row],[Age]]&lt;=18,"0-18",IF(Table1[[#This Row],[Age]]&lt;=35,"19-35",IF(Table1[[#This Row],[Age]]&lt;=50,"36-50",IF(Table1[[#This Row],[Age]]&lt;=65,"51-65","65+"))))</f>
        <v>19-35</v>
      </c>
    </row>
    <row r="1435" spans="1:19" x14ac:dyDescent="0.3">
      <c r="A1435" s="3" t="s">
        <v>4335</v>
      </c>
      <c r="B1435" s="3">
        <v>76</v>
      </c>
      <c r="C1435" s="3" t="s">
        <v>16</v>
      </c>
      <c r="D1435" s="3" t="s">
        <v>42</v>
      </c>
      <c r="E1435" s="3" t="s">
        <v>27</v>
      </c>
      <c r="F1435" s="4">
        <v>44889</v>
      </c>
      <c r="G1435" s="3" t="s">
        <v>4336</v>
      </c>
      <c r="H1435" s="3" t="s">
        <v>370</v>
      </c>
      <c r="I1435" s="3" t="s">
        <v>57</v>
      </c>
      <c r="J1435" s="5">
        <v>49002.650662926899</v>
      </c>
      <c r="K1435" s="3">
        <v>363</v>
      </c>
      <c r="L1435" s="3" t="s">
        <v>46</v>
      </c>
      <c r="M1435" s="4">
        <v>44893</v>
      </c>
      <c r="N1435" s="3" t="s">
        <v>23</v>
      </c>
      <c r="O1435" s="3" t="s">
        <v>47</v>
      </c>
      <c r="P1435" s="3" t="str">
        <f>IF(Table1[[#This Row],[Billing Amount]]&lt;5000,"Low",IF(Table1[[#This Row],[Billing Amount]]&lt;=15000,"Medium","High"))</f>
        <v>High</v>
      </c>
      <c r="Q1435" s="3" t="str">
        <f>IF(Table1[[#This Row],[Discharge Date]]="Yes","Discharged","Under Treatment")</f>
        <v>Under Treatment</v>
      </c>
      <c r="R1435" s="3" t="str">
        <f>IF(Table1[[#This Row],[Test Results]]&gt;120,"High Risk","Normal")</f>
        <v>High Risk</v>
      </c>
      <c r="S1435" s="3" t="str">
        <f>IF(Table1[[#This Row],[Age]]&lt;=18,"0-18",IF(Table1[[#This Row],[Age]]&lt;=35,"19-35",IF(Table1[[#This Row],[Age]]&lt;=50,"36-50",IF(Table1[[#This Row],[Age]]&lt;=65,"51-65","65+"))))</f>
        <v>65+</v>
      </c>
    </row>
    <row r="1436" spans="1:19" x14ac:dyDescent="0.3">
      <c r="A1436" s="3" t="s">
        <v>4337</v>
      </c>
      <c r="B1436" s="3">
        <v>30</v>
      </c>
      <c r="C1436" s="3" t="s">
        <v>16</v>
      </c>
      <c r="D1436" s="3" t="s">
        <v>122</v>
      </c>
      <c r="E1436" s="3" t="s">
        <v>18</v>
      </c>
      <c r="F1436" s="4">
        <v>43990</v>
      </c>
      <c r="G1436" s="3" t="s">
        <v>4338</v>
      </c>
      <c r="H1436" s="3" t="s">
        <v>4339</v>
      </c>
      <c r="I1436" s="3" t="s">
        <v>39</v>
      </c>
      <c r="J1436" s="5">
        <v>31326.187642242599</v>
      </c>
      <c r="K1436" s="3">
        <v>264</v>
      </c>
      <c r="L1436" s="3" t="s">
        <v>22</v>
      </c>
      <c r="M1436" s="4">
        <v>44002</v>
      </c>
      <c r="N1436" s="3" t="s">
        <v>23</v>
      </c>
      <c r="O1436" s="3" t="s">
        <v>33</v>
      </c>
      <c r="P1436" s="3" t="str">
        <f>IF(Table1[[#This Row],[Billing Amount]]&lt;5000,"Low",IF(Table1[[#This Row],[Billing Amount]]&lt;=15000,"Medium","High"))</f>
        <v>High</v>
      </c>
      <c r="Q1436" s="3" t="str">
        <f>IF(Table1[[#This Row],[Discharge Date]]="Yes","Discharged","Under Treatment")</f>
        <v>Under Treatment</v>
      </c>
      <c r="R1436" s="3" t="str">
        <f>IF(Table1[[#This Row],[Test Results]]&gt;120,"High Risk","Normal")</f>
        <v>High Risk</v>
      </c>
      <c r="S1436" s="3" t="str">
        <f>IF(Table1[[#This Row],[Age]]&lt;=18,"0-18",IF(Table1[[#This Row],[Age]]&lt;=35,"19-35",IF(Table1[[#This Row],[Age]]&lt;=50,"36-50",IF(Table1[[#This Row],[Age]]&lt;=65,"51-65","65+"))))</f>
        <v>19-35</v>
      </c>
    </row>
    <row r="1437" spans="1:19" x14ac:dyDescent="0.3">
      <c r="A1437" s="3" t="s">
        <v>4340</v>
      </c>
      <c r="B1437" s="3">
        <v>72</v>
      </c>
      <c r="C1437" s="3" t="s">
        <v>35</v>
      </c>
      <c r="D1437" s="3" t="s">
        <v>42</v>
      </c>
      <c r="E1437" s="3" t="s">
        <v>54</v>
      </c>
      <c r="F1437" s="4">
        <v>44305</v>
      </c>
      <c r="G1437" s="3" t="s">
        <v>4341</v>
      </c>
      <c r="H1437" s="3" t="s">
        <v>4342</v>
      </c>
      <c r="I1437" s="3" t="s">
        <v>21</v>
      </c>
      <c r="J1437" s="5">
        <v>47798.145801527098</v>
      </c>
      <c r="K1437" s="3">
        <v>210</v>
      </c>
      <c r="L1437" s="3" t="s">
        <v>31</v>
      </c>
      <c r="M1437" s="4">
        <v>44329</v>
      </c>
      <c r="N1437" s="3" t="s">
        <v>23</v>
      </c>
      <c r="O1437" s="3" t="s">
        <v>24</v>
      </c>
      <c r="P1437" s="3" t="str">
        <f>IF(Table1[[#This Row],[Billing Amount]]&lt;5000,"Low",IF(Table1[[#This Row],[Billing Amount]]&lt;=15000,"Medium","High"))</f>
        <v>High</v>
      </c>
      <c r="Q1437" s="3" t="str">
        <f>IF(Table1[[#This Row],[Discharge Date]]="Yes","Discharged","Under Treatment")</f>
        <v>Under Treatment</v>
      </c>
      <c r="R1437" s="3" t="str">
        <f>IF(Table1[[#This Row],[Test Results]]&gt;120,"High Risk","Normal")</f>
        <v>High Risk</v>
      </c>
      <c r="S1437" s="3" t="str">
        <f>IF(Table1[[#This Row],[Age]]&lt;=18,"0-18",IF(Table1[[#This Row],[Age]]&lt;=35,"19-35",IF(Table1[[#This Row],[Age]]&lt;=50,"36-50",IF(Table1[[#This Row],[Age]]&lt;=65,"51-65","65+"))))</f>
        <v>65+</v>
      </c>
    </row>
    <row r="1438" spans="1:19" x14ac:dyDescent="0.3">
      <c r="A1438" s="3" t="s">
        <v>4343</v>
      </c>
      <c r="B1438" s="3">
        <v>30</v>
      </c>
      <c r="C1438" s="3" t="s">
        <v>16</v>
      </c>
      <c r="D1438" s="3" t="s">
        <v>103</v>
      </c>
      <c r="E1438" s="3" t="s">
        <v>27</v>
      </c>
      <c r="F1438" s="4">
        <v>45072</v>
      </c>
      <c r="G1438" s="3" t="s">
        <v>4344</v>
      </c>
      <c r="H1438" s="3" t="s">
        <v>4345</v>
      </c>
      <c r="I1438" s="3" t="s">
        <v>39</v>
      </c>
      <c r="J1438" s="5">
        <v>26176.0891095857</v>
      </c>
      <c r="K1438" s="3">
        <v>328</v>
      </c>
      <c r="L1438" s="3" t="s">
        <v>22</v>
      </c>
      <c r="M1438" s="4">
        <v>45078</v>
      </c>
      <c r="N1438" s="3" t="s">
        <v>23</v>
      </c>
      <c r="O1438" s="3" t="s">
        <v>47</v>
      </c>
      <c r="P1438" s="3" t="str">
        <f>IF(Table1[[#This Row],[Billing Amount]]&lt;5000,"Low",IF(Table1[[#This Row],[Billing Amount]]&lt;=15000,"Medium","High"))</f>
        <v>High</v>
      </c>
      <c r="Q1438" s="3" t="str">
        <f>IF(Table1[[#This Row],[Discharge Date]]="Yes","Discharged","Under Treatment")</f>
        <v>Under Treatment</v>
      </c>
      <c r="R1438" s="3" t="str">
        <f>IF(Table1[[#This Row],[Test Results]]&gt;120,"High Risk","Normal")</f>
        <v>High Risk</v>
      </c>
      <c r="S1438" s="3" t="str">
        <f>IF(Table1[[#This Row],[Age]]&lt;=18,"0-18",IF(Table1[[#This Row],[Age]]&lt;=35,"19-35",IF(Table1[[#This Row],[Age]]&lt;=50,"36-50",IF(Table1[[#This Row],[Age]]&lt;=65,"51-65","65+"))))</f>
        <v>19-35</v>
      </c>
    </row>
    <row r="1439" spans="1:19" x14ac:dyDescent="0.3">
      <c r="A1439" s="3" t="s">
        <v>4346</v>
      </c>
      <c r="B1439" s="3">
        <v>39</v>
      </c>
      <c r="C1439" s="3" t="s">
        <v>35</v>
      </c>
      <c r="D1439" s="3" t="s">
        <v>49</v>
      </c>
      <c r="E1439" s="3" t="s">
        <v>54</v>
      </c>
      <c r="F1439" s="4">
        <v>45187</v>
      </c>
      <c r="G1439" s="3" t="s">
        <v>4347</v>
      </c>
      <c r="H1439" s="3" t="s">
        <v>4348</v>
      </c>
      <c r="I1439" s="3" t="s">
        <v>65</v>
      </c>
      <c r="J1439" s="5">
        <v>16436.789131713202</v>
      </c>
      <c r="K1439" s="3">
        <v>499</v>
      </c>
      <c r="L1439" s="3" t="s">
        <v>46</v>
      </c>
      <c r="M1439" s="4">
        <v>45193</v>
      </c>
      <c r="N1439" s="3" t="s">
        <v>23</v>
      </c>
      <c r="O1439" s="3" t="s">
        <v>24</v>
      </c>
      <c r="P1439" s="3" t="str">
        <f>IF(Table1[[#This Row],[Billing Amount]]&lt;5000,"Low",IF(Table1[[#This Row],[Billing Amount]]&lt;=15000,"Medium","High"))</f>
        <v>High</v>
      </c>
      <c r="Q1439" s="3" t="str">
        <f>IF(Table1[[#This Row],[Discharge Date]]="Yes","Discharged","Under Treatment")</f>
        <v>Under Treatment</v>
      </c>
      <c r="R1439" s="3" t="str">
        <f>IF(Table1[[#This Row],[Test Results]]&gt;120,"High Risk","Normal")</f>
        <v>High Risk</v>
      </c>
      <c r="S1439" s="3" t="str">
        <f>IF(Table1[[#This Row],[Age]]&lt;=18,"0-18",IF(Table1[[#This Row],[Age]]&lt;=35,"19-35",IF(Table1[[#This Row],[Age]]&lt;=50,"36-50",IF(Table1[[#This Row],[Age]]&lt;=65,"51-65","65+"))))</f>
        <v>36-50</v>
      </c>
    </row>
    <row r="1440" spans="1:19" x14ac:dyDescent="0.3">
      <c r="A1440" s="3" t="s">
        <v>4349</v>
      </c>
      <c r="B1440" s="3">
        <v>21</v>
      </c>
      <c r="C1440" s="3" t="s">
        <v>35</v>
      </c>
      <c r="D1440" s="3" t="s">
        <v>59</v>
      </c>
      <c r="E1440" s="3" t="s">
        <v>18</v>
      </c>
      <c r="F1440" s="4">
        <v>43767</v>
      </c>
      <c r="G1440" s="3" t="s">
        <v>4350</v>
      </c>
      <c r="H1440" s="3" t="s">
        <v>4351</v>
      </c>
      <c r="I1440" s="3" t="s">
        <v>57</v>
      </c>
      <c r="J1440" s="5">
        <v>22266.813529937499</v>
      </c>
      <c r="K1440" s="3">
        <v>218</v>
      </c>
      <c r="L1440" s="3" t="s">
        <v>31</v>
      </c>
      <c r="M1440" s="4">
        <v>43795</v>
      </c>
      <c r="N1440" s="3" t="s">
        <v>52</v>
      </c>
      <c r="O1440" s="3" t="s">
        <v>24</v>
      </c>
      <c r="P1440" s="3" t="str">
        <f>IF(Table1[[#This Row],[Billing Amount]]&lt;5000,"Low",IF(Table1[[#This Row],[Billing Amount]]&lt;=15000,"Medium","High"))</f>
        <v>High</v>
      </c>
      <c r="Q1440" s="3" t="str">
        <f>IF(Table1[[#This Row],[Discharge Date]]="Yes","Discharged","Under Treatment")</f>
        <v>Under Treatment</v>
      </c>
      <c r="R1440" s="3" t="str">
        <f>IF(Table1[[#This Row],[Test Results]]&gt;120,"High Risk","Normal")</f>
        <v>High Risk</v>
      </c>
      <c r="S1440" s="3" t="str">
        <f>IF(Table1[[#This Row],[Age]]&lt;=18,"0-18",IF(Table1[[#This Row],[Age]]&lt;=35,"19-35",IF(Table1[[#This Row],[Age]]&lt;=50,"36-50",IF(Table1[[#This Row],[Age]]&lt;=65,"51-65","65+"))))</f>
        <v>19-35</v>
      </c>
    </row>
    <row r="1441" spans="1:19" x14ac:dyDescent="0.3">
      <c r="A1441" s="3" t="s">
        <v>4352</v>
      </c>
      <c r="B1441" s="3">
        <v>22</v>
      </c>
      <c r="C1441" s="3" t="s">
        <v>16</v>
      </c>
      <c r="D1441" s="3" t="s">
        <v>26</v>
      </c>
      <c r="E1441" s="3" t="s">
        <v>27</v>
      </c>
      <c r="F1441" s="4">
        <v>44970</v>
      </c>
      <c r="G1441" s="3" t="s">
        <v>4353</v>
      </c>
      <c r="H1441" s="3" t="s">
        <v>4354</v>
      </c>
      <c r="I1441" s="3" t="s">
        <v>57</v>
      </c>
      <c r="J1441" s="5">
        <v>23900.295114571301</v>
      </c>
      <c r="K1441" s="3">
        <v>209</v>
      </c>
      <c r="L1441" s="3" t="s">
        <v>46</v>
      </c>
      <c r="M1441" s="4">
        <v>44980</v>
      </c>
      <c r="N1441" s="3" t="s">
        <v>32</v>
      </c>
      <c r="O1441" s="3" t="s">
        <v>33</v>
      </c>
      <c r="P1441" s="3" t="str">
        <f>IF(Table1[[#This Row],[Billing Amount]]&lt;5000,"Low",IF(Table1[[#This Row],[Billing Amount]]&lt;=15000,"Medium","High"))</f>
        <v>High</v>
      </c>
      <c r="Q1441" s="3" t="str">
        <f>IF(Table1[[#This Row],[Discharge Date]]="Yes","Discharged","Under Treatment")</f>
        <v>Under Treatment</v>
      </c>
      <c r="R1441" s="3" t="str">
        <f>IF(Table1[[#This Row],[Test Results]]&gt;120,"High Risk","Normal")</f>
        <v>High Risk</v>
      </c>
      <c r="S1441" s="3" t="str">
        <f>IF(Table1[[#This Row],[Age]]&lt;=18,"0-18",IF(Table1[[#This Row],[Age]]&lt;=35,"19-35",IF(Table1[[#This Row],[Age]]&lt;=50,"36-50",IF(Table1[[#This Row],[Age]]&lt;=65,"51-65","65+"))))</f>
        <v>19-35</v>
      </c>
    </row>
    <row r="1442" spans="1:19" x14ac:dyDescent="0.3">
      <c r="A1442" s="3" t="s">
        <v>4355</v>
      </c>
      <c r="B1442" s="3">
        <v>85</v>
      </c>
      <c r="C1442" s="3" t="s">
        <v>35</v>
      </c>
      <c r="D1442" s="3" t="s">
        <v>103</v>
      </c>
      <c r="E1442" s="3" t="s">
        <v>18</v>
      </c>
      <c r="F1442" s="4">
        <v>45264</v>
      </c>
      <c r="G1442" s="3" t="s">
        <v>4356</v>
      </c>
      <c r="H1442" s="3" t="s">
        <v>4357</v>
      </c>
      <c r="I1442" s="3" t="s">
        <v>21</v>
      </c>
      <c r="J1442" s="5">
        <v>48833.259052875597</v>
      </c>
      <c r="K1442" s="3">
        <v>455</v>
      </c>
      <c r="L1442" s="3" t="s">
        <v>22</v>
      </c>
      <c r="M1442" s="4">
        <v>45288</v>
      </c>
      <c r="N1442" s="3" t="s">
        <v>79</v>
      </c>
      <c r="O1442" s="3" t="s">
        <v>47</v>
      </c>
      <c r="P1442" s="3" t="str">
        <f>IF(Table1[[#This Row],[Billing Amount]]&lt;5000,"Low",IF(Table1[[#This Row],[Billing Amount]]&lt;=15000,"Medium","High"))</f>
        <v>High</v>
      </c>
      <c r="Q1442" s="3" t="str">
        <f>IF(Table1[[#This Row],[Discharge Date]]="Yes","Discharged","Under Treatment")</f>
        <v>Under Treatment</v>
      </c>
      <c r="R1442" s="3" t="str">
        <f>IF(Table1[[#This Row],[Test Results]]&gt;120,"High Risk","Normal")</f>
        <v>High Risk</v>
      </c>
      <c r="S1442" s="3" t="str">
        <f>IF(Table1[[#This Row],[Age]]&lt;=18,"0-18",IF(Table1[[#This Row],[Age]]&lt;=35,"19-35",IF(Table1[[#This Row],[Age]]&lt;=50,"36-50",IF(Table1[[#This Row],[Age]]&lt;=65,"51-65","65+"))))</f>
        <v>65+</v>
      </c>
    </row>
    <row r="1443" spans="1:19" x14ac:dyDescent="0.3">
      <c r="A1443" s="3" t="s">
        <v>4358</v>
      </c>
      <c r="B1443" s="3">
        <v>62</v>
      </c>
      <c r="C1443" s="3" t="s">
        <v>35</v>
      </c>
      <c r="D1443" s="3" t="s">
        <v>36</v>
      </c>
      <c r="E1443" s="3" t="s">
        <v>76</v>
      </c>
      <c r="F1443" s="4">
        <v>44978</v>
      </c>
      <c r="G1443" s="3" t="s">
        <v>4359</v>
      </c>
      <c r="H1443" s="3" t="s">
        <v>4360</v>
      </c>
      <c r="I1443" s="3" t="s">
        <v>57</v>
      </c>
      <c r="J1443" s="5">
        <v>31804.4920704777</v>
      </c>
      <c r="K1443" s="3">
        <v>116</v>
      </c>
      <c r="L1443" s="3" t="s">
        <v>22</v>
      </c>
      <c r="M1443" s="4">
        <v>44987</v>
      </c>
      <c r="N1443" s="3" t="s">
        <v>32</v>
      </c>
      <c r="O1443" s="3" t="s">
        <v>33</v>
      </c>
      <c r="P1443" s="3" t="str">
        <f>IF(Table1[[#This Row],[Billing Amount]]&lt;5000,"Low",IF(Table1[[#This Row],[Billing Amount]]&lt;=15000,"Medium","High"))</f>
        <v>High</v>
      </c>
      <c r="Q1443" s="3" t="str">
        <f>IF(Table1[[#This Row],[Discharge Date]]="Yes","Discharged","Under Treatment")</f>
        <v>Under Treatment</v>
      </c>
      <c r="R1443" s="3" t="str">
        <f>IF(Table1[[#This Row],[Test Results]]&gt;120,"High Risk","Normal")</f>
        <v>High Risk</v>
      </c>
      <c r="S1443" s="3" t="str">
        <f>IF(Table1[[#This Row],[Age]]&lt;=18,"0-18",IF(Table1[[#This Row],[Age]]&lt;=35,"19-35",IF(Table1[[#This Row],[Age]]&lt;=50,"36-50",IF(Table1[[#This Row],[Age]]&lt;=65,"51-65","65+"))))</f>
        <v>51-65</v>
      </c>
    </row>
    <row r="1444" spans="1:19" x14ac:dyDescent="0.3">
      <c r="A1444" s="3" t="s">
        <v>4361</v>
      </c>
      <c r="B1444" s="3">
        <v>71</v>
      </c>
      <c r="C1444" s="3" t="s">
        <v>16</v>
      </c>
      <c r="D1444" s="3" t="s">
        <v>59</v>
      </c>
      <c r="E1444" s="3" t="s">
        <v>27</v>
      </c>
      <c r="F1444" s="4">
        <v>43972</v>
      </c>
      <c r="G1444" s="3" t="s">
        <v>4362</v>
      </c>
      <c r="H1444" s="3" t="s">
        <v>4363</v>
      </c>
      <c r="I1444" s="3" t="s">
        <v>57</v>
      </c>
      <c r="J1444" s="5">
        <v>13030.3139252581</v>
      </c>
      <c r="K1444" s="3">
        <v>263</v>
      </c>
      <c r="L1444" s="3" t="s">
        <v>31</v>
      </c>
      <c r="M1444" s="4">
        <v>43975</v>
      </c>
      <c r="N1444" s="3" t="s">
        <v>23</v>
      </c>
      <c r="O1444" s="3" t="s">
        <v>24</v>
      </c>
      <c r="P1444" s="3" t="str">
        <f>IF(Table1[[#This Row],[Billing Amount]]&lt;5000,"Low",IF(Table1[[#This Row],[Billing Amount]]&lt;=15000,"Medium","High"))</f>
        <v>Medium</v>
      </c>
      <c r="Q1444" s="3" t="str">
        <f>IF(Table1[[#This Row],[Discharge Date]]="Yes","Discharged","Under Treatment")</f>
        <v>Under Treatment</v>
      </c>
      <c r="R1444" s="3" t="str">
        <f>IF(Table1[[#This Row],[Test Results]]&gt;120,"High Risk","Normal")</f>
        <v>High Risk</v>
      </c>
      <c r="S1444" s="3" t="str">
        <f>IF(Table1[[#This Row],[Age]]&lt;=18,"0-18",IF(Table1[[#This Row],[Age]]&lt;=35,"19-35",IF(Table1[[#This Row],[Age]]&lt;=50,"36-50",IF(Table1[[#This Row],[Age]]&lt;=65,"51-65","65+"))))</f>
        <v>65+</v>
      </c>
    </row>
    <row r="1445" spans="1:19" x14ac:dyDescent="0.3">
      <c r="A1445" s="3" t="s">
        <v>4364</v>
      </c>
      <c r="B1445" s="3">
        <v>37</v>
      </c>
      <c r="C1445" s="3" t="s">
        <v>35</v>
      </c>
      <c r="D1445" s="3" t="s">
        <v>49</v>
      </c>
      <c r="E1445" s="3" t="s">
        <v>43</v>
      </c>
      <c r="F1445" s="4">
        <v>45115</v>
      </c>
      <c r="G1445" s="3" t="s">
        <v>4365</v>
      </c>
      <c r="H1445" s="3" t="s">
        <v>4366</v>
      </c>
      <c r="I1445" s="3" t="s">
        <v>39</v>
      </c>
      <c r="J1445" s="5">
        <v>20521.538114102299</v>
      </c>
      <c r="K1445" s="3">
        <v>327</v>
      </c>
      <c r="L1445" s="3" t="s">
        <v>22</v>
      </c>
      <c r="M1445" s="4">
        <v>45124</v>
      </c>
      <c r="N1445" s="3" t="s">
        <v>23</v>
      </c>
      <c r="O1445" s="3" t="s">
        <v>47</v>
      </c>
      <c r="P1445" s="3" t="str">
        <f>IF(Table1[[#This Row],[Billing Amount]]&lt;5000,"Low",IF(Table1[[#This Row],[Billing Amount]]&lt;=15000,"Medium","High"))</f>
        <v>High</v>
      </c>
      <c r="Q1445" s="3" t="str">
        <f>IF(Table1[[#This Row],[Discharge Date]]="Yes","Discharged","Under Treatment")</f>
        <v>Under Treatment</v>
      </c>
      <c r="R1445" s="3" t="str">
        <f>IF(Table1[[#This Row],[Test Results]]&gt;120,"High Risk","Normal")</f>
        <v>High Risk</v>
      </c>
      <c r="S1445" s="3" t="str">
        <f>IF(Table1[[#This Row],[Age]]&lt;=18,"0-18",IF(Table1[[#This Row],[Age]]&lt;=35,"19-35",IF(Table1[[#This Row],[Age]]&lt;=50,"36-50",IF(Table1[[#This Row],[Age]]&lt;=65,"51-65","65+"))))</f>
        <v>36-50</v>
      </c>
    </row>
    <row r="1446" spans="1:19" x14ac:dyDescent="0.3">
      <c r="A1446" s="3" t="s">
        <v>4367</v>
      </c>
      <c r="B1446" s="3">
        <v>38</v>
      </c>
      <c r="C1446" s="3" t="s">
        <v>16</v>
      </c>
      <c r="D1446" s="3" t="s">
        <v>17</v>
      </c>
      <c r="E1446" s="3" t="s">
        <v>93</v>
      </c>
      <c r="F1446" s="4">
        <v>43896</v>
      </c>
      <c r="G1446" s="3" t="s">
        <v>4368</v>
      </c>
      <c r="H1446" s="3" t="s">
        <v>4369</v>
      </c>
      <c r="I1446" s="3" t="s">
        <v>21</v>
      </c>
      <c r="J1446" s="5">
        <v>26255.9226979083</v>
      </c>
      <c r="K1446" s="3">
        <v>352</v>
      </c>
      <c r="L1446" s="3" t="s">
        <v>22</v>
      </c>
      <c r="M1446" s="4">
        <v>43915</v>
      </c>
      <c r="N1446" s="3" t="s">
        <v>79</v>
      </c>
      <c r="O1446" s="3" t="s">
        <v>47</v>
      </c>
      <c r="P1446" s="3" t="str">
        <f>IF(Table1[[#This Row],[Billing Amount]]&lt;5000,"Low",IF(Table1[[#This Row],[Billing Amount]]&lt;=15000,"Medium","High"))</f>
        <v>High</v>
      </c>
      <c r="Q1446" s="3" t="str">
        <f>IF(Table1[[#This Row],[Discharge Date]]="Yes","Discharged","Under Treatment")</f>
        <v>Under Treatment</v>
      </c>
      <c r="R1446" s="3" t="str">
        <f>IF(Table1[[#This Row],[Test Results]]&gt;120,"High Risk","Normal")</f>
        <v>High Risk</v>
      </c>
      <c r="S1446" s="3" t="str">
        <f>IF(Table1[[#This Row],[Age]]&lt;=18,"0-18",IF(Table1[[#This Row],[Age]]&lt;=35,"19-35",IF(Table1[[#This Row],[Age]]&lt;=50,"36-50",IF(Table1[[#This Row],[Age]]&lt;=65,"51-65","65+"))))</f>
        <v>36-50</v>
      </c>
    </row>
    <row r="1447" spans="1:19" x14ac:dyDescent="0.3">
      <c r="A1447" s="3" t="s">
        <v>4370</v>
      </c>
      <c r="B1447" s="3">
        <v>26</v>
      </c>
      <c r="C1447" s="3" t="s">
        <v>35</v>
      </c>
      <c r="D1447" s="3" t="s">
        <v>49</v>
      </c>
      <c r="E1447" s="3" t="s">
        <v>93</v>
      </c>
      <c r="F1447" s="4">
        <v>45226</v>
      </c>
      <c r="G1447" s="3" t="s">
        <v>4371</v>
      </c>
      <c r="H1447" s="3" t="s">
        <v>4372</v>
      </c>
      <c r="I1447" s="3" t="s">
        <v>39</v>
      </c>
      <c r="J1447" s="5">
        <v>44653.289981836802</v>
      </c>
      <c r="K1447" s="3">
        <v>491</v>
      </c>
      <c r="L1447" s="3" t="s">
        <v>22</v>
      </c>
      <c r="M1447" s="4">
        <v>45228</v>
      </c>
      <c r="N1447" s="3" t="s">
        <v>40</v>
      </c>
      <c r="O1447" s="3" t="s">
        <v>33</v>
      </c>
      <c r="P1447" s="3" t="str">
        <f>IF(Table1[[#This Row],[Billing Amount]]&lt;5000,"Low",IF(Table1[[#This Row],[Billing Amount]]&lt;=15000,"Medium","High"))</f>
        <v>High</v>
      </c>
      <c r="Q1447" s="3" t="str">
        <f>IF(Table1[[#This Row],[Discharge Date]]="Yes","Discharged","Under Treatment")</f>
        <v>Under Treatment</v>
      </c>
      <c r="R1447" s="3" t="str">
        <f>IF(Table1[[#This Row],[Test Results]]&gt;120,"High Risk","Normal")</f>
        <v>High Risk</v>
      </c>
      <c r="S1447" s="3" t="str">
        <f>IF(Table1[[#This Row],[Age]]&lt;=18,"0-18",IF(Table1[[#This Row],[Age]]&lt;=35,"19-35",IF(Table1[[#This Row],[Age]]&lt;=50,"36-50",IF(Table1[[#This Row],[Age]]&lt;=65,"51-65","65+"))))</f>
        <v>19-35</v>
      </c>
    </row>
    <row r="1448" spans="1:19" x14ac:dyDescent="0.3">
      <c r="A1448" s="3" t="s">
        <v>4373</v>
      </c>
      <c r="B1448" s="3">
        <v>80</v>
      </c>
      <c r="C1448" s="3" t="s">
        <v>35</v>
      </c>
      <c r="D1448" s="3" t="s">
        <v>122</v>
      </c>
      <c r="E1448" s="3" t="s">
        <v>43</v>
      </c>
      <c r="F1448" s="4">
        <v>44085</v>
      </c>
      <c r="G1448" s="3" t="s">
        <v>4374</v>
      </c>
      <c r="H1448" s="3" t="s">
        <v>4375</v>
      </c>
      <c r="I1448" s="3" t="s">
        <v>30</v>
      </c>
      <c r="J1448" s="5">
        <v>14517.128784512201</v>
      </c>
      <c r="K1448" s="3">
        <v>234</v>
      </c>
      <c r="L1448" s="3" t="s">
        <v>31</v>
      </c>
      <c r="M1448" s="4">
        <v>44102</v>
      </c>
      <c r="N1448" s="3" t="s">
        <v>40</v>
      </c>
      <c r="O1448" s="3" t="s">
        <v>24</v>
      </c>
      <c r="P1448" s="3" t="str">
        <f>IF(Table1[[#This Row],[Billing Amount]]&lt;5000,"Low",IF(Table1[[#This Row],[Billing Amount]]&lt;=15000,"Medium","High"))</f>
        <v>Medium</v>
      </c>
      <c r="Q1448" s="3" t="str">
        <f>IF(Table1[[#This Row],[Discharge Date]]="Yes","Discharged","Under Treatment")</f>
        <v>Under Treatment</v>
      </c>
      <c r="R1448" s="3" t="str">
        <f>IF(Table1[[#This Row],[Test Results]]&gt;120,"High Risk","Normal")</f>
        <v>High Risk</v>
      </c>
      <c r="S1448" s="3" t="str">
        <f>IF(Table1[[#This Row],[Age]]&lt;=18,"0-18",IF(Table1[[#This Row],[Age]]&lt;=35,"19-35",IF(Table1[[#This Row],[Age]]&lt;=50,"36-50",IF(Table1[[#This Row],[Age]]&lt;=65,"51-65","65+"))))</f>
        <v>65+</v>
      </c>
    </row>
    <row r="1449" spans="1:19" x14ac:dyDescent="0.3">
      <c r="A1449" s="3" t="s">
        <v>4376</v>
      </c>
      <c r="B1449" s="3">
        <v>77</v>
      </c>
      <c r="C1449" s="3" t="s">
        <v>16</v>
      </c>
      <c r="D1449" s="3" t="s">
        <v>26</v>
      </c>
      <c r="E1449" s="3" t="s">
        <v>93</v>
      </c>
      <c r="F1449" s="4">
        <v>43840</v>
      </c>
      <c r="G1449" s="3" t="s">
        <v>4377</v>
      </c>
      <c r="H1449" s="3" t="s">
        <v>4378</v>
      </c>
      <c r="I1449" s="3" t="s">
        <v>39</v>
      </c>
      <c r="J1449" s="5">
        <v>37524.957267661899</v>
      </c>
      <c r="K1449" s="3">
        <v>303</v>
      </c>
      <c r="L1449" s="3" t="s">
        <v>22</v>
      </c>
      <c r="M1449" s="4">
        <v>43843</v>
      </c>
      <c r="N1449" s="3" t="s">
        <v>23</v>
      </c>
      <c r="O1449" s="3" t="s">
        <v>33</v>
      </c>
      <c r="P1449" s="3" t="str">
        <f>IF(Table1[[#This Row],[Billing Amount]]&lt;5000,"Low",IF(Table1[[#This Row],[Billing Amount]]&lt;=15000,"Medium","High"))</f>
        <v>High</v>
      </c>
      <c r="Q1449" s="3" t="str">
        <f>IF(Table1[[#This Row],[Discharge Date]]="Yes","Discharged","Under Treatment")</f>
        <v>Under Treatment</v>
      </c>
      <c r="R1449" s="3" t="str">
        <f>IF(Table1[[#This Row],[Test Results]]&gt;120,"High Risk","Normal")</f>
        <v>High Risk</v>
      </c>
      <c r="S1449" s="3" t="str">
        <f>IF(Table1[[#This Row],[Age]]&lt;=18,"0-18",IF(Table1[[#This Row],[Age]]&lt;=35,"19-35",IF(Table1[[#This Row],[Age]]&lt;=50,"36-50",IF(Table1[[#This Row],[Age]]&lt;=65,"51-65","65+"))))</f>
        <v>65+</v>
      </c>
    </row>
    <row r="1450" spans="1:19" x14ac:dyDescent="0.3">
      <c r="A1450" s="3" t="s">
        <v>4379</v>
      </c>
      <c r="B1450" s="3">
        <v>49</v>
      </c>
      <c r="C1450" s="3" t="s">
        <v>16</v>
      </c>
      <c r="D1450" s="3" t="s">
        <v>36</v>
      </c>
      <c r="E1450" s="3" t="s">
        <v>43</v>
      </c>
      <c r="F1450" s="4">
        <v>44756</v>
      </c>
      <c r="G1450" s="3" t="s">
        <v>4380</v>
      </c>
      <c r="H1450" s="3" t="s">
        <v>4381</v>
      </c>
      <c r="I1450" s="3" t="s">
        <v>39</v>
      </c>
      <c r="J1450" s="5">
        <v>25462.7131433916</v>
      </c>
      <c r="K1450" s="3">
        <v>394</v>
      </c>
      <c r="L1450" s="3" t="s">
        <v>46</v>
      </c>
      <c r="M1450" s="4">
        <v>44762</v>
      </c>
      <c r="N1450" s="3" t="s">
        <v>40</v>
      </c>
      <c r="O1450" s="3" t="s">
        <v>24</v>
      </c>
      <c r="P1450" s="3" t="str">
        <f>IF(Table1[[#This Row],[Billing Amount]]&lt;5000,"Low",IF(Table1[[#This Row],[Billing Amount]]&lt;=15000,"Medium","High"))</f>
        <v>High</v>
      </c>
      <c r="Q1450" s="3" t="str">
        <f>IF(Table1[[#This Row],[Discharge Date]]="Yes","Discharged","Under Treatment")</f>
        <v>Under Treatment</v>
      </c>
      <c r="R1450" s="3" t="str">
        <f>IF(Table1[[#This Row],[Test Results]]&gt;120,"High Risk","Normal")</f>
        <v>High Risk</v>
      </c>
      <c r="S1450" s="3" t="str">
        <f>IF(Table1[[#This Row],[Age]]&lt;=18,"0-18",IF(Table1[[#This Row],[Age]]&lt;=35,"19-35",IF(Table1[[#This Row],[Age]]&lt;=50,"36-50",IF(Table1[[#This Row],[Age]]&lt;=65,"51-65","65+"))))</f>
        <v>36-50</v>
      </c>
    </row>
    <row r="1451" spans="1:19" x14ac:dyDescent="0.3">
      <c r="A1451" s="3" t="s">
        <v>4382</v>
      </c>
      <c r="B1451" s="3">
        <v>52</v>
      </c>
      <c r="C1451" s="3" t="s">
        <v>35</v>
      </c>
      <c r="D1451" s="3" t="s">
        <v>36</v>
      </c>
      <c r="E1451" s="3" t="s">
        <v>76</v>
      </c>
      <c r="F1451" s="4">
        <v>45333</v>
      </c>
      <c r="G1451" s="3" t="s">
        <v>4383</v>
      </c>
      <c r="H1451" s="3" t="s">
        <v>4384</v>
      </c>
      <c r="I1451" s="3" t="s">
        <v>57</v>
      </c>
      <c r="J1451" s="5">
        <v>8201.6426818540695</v>
      </c>
      <c r="K1451" s="3">
        <v>208</v>
      </c>
      <c r="L1451" s="3" t="s">
        <v>46</v>
      </c>
      <c r="M1451" s="4">
        <v>45338</v>
      </c>
      <c r="N1451" s="3" t="s">
        <v>40</v>
      </c>
      <c r="O1451" s="3" t="s">
        <v>24</v>
      </c>
      <c r="P1451" s="3" t="str">
        <f>IF(Table1[[#This Row],[Billing Amount]]&lt;5000,"Low",IF(Table1[[#This Row],[Billing Amount]]&lt;=15000,"Medium","High"))</f>
        <v>Medium</v>
      </c>
      <c r="Q1451" s="3" t="str">
        <f>IF(Table1[[#This Row],[Discharge Date]]="Yes","Discharged","Under Treatment")</f>
        <v>Under Treatment</v>
      </c>
      <c r="R1451" s="3" t="str">
        <f>IF(Table1[[#This Row],[Test Results]]&gt;120,"High Risk","Normal")</f>
        <v>High Risk</v>
      </c>
      <c r="S1451" s="3" t="str">
        <f>IF(Table1[[#This Row],[Age]]&lt;=18,"0-18",IF(Table1[[#This Row],[Age]]&lt;=35,"19-35",IF(Table1[[#This Row],[Age]]&lt;=50,"36-50",IF(Table1[[#This Row],[Age]]&lt;=65,"51-65","65+"))))</f>
        <v>51-65</v>
      </c>
    </row>
    <row r="1452" spans="1:19" x14ac:dyDescent="0.3">
      <c r="A1452" s="3" t="s">
        <v>4385</v>
      </c>
      <c r="B1452" s="3">
        <v>74</v>
      </c>
      <c r="C1452" s="3" t="s">
        <v>35</v>
      </c>
      <c r="D1452" s="3" t="s">
        <v>17</v>
      </c>
      <c r="E1452" s="3" t="s">
        <v>54</v>
      </c>
      <c r="F1452" s="4">
        <v>44930</v>
      </c>
      <c r="G1452" s="3" t="s">
        <v>4386</v>
      </c>
      <c r="H1452" s="3" t="s">
        <v>4387</v>
      </c>
      <c r="I1452" s="3" t="s">
        <v>57</v>
      </c>
      <c r="J1452" s="5">
        <v>40557.834938381297</v>
      </c>
      <c r="K1452" s="3">
        <v>113</v>
      </c>
      <c r="L1452" s="3" t="s">
        <v>31</v>
      </c>
      <c r="M1452" s="4">
        <v>44945</v>
      </c>
      <c r="N1452" s="3" t="s">
        <v>32</v>
      </c>
      <c r="O1452" s="3" t="s">
        <v>24</v>
      </c>
      <c r="P1452" s="3" t="str">
        <f>IF(Table1[[#This Row],[Billing Amount]]&lt;5000,"Low",IF(Table1[[#This Row],[Billing Amount]]&lt;=15000,"Medium","High"))</f>
        <v>High</v>
      </c>
      <c r="Q1452" s="3" t="str">
        <f>IF(Table1[[#This Row],[Discharge Date]]="Yes","Discharged","Under Treatment")</f>
        <v>Under Treatment</v>
      </c>
      <c r="R1452" s="3" t="str">
        <f>IF(Table1[[#This Row],[Test Results]]&gt;120,"High Risk","Normal")</f>
        <v>High Risk</v>
      </c>
      <c r="S1452" s="3" t="str">
        <f>IF(Table1[[#This Row],[Age]]&lt;=18,"0-18",IF(Table1[[#This Row],[Age]]&lt;=35,"19-35",IF(Table1[[#This Row],[Age]]&lt;=50,"36-50",IF(Table1[[#This Row],[Age]]&lt;=65,"51-65","65+"))))</f>
        <v>65+</v>
      </c>
    </row>
    <row r="1453" spans="1:19" x14ac:dyDescent="0.3">
      <c r="A1453" s="3" t="s">
        <v>4388</v>
      </c>
      <c r="B1453" s="3">
        <v>78</v>
      </c>
      <c r="C1453" s="3" t="s">
        <v>16</v>
      </c>
      <c r="D1453" s="3" t="s">
        <v>49</v>
      </c>
      <c r="E1453" s="3" t="s">
        <v>93</v>
      </c>
      <c r="F1453" s="4">
        <v>44419</v>
      </c>
      <c r="G1453" s="3" t="s">
        <v>4389</v>
      </c>
      <c r="H1453" s="3" t="s">
        <v>4390</v>
      </c>
      <c r="I1453" s="3" t="s">
        <v>30</v>
      </c>
      <c r="J1453" s="5">
        <v>6328.0783486005503</v>
      </c>
      <c r="K1453" s="3">
        <v>478</v>
      </c>
      <c r="L1453" s="3" t="s">
        <v>31</v>
      </c>
      <c r="M1453" s="4">
        <v>44444</v>
      </c>
      <c r="N1453" s="3" t="s">
        <v>79</v>
      </c>
      <c r="O1453" s="3" t="s">
        <v>24</v>
      </c>
      <c r="P1453" s="3" t="str">
        <f>IF(Table1[[#This Row],[Billing Amount]]&lt;5000,"Low",IF(Table1[[#This Row],[Billing Amount]]&lt;=15000,"Medium","High"))</f>
        <v>Medium</v>
      </c>
      <c r="Q1453" s="3" t="str">
        <f>IF(Table1[[#This Row],[Discharge Date]]="Yes","Discharged","Under Treatment")</f>
        <v>Under Treatment</v>
      </c>
      <c r="R1453" s="3" t="str">
        <f>IF(Table1[[#This Row],[Test Results]]&gt;120,"High Risk","Normal")</f>
        <v>High Risk</v>
      </c>
      <c r="S1453" s="3" t="str">
        <f>IF(Table1[[#This Row],[Age]]&lt;=18,"0-18",IF(Table1[[#This Row],[Age]]&lt;=35,"19-35",IF(Table1[[#This Row],[Age]]&lt;=50,"36-50",IF(Table1[[#This Row],[Age]]&lt;=65,"51-65","65+"))))</f>
        <v>65+</v>
      </c>
    </row>
    <row r="1454" spans="1:19" x14ac:dyDescent="0.3">
      <c r="A1454" s="3" t="s">
        <v>4391</v>
      </c>
      <c r="B1454" s="3">
        <v>26</v>
      </c>
      <c r="C1454" s="3" t="s">
        <v>35</v>
      </c>
      <c r="D1454" s="3" t="s">
        <v>36</v>
      </c>
      <c r="E1454" s="3" t="s">
        <v>54</v>
      </c>
      <c r="F1454" s="4">
        <v>43953</v>
      </c>
      <c r="G1454" s="3" t="s">
        <v>4344</v>
      </c>
      <c r="H1454" s="3" t="s">
        <v>4392</v>
      </c>
      <c r="I1454" s="3" t="s">
        <v>57</v>
      </c>
      <c r="J1454" s="5">
        <v>29319.343812919102</v>
      </c>
      <c r="K1454" s="3">
        <v>413</v>
      </c>
      <c r="L1454" s="3" t="s">
        <v>46</v>
      </c>
      <c r="M1454" s="4">
        <v>43981</v>
      </c>
      <c r="N1454" s="3" t="s">
        <v>23</v>
      </c>
      <c r="O1454" s="3" t="s">
        <v>24</v>
      </c>
      <c r="P1454" s="3" t="str">
        <f>IF(Table1[[#This Row],[Billing Amount]]&lt;5000,"Low",IF(Table1[[#This Row],[Billing Amount]]&lt;=15000,"Medium","High"))</f>
        <v>High</v>
      </c>
      <c r="Q1454" s="3" t="str">
        <f>IF(Table1[[#This Row],[Discharge Date]]="Yes","Discharged","Under Treatment")</f>
        <v>Under Treatment</v>
      </c>
      <c r="R1454" s="3" t="str">
        <f>IF(Table1[[#This Row],[Test Results]]&gt;120,"High Risk","Normal")</f>
        <v>High Risk</v>
      </c>
      <c r="S1454" s="3" t="str">
        <f>IF(Table1[[#This Row],[Age]]&lt;=18,"0-18",IF(Table1[[#This Row],[Age]]&lt;=35,"19-35",IF(Table1[[#This Row],[Age]]&lt;=50,"36-50",IF(Table1[[#This Row],[Age]]&lt;=65,"51-65","65+"))))</f>
        <v>19-35</v>
      </c>
    </row>
    <row r="1455" spans="1:19" x14ac:dyDescent="0.3">
      <c r="A1455" s="3" t="s">
        <v>4393</v>
      </c>
      <c r="B1455" s="3">
        <v>82</v>
      </c>
      <c r="C1455" s="3" t="s">
        <v>16</v>
      </c>
      <c r="D1455" s="3" t="s">
        <v>42</v>
      </c>
      <c r="E1455" s="3" t="s">
        <v>93</v>
      </c>
      <c r="F1455" s="4">
        <v>43638</v>
      </c>
      <c r="G1455" s="3" t="s">
        <v>4394</v>
      </c>
      <c r="H1455" s="3" t="s">
        <v>4395</v>
      </c>
      <c r="I1455" s="3" t="s">
        <v>21</v>
      </c>
      <c r="J1455" s="5">
        <v>1793.23889252104</v>
      </c>
      <c r="K1455" s="3">
        <v>317</v>
      </c>
      <c r="L1455" s="3" t="s">
        <v>31</v>
      </c>
      <c r="M1455" s="4">
        <v>43657</v>
      </c>
      <c r="N1455" s="3" t="s">
        <v>32</v>
      </c>
      <c r="O1455" s="3" t="s">
        <v>24</v>
      </c>
      <c r="P1455" s="3" t="str">
        <f>IF(Table1[[#This Row],[Billing Amount]]&lt;5000,"Low",IF(Table1[[#This Row],[Billing Amount]]&lt;=15000,"Medium","High"))</f>
        <v>Low</v>
      </c>
      <c r="Q1455" s="3" t="str">
        <f>IF(Table1[[#This Row],[Discharge Date]]="Yes","Discharged","Under Treatment")</f>
        <v>Under Treatment</v>
      </c>
      <c r="R1455" s="3" t="str">
        <f>IF(Table1[[#This Row],[Test Results]]&gt;120,"High Risk","Normal")</f>
        <v>High Risk</v>
      </c>
      <c r="S1455" s="3" t="str">
        <f>IF(Table1[[#This Row],[Age]]&lt;=18,"0-18",IF(Table1[[#This Row],[Age]]&lt;=35,"19-35",IF(Table1[[#This Row],[Age]]&lt;=50,"36-50",IF(Table1[[#This Row],[Age]]&lt;=65,"51-65","65+"))))</f>
        <v>65+</v>
      </c>
    </row>
    <row r="1456" spans="1:19" x14ac:dyDescent="0.3">
      <c r="A1456" s="3" t="s">
        <v>4396</v>
      </c>
      <c r="B1456" s="3">
        <v>74</v>
      </c>
      <c r="C1456" s="3" t="s">
        <v>16</v>
      </c>
      <c r="D1456" s="3" t="s">
        <v>36</v>
      </c>
      <c r="E1456" s="3" t="s">
        <v>93</v>
      </c>
      <c r="F1456" s="4">
        <v>44996</v>
      </c>
      <c r="G1456" s="3" t="s">
        <v>4397</v>
      </c>
      <c r="H1456" s="3" t="s">
        <v>4398</v>
      </c>
      <c r="I1456" s="3" t="s">
        <v>57</v>
      </c>
      <c r="J1456" s="5">
        <v>19522.997101143999</v>
      </c>
      <c r="K1456" s="3">
        <v>439</v>
      </c>
      <c r="L1456" s="3" t="s">
        <v>46</v>
      </c>
      <c r="M1456" s="4">
        <v>45007</v>
      </c>
      <c r="N1456" s="3" t="s">
        <v>40</v>
      </c>
      <c r="O1456" s="3" t="s">
        <v>33</v>
      </c>
      <c r="P1456" s="3" t="str">
        <f>IF(Table1[[#This Row],[Billing Amount]]&lt;5000,"Low",IF(Table1[[#This Row],[Billing Amount]]&lt;=15000,"Medium","High"))</f>
        <v>High</v>
      </c>
      <c r="Q1456" s="3" t="str">
        <f>IF(Table1[[#This Row],[Discharge Date]]="Yes","Discharged","Under Treatment")</f>
        <v>Under Treatment</v>
      </c>
      <c r="R1456" s="3" t="str">
        <f>IF(Table1[[#This Row],[Test Results]]&gt;120,"High Risk","Normal")</f>
        <v>High Risk</v>
      </c>
      <c r="S1456" s="3" t="str">
        <f>IF(Table1[[#This Row],[Age]]&lt;=18,"0-18",IF(Table1[[#This Row],[Age]]&lt;=35,"19-35",IF(Table1[[#This Row],[Age]]&lt;=50,"36-50",IF(Table1[[#This Row],[Age]]&lt;=65,"51-65","65+"))))</f>
        <v>65+</v>
      </c>
    </row>
    <row r="1457" spans="1:19" x14ac:dyDescent="0.3">
      <c r="A1457" s="3" t="s">
        <v>4399</v>
      </c>
      <c r="B1457" s="3">
        <v>27</v>
      </c>
      <c r="C1457" s="3" t="s">
        <v>35</v>
      </c>
      <c r="D1457" s="3" t="s">
        <v>103</v>
      </c>
      <c r="E1457" s="3" t="s">
        <v>27</v>
      </c>
      <c r="F1457" s="4">
        <v>44998</v>
      </c>
      <c r="G1457" s="3" t="s">
        <v>4400</v>
      </c>
      <c r="H1457" s="3" t="s">
        <v>4401</v>
      </c>
      <c r="I1457" s="3" t="s">
        <v>65</v>
      </c>
      <c r="J1457" s="5">
        <v>22957.003366227898</v>
      </c>
      <c r="K1457" s="3">
        <v>197</v>
      </c>
      <c r="L1457" s="3" t="s">
        <v>31</v>
      </c>
      <c r="M1457" s="4">
        <v>45026</v>
      </c>
      <c r="N1457" s="3" t="s">
        <v>40</v>
      </c>
      <c r="O1457" s="3" t="s">
        <v>33</v>
      </c>
      <c r="P1457" s="3" t="str">
        <f>IF(Table1[[#This Row],[Billing Amount]]&lt;5000,"Low",IF(Table1[[#This Row],[Billing Amount]]&lt;=15000,"Medium","High"))</f>
        <v>High</v>
      </c>
      <c r="Q1457" s="3" t="str">
        <f>IF(Table1[[#This Row],[Discharge Date]]="Yes","Discharged","Under Treatment")</f>
        <v>Under Treatment</v>
      </c>
      <c r="R1457" s="3" t="str">
        <f>IF(Table1[[#This Row],[Test Results]]&gt;120,"High Risk","Normal")</f>
        <v>High Risk</v>
      </c>
      <c r="S1457" s="3" t="str">
        <f>IF(Table1[[#This Row],[Age]]&lt;=18,"0-18",IF(Table1[[#This Row],[Age]]&lt;=35,"19-35",IF(Table1[[#This Row],[Age]]&lt;=50,"36-50",IF(Table1[[#This Row],[Age]]&lt;=65,"51-65","65+"))))</f>
        <v>19-35</v>
      </c>
    </row>
    <row r="1458" spans="1:19" x14ac:dyDescent="0.3">
      <c r="A1458" s="3" t="s">
        <v>4402</v>
      </c>
      <c r="B1458" s="3">
        <v>80</v>
      </c>
      <c r="C1458" s="3" t="s">
        <v>35</v>
      </c>
      <c r="D1458" s="3" t="s">
        <v>59</v>
      </c>
      <c r="E1458" s="3" t="s">
        <v>76</v>
      </c>
      <c r="F1458" s="4">
        <v>44193</v>
      </c>
      <c r="G1458" s="3" t="s">
        <v>4403</v>
      </c>
      <c r="H1458" s="3" t="s">
        <v>4404</v>
      </c>
      <c r="I1458" s="3" t="s">
        <v>39</v>
      </c>
      <c r="J1458" s="5">
        <v>22518.903433253301</v>
      </c>
      <c r="K1458" s="3">
        <v>382</v>
      </c>
      <c r="L1458" s="3" t="s">
        <v>31</v>
      </c>
      <c r="M1458" s="4">
        <v>44217</v>
      </c>
      <c r="N1458" s="3" t="s">
        <v>23</v>
      </c>
      <c r="O1458" s="3" t="s">
        <v>47</v>
      </c>
      <c r="P1458" s="3" t="str">
        <f>IF(Table1[[#This Row],[Billing Amount]]&lt;5000,"Low",IF(Table1[[#This Row],[Billing Amount]]&lt;=15000,"Medium","High"))</f>
        <v>High</v>
      </c>
      <c r="Q1458" s="3" t="str">
        <f>IF(Table1[[#This Row],[Discharge Date]]="Yes","Discharged","Under Treatment")</f>
        <v>Under Treatment</v>
      </c>
      <c r="R1458" s="3" t="str">
        <f>IF(Table1[[#This Row],[Test Results]]&gt;120,"High Risk","Normal")</f>
        <v>High Risk</v>
      </c>
      <c r="S1458" s="3" t="str">
        <f>IF(Table1[[#This Row],[Age]]&lt;=18,"0-18",IF(Table1[[#This Row],[Age]]&lt;=35,"19-35",IF(Table1[[#This Row],[Age]]&lt;=50,"36-50",IF(Table1[[#This Row],[Age]]&lt;=65,"51-65","65+"))))</f>
        <v>65+</v>
      </c>
    </row>
    <row r="1459" spans="1:19" x14ac:dyDescent="0.3">
      <c r="A1459" s="3" t="s">
        <v>4405</v>
      </c>
      <c r="B1459" s="3">
        <v>76</v>
      </c>
      <c r="C1459" s="3" t="s">
        <v>35</v>
      </c>
      <c r="D1459" s="3" t="s">
        <v>122</v>
      </c>
      <c r="E1459" s="3" t="s">
        <v>54</v>
      </c>
      <c r="F1459" s="4">
        <v>44504</v>
      </c>
      <c r="G1459" s="3" t="s">
        <v>4406</v>
      </c>
      <c r="H1459" s="3" t="s">
        <v>4407</v>
      </c>
      <c r="I1459" s="3" t="s">
        <v>39</v>
      </c>
      <c r="J1459" s="5">
        <v>7309.7420629560102</v>
      </c>
      <c r="K1459" s="3">
        <v>300</v>
      </c>
      <c r="L1459" s="3" t="s">
        <v>31</v>
      </c>
      <c r="M1459" s="4">
        <v>44513</v>
      </c>
      <c r="N1459" s="3" t="s">
        <v>79</v>
      </c>
      <c r="O1459" s="3" t="s">
        <v>47</v>
      </c>
      <c r="P1459" s="3" t="str">
        <f>IF(Table1[[#This Row],[Billing Amount]]&lt;5000,"Low",IF(Table1[[#This Row],[Billing Amount]]&lt;=15000,"Medium","High"))</f>
        <v>Medium</v>
      </c>
      <c r="Q1459" s="3" t="str">
        <f>IF(Table1[[#This Row],[Discharge Date]]="Yes","Discharged","Under Treatment")</f>
        <v>Under Treatment</v>
      </c>
      <c r="R1459" s="3" t="str">
        <f>IF(Table1[[#This Row],[Test Results]]&gt;120,"High Risk","Normal")</f>
        <v>High Risk</v>
      </c>
      <c r="S1459" s="3" t="str">
        <f>IF(Table1[[#This Row],[Age]]&lt;=18,"0-18",IF(Table1[[#This Row],[Age]]&lt;=35,"19-35",IF(Table1[[#This Row],[Age]]&lt;=50,"36-50",IF(Table1[[#This Row],[Age]]&lt;=65,"51-65","65+"))))</f>
        <v>65+</v>
      </c>
    </row>
    <row r="1460" spans="1:19" x14ac:dyDescent="0.3">
      <c r="A1460" s="3" t="s">
        <v>4408</v>
      </c>
      <c r="B1460" s="3">
        <v>29</v>
      </c>
      <c r="C1460" s="3" t="s">
        <v>16</v>
      </c>
      <c r="D1460" s="3" t="s">
        <v>42</v>
      </c>
      <c r="E1460" s="3" t="s">
        <v>76</v>
      </c>
      <c r="F1460" s="4">
        <v>44637</v>
      </c>
      <c r="G1460" s="3" t="s">
        <v>4409</v>
      </c>
      <c r="H1460" s="3" t="s">
        <v>4410</v>
      </c>
      <c r="I1460" s="3" t="s">
        <v>65</v>
      </c>
      <c r="J1460" s="5">
        <v>33506.662108738601</v>
      </c>
      <c r="K1460" s="3">
        <v>272</v>
      </c>
      <c r="L1460" s="3" t="s">
        <v>46</v>
      </c>
      <c r="M1460" s="4">
        <v>44660</v>
      </c>
      <c r="N1460" s="3" t="s">
        <v>79</v>
      </c>
      <c r="O1460" s="3" t="s">
        <v>24</v>
      </c>
      <c r="P1460" s="3" t="str">
        <f>IF(Table1[[#This Row],[Billing Amount]]&lt;5000,"Low",IF(Table1[[#This Row],[Billing Amount]]&lt;=15000,"Medium","High"))</f>
        <v>High</v>
      </c>
      <c r="Q1460" s="3" t="str">
        <f>IF(Table1[[#This Row],[Discharge Date]]="Yes","Discharged","Under Treatment")</f>
        <v>Under Treatment</v>
      </c>
      <c r="R1460" s="3" t="str">
        <f>IF(Table1[[#This Row],[Test Results]]&gt;120,"High Risk","Normal")</f>
        <v>High Risk</v>
      </c>
      <c r="S1460" s="3" t="str">
        <f>IF(Table1[[#This Row],[Age]]&lt;=18,"0-18",IF(Table1[[#This Row],[Age]]&lt;=35,"19-35",IF(Table1[[#This Row],[Age]]&lt;=50,"36-50",IF(Table1[[#This Row],[Age]]&lt;=65,"51-65","65+"))))</f>
        <v>19-35</v>
      </c>
    </row>
    <row r="1461" spans="1:19" x14ac:dyDescent="0.3">
      <c r="A1461" s="3" t="s">
        <v>4411</v>
      </c>
      <c r="B1461" s="3">
        <v>50</v>
      </c>
      <c r="C1461" s="3" t="s">
        <v>35</v>
      </c>
      <c r="D1461" s="3" t="s">
        <v>49</v>
      </c>
      <c r="E1461" s="3" t="s">
        <v>93</v>
      </c>
      <c r="F1461" s="4">
        <v>44677</v>
      </c>
      <c r="G1461" s="3" t="s">
        <v>4412</v>
      </c>
      <c r="H1461" s="3" t="s">
        <v>4413</v>
      </c>
      <c r="I1461" s="3" t="s">
        <v>39</v>
      </c>
      <c r="J1461" s="5">
        <v>30267.471801397201</v>
      </c>
      <c r="K1461" s="3">
        <v>217</v>
      </c>
      <c r="L1461" s="3" t="s">
        <v>46</v>
      </c>
      <c r="M1461" s="4">
        <v>44697</v>
      </c>
      <c r="N1461" s="3" t="s">
        <v>23</v>
      </c>
      <c r="O1461" s="3" t="s">
        <v>24</v>
      </c>
      <c r="P1461" s="3" t="str">
        <f>IF(Table1[[#This Row],[Billing Amount]]&lt;5000,"Low",IF(Table1[[#This Row],[Billing Amount]]&lt;=15000,"Medium","High"))</f>
        <v>High</v>
      </c>
      <c r="Q1461" s="3" t="str">
        <f>IF(Table1[[#This Row],[Discharge Date]]="Yes","Discharged","Under Treatment")</f>
        <v>Under Treatment</v>
      </c>
      <c r="R1461" s="3" t="str">
        <f>IF(Table1[[#This Row],[Test Results]]&gt;120,"High Risk","Normal")</f>
        <v>High Risk</v>
      </c>
      <c r="S1461" s="3" t="str">
        <f>IF(Table1[[#This Row],[Age]]&lt;=18,"0-18",IF(Table1[[#This Row],[Age]]&lt;=35,"19-35",IF(Table1[[#This Row],[Age]]&lt;=50,"36-50",IF(Table1[[#This Row],[Age]]&lt;=65,"51-65","65+"))))</f>
        <v>36-50</v>
      </c>
    </row>
    <row r="1462" spans="1:19" x14ac:dyDescent="0.3">
      <c r="A1462" s="3" t="s">
        <v>4414</v>
      </c>
      <c r="B1462" s="3">
        <v>50</v>
      </c>
      <c r="C1462" s="3" t="s">
        <v>35</v>
      </c>
      <c r="D1462" s="3" t="s">
        <v>49</v>
      </c>
      <c r="E1462" s="3" t="s">
        <v>76</v>
      </c>
      <c r="F1462" s="4">
        <v>43817</v>
      </c>
      <c r="G1462" s="3" t="s">
        <v>4415</v>
      </c>
      <c r="H1462" s="3" t="s">
        <v>4416</v>
      </c>
      <c r="I1462" s="3" t="s">
        <v>39</v>
      </c>
      <c r="J1462" s="5">
        <v>33728.2852641278</v>
      </c>
      <c r="K1462" s="3">
        <v>167</v>
      </c>
      <c r="L1462" s="3" t="s">
        <v>46</v>
      </c>
      <c r="M1462" s="4">
        <v>43839</v>
      </c>
      <c r="N1462" s="3" t="s">
        <v>79</v>
      </c>
      <c r="O1462" s="3" t="s">
        <v>33</v>
      </c>
      <c r="P1462" s="3" t="str">
        <f>IF(Table1[[#This Row],[Billing Amount]]&lt;5000,"Low",IF(Table1[[#This Row],[Billing Amount]]&lt;=15000,"Medium","High"))</f>
        <v>High</v>
      </c>
      <c r="Q1462" s="3" t="str">
        <f>IF(Table1[[#This Row],[Discharge Date]]="Yes","Discharged","Under Treatment")</f>
        <v>Under Treatment</v>
      </c>
      <c r="R1462" s="3" t="str">
        <f>IF(Table1[[#This Row],[Test Results]]&gt;120,"High Risk","Normal")</f>
        <v>High Risk</v>
      </c>
      <c r="S1462" s="3" t="str">
        <f>IF(Table1[[#This Row],[Age]]&lt;=18,"0-18",IF(Table1[[#This Row],[Age]]&lt;=35,"19-35",IF(Table1[[#This Row],[Age]]&lt;=50,"36-50",IF(Table1[[#This Row],[Age]]&lt;=65,"51-65","65+"))))</f>
        <v>36-50</v>
      </c>
    </row>
    <row r="1463" spans="1:19" x14ac:dyDescent="0.3">
      <c r="A1463" s="3" t="s">
        <v>4417</v>
      </c>
      <c r="B1463" s="3">
        <v>55</v>
      </c>
      <c r="C1463" s="3" t="s">
        <v>16</v>
      </c>
      <c r="D1463" s="3" t="s">
        <v>122</v>
      </c>
      <c r="E1463" s="3" t="s">
        <v>43</v>
      </c>
      <c r="F1463" s="4">
        <v>44683</v>
      </c>
      <c r="G1463" s="3" t="s">
        <v>4418</v>
      </c>
      <c r="H1463" s="3" t="s">
        <v>4419</v>
      </c>
      <c r="I1463" s="3" t="s">
        <v>65</v>
      </c>
      <c r="J1463" s="5">
        <v>30239.397134818701</v>
      </c>
      <c r="K1463" s="3">
        <v>321</v>
      </c>
      <c r="L1463" s="3" t="s">
        <v>46</v>
      </c>
      <c r="M1463" s="4">
        <v>44707</v>
      </c>
      <c r="N1463" s="3" t="s">
        <v>32</v>
      </c>
      <c r="O1463" s="3" t="s">
        <v>33</v>
      </c>
      <c r="P1463" s="3" t="str">
        <f>IF(Table1[[#This Row],[Billing Amount]]&lt;5000,"Low",IF(Table1[[#This Row],[Billing Amount]]&lt;=15000,"Medium","High"))</f>
        <v>High</v>
      </c>
      <c r="Q1463" s="3" t="str">
        <f>IF(Table1[[#This Row],[Discharge Date]]="Yes","Discharged","Under Treatment")</f>
        <v>Under Treatment</v>
      </c>
      <c r="R1463" s="3" t="str">
        <f>IF(Table1[[#This Row],[Test Results]]&gt;120,"High Risk","Normal")</f>
        <v>High Risk</v>
      </c>
      <c r="S1463" s="3" t="str">
        <f>IF(Table1[[#This Row],[Age]]&lt;=18,"0-18",IF(Table1[[#This Row],[Age]]&lt;=35,"19-35",IF(Table1[[#This Row],[Age]]&lt;=50,"36-50",IF(Table1[[#This Row],[Age]]&lt;=65,"51-65","65+"))))</f>
        <v>51-65</v>
      </c>
    </row>
    <row r="1464" spans="1:19" x14ac:dyDescent="0.3">
      <c r="A1464" s="3" t="s">
        <v>4420</v>
      </c>
      <c r="B1464" s="3">
        <v>75</v>
      </c>
      <c r="C1464" s="3" t="s">
        <v>16</v>
      </c>
      <c r="D1464" s="3" t="s">
        <v>36</v>
      </c>
      <c r="E1464" s="3" t="s">
        <v>76</v>
      </c>
      <c r="F1464" s="4">
        <v>44144</v>
      </c>
      <c r="G1464" s="3" t="s">
        <v>4421</v>
      </c>
      <c r="H1464" s="3" t="s">
        <v>4422</v>
      </c>
      <c r="I1464" s="3" t="s">
        <v>30</v>
      </c>
      <c r="J1464" s="5">
        <v>37116.360559449902</v>
      </c>
      <c r="K1464" s="3">
        <v>189</v>
      </c>
      <c r="L1464" s="3" t="s">
        <v>46</v>
      </c>
      <c r="M1464" s="4">
        <v>44169</v>
      </c>
      <c r="N1464" s="3" t="s">
        <v>79</v>
      </c>
      <c r="O1464" s="3" t="s">
        <v>24</v>
      </c>
      <c r="P1464" s="3" t="str">
        <f>IF(Table1[[#This Row],[Billing Amount]]&lt;5000,"Low",IF(Table1[[#This Row],[Billing Amount]]&lt;=15000,"Medium","High"))</f>
        <v>High</v>
      </c>
      <c r="Q1464" s="3" t="str">
        <f>IF(Table1[[#This Row],[Discharge Date]]="Yes","Discharged","Under Treatment")</f>
        <v>Under Treatment</v>
      </c>
      <c r="R1464" s="3" t="str">
        <f>IF(Table1[[#This Row],[Test Results]]&gt;120,"High Risk","Normal")</f>
        <v>High Risk</v>
      </c>
      <c r="S1464" s="3" t="str">
        <f>IF(Table1[[#This Row],[Age]]&lt;=18,"0-18",IF(Table1[[#This Row],[Age]]&lt;=35,"19-35",IF(Table1[[#This Row],[Age]]&lt;=50,"36-50",IF(Table1[[#This Row],[Age]]&lt;=65,"51-65","65+"))))</f>
        <v>65+</v>
      </c>
    </row>
    <row r="1465" spans="1:19" x14ac:dyDescent="0.3">
      <c r="A1465" s="3" t="s">
        <v>4423</v>
      </c>
      <c r="B1465" s="3">
        <v>30</v>
      </c>
      <c r="C1465" s="3" t="s">
        <v>35</v>
      </c>
      <c r="D1465" s="3" t="s">
        <v>42</v>
      </c>
      <c r="E1465" s="3" t="s">
        <v>43</v>
      </c>
      <c r="F1465" s="4">
        <v>45254</v>
      </c>
      <c r="G1465" s="3" t="s">
        <v>4424</v>
      </c>
      <c r="H1465" s="3" t="s">
        <v>4425</v>
      </c>
      <c r="I1465" s="3" t="s">
        <v>65</v>
      </c>
      <c r="J1465" s="5">
        <v>44320.557872259596</v>
      </c>
      <c r="K1465" s="3">
        <v>380</v>
      </c>
      <c r="L1465" s="3" t="s">
        <v>22</v>
      </c>
      <c r="M1465" s="4">
        <v>45257</v>
      </c>
      <c r="N1465" s="3" t="s">
        <v>52</v>
      </c>
      <c r="O1465" s="3" t="s">
        <v>24</v>
      </c>
      <c r="P1465" s="3" t="str">
        <f>IF(Table1[[#This Row],[Billing Amount]]&lt;5000,"Low",IF(Table1[[#This Row],[Billing Amount]]&lt;=15000,"Medium","High"))</f>
        <v>High</v>
      </c>
      <c r="Q1465" s="3" t="str">
        <f>IF(Table1[[#This Row],[Discharge Date]]="Yes","Discharged","Under Treatment")</f>
        <v>Under Treatment</v>
      </c>
      <c r="R1465" s="3" t="str">
        <f>IF(Table1[[#This Row],[Test Results]]&gt;120,"High Risk","Normal")</f>
        <v>High Risk</v>
      </c>
      <c r="S1465" s="3" t="str">
        <f>IF(Table1[[#This Row],[Age]]&lt;=18,"0-18",IF(Table1[[#This Row],[Age]]&lt;=35,"19-35",IF(Table1[[#This Row],[Age]]&lt;=50,"36-50",IF(Table1[[#This Row],[Age]]&lt;=65,"51-65","65+"))))</f>
        <v>19-35</v>
      </c>
    </row>
    <row r="1466" spans="1:19" x14ac:dyDescent="0.3">
      <c r="A1466" s="3" t="s">
        <v>4426</v>
      </c>
      <c r="B1466" s="3">
        <v>61</v>
      </c>
      <c r="C1466" s="3" t="s">
        <v>35</v>
      </c>
      <c r="D1466" s="3" t="s">
        <v>122</v>
      </c>
      <c r="E1466" s="3" t="s">
        <v>76</v>
      </c>
      <c r="F1466" s="4">
        <v>44629</v>
      </c>
      <c r="G1466" s="3" t="s">
        <v>3839</v>
      </c>
      <c r="H1466" s="3" t="s">
        <v>4427</v>
      </c>
      <c r="I1466" s="3" t="s">
        <v>21</v>
      </c>
      <c r="J1466" s="5">
        <v>46441.577504033601</v>
      </c>
      <c r="K1466" s="3">
        <v>188</v>
      </c>
      <c r="L1466" s="3" t="s">
        <v>31</v>
      </c>
      <c r="M1466" s="4">
        <v>44630</v>
      </c>
      <c r="N1466" s="3" t="s">
        <v>79</v>
      </c>
      <c r="O1466" s="3" t="s">
        <v>47</v>
      </c>
      <c r="P1466" s="3" t="str">
        <f>IF(Table1[[#This Row],[Billing Amount]]&lt;5000,"Low",IF(Table1[[#This Row],[Billing Amount]]&lt;=15000,"Medium","High"))</f>
        <v>High</v>
      </c>
      <c r="Q1466" s="3" t="str">
        <f>IF(Table1[[#This Row],[Discharge Date]]="Yes","Discharged","Under Treatment")</f>
        <v>Under Treatment</v>
      </c>
      <c r="R1466" s="3" t="str">
        <f>IF(Table1[[#This Row],[Test Results]]&gt;120,"High Risk","Normal")</f>
        <v>High Risk</v>
      </c>
      <c r="S1466" s="3" t="str">
        <f>IF(Table1[[#This Row],[Age]]&lt;=18,"0-18",IF(Table1[[#This Row],[Age]]&lt;=35,"19-35",IF(Table1[[#This Row],[Age]]&lt;=50,"36-50",IF(Table1[[#This Row],[Age]]&lt;=65,"51-65","65+"))))</f>
        <v>51-65</v>
      </c>
    </row>
    <row r="1467" spans="1:19" x14ac:dyDescent="0.3">
      <c r="A1467" s="3" t="s">
        <v>4428</v>
      </c>
      <c r="B1467" s="3">
        <v>27</v>
      </c>
      <c r="C1467" s="3" t="s">
        <v>16</v>
      </c>
      <c r="D1467" s="3" t="s">
        <v>26</v>
      </c>
      <c r="E1467" s="3" t="s">
        <v>43</v>
      </c>
      <c r="F1467" s="4">
        <v>44243</v>
      </c>
      <c r="G1467" s="3" t="s">
        <v>4429</v>
      </c>
      <c r="H1467" s="3" t="s">
        <v>4430</v>
      </c>
      <c r="I1467" s="3" t="s">
        <v>21</v>
      </c>
      <c r="J1467" s="5">
        <v>28523.2969664419</v>
      </c>
      <c r="K1467" s="3">
        <v>427</v>
      </c>
      <c r="L1467" s="3" t="s">
        <v>46</v>
      </c>
      <c r="M1467" s="4">
        <v>44255</v>
      </c>
      <c r="N1467" s="3" t="s">
        <v>79</v>
      </c>
      <c r="O1467" s="3" t="s">
        <v>47</v>
      </c>
      <c r="P1467" s="3" t="str">
        <f>IF(Table1[[#This Row],[Billing Amount]]&lt;5000,"Low",IF(Table1[[#This Row],[Billing Amount]]&lt;=15000,"Medium","High"))</f>
        <v>High</v>
      </c>
      <c r="Q1467" s="3" t="str">
        <f>IF(Table1[[#This Row],[Discharge Date]]="Yes","Discharged","Under Treatment")</f>
        <v>Under Treatment</v>
      </c>
      <c r="R1467" s="3" t="str">
        <f>IF(Table1[[#This Row],[Test Results]]&gt;120,"High Risk","Normal")</f>
        <v>High Risk</v>
      </c>
      <c r="S1467" s="3" t="str">
        <f>IF(Table1[[#This Row],[Age]]&lt;=18,"0-18",IF(Table1[[#This Row],[Age]]&lt;=35,"19-35",IF(Table1[[#This Row],[Age]]&lt;=50,"36-50",IF(Table1[[#This Row],[Age]]&lt;=65,"51-65","65+"))))</f>
        <v>19-35</v>
      </c>
    </row>
    <row r="1468" spans="1:19" x14ac:dyDescent="0.3">
      <c r="A1468" s="3" t="s">
        <v>4431</v>
      </c>
      <c r="B1468" s="3">
        <v>47</v>
      </c>
      <c r="C1468" s="3" t="s">
        <v>35</v>
      </c>
      <c r="D1468" s="3" t="s">
        <v>49</v>
      </c>
      <c r="E1468" s="3" t="s">
        <v>93</v>
      </c>
      <c r="F1468" s="4">
        <v>44798</v>
      </c>
      <c r="G1468" s="3" t="s">
        <v>4432</v>
      </c>
      <c r="H1468" s="3" t="s">
        <v>4433</v>
      </c>
      <c r="I1468" s="3" t="s">
        <v>57</v>
      </c>
      <c r="J1468" s="5">
        <v>22713.767432255499</v>
      </c>
      <c r="K1468" s="3">
        <v>165</v>
      </c>
      <c r="L1468" s="3" t="s">
        <v>22</v>
      </c>
      <c r="M1468" s="4">
        <v>44811</v>
      </c>
      <c r="N1468" s="3" t="s">
        <v>52</v>
      </c>
      <c r="O1468" s="3" t="s">
        <v>47</v>
      </c>
      <c r="P1468" s="3" t="str">
        <f>IF(Table1[[#This Row],[Billing Amount]]&lt;5000,"Low",IF(Table1[[#This Row],[Billing Amount]]&lt;=15000,"Medium","High"))</f>
        <v>High</v>
      </c>
      <c r="Q1468" s="3" t="str">
        <f>IF(Table1[[#This Row],[Discharge Date]]="Yes","Discharged","Under Treatment")</f>
        <v>Under Treatment</v>
      </c>
      <c r="R1468" s="3" t="str">
        <f>IF(Table1[[#This Row],[Test Results]]&gt;120,"High Risk","Normal")</f>
        <v>High Risk</v>
      </c>
      <c r="S1468" s="3" t="str">
        <f>IF(Table1[[#This Row],[Age]]&lt;=18,"0-18",IF(Table1[[#This Row],[Age]]&lt;=35,"19-35",IF(Table1[[#This Row],[Age]]&lt;=50,"36-50",IF(Table1[[#This Row],[Age]]&lt;=65,"51-65","65+"))))</f>
        <v>36-50</v>
      </c>
    </row>
    <row r="1469" spans="1:19" x14ac:dyDescent="0.3">
      <c r="A1469" s="3" t="s">
        <v>4434</v>
      </c>
      <c r="B1469" s="3">
        <v>77</v>
      </c>
      <c r="C1469" s="3" t="s">
        <v>16</v>
      </c>
      <c r="D1469" s="3" t="s">
        <v>122</v>
      </c>
      <c r="E1469" s="3" t="s">
        <v>43</v>
      </c>
      <c r="F1469" s="4">
        <v>44426</v>
      </c>
      <c r="G1469" s="3" t="s">
        <v>4435</v>
      </c>
      <c r="H1469" s="3" t="s">
        <v>4436</v>
      </c>
      <c r="I1469" s="3" t="s">
        <v>65</v>
      </c>
      <c r="J1469" s="5">
        <v>22218.783892355201</v>
      </c>
      <c r="K1469" s="3">
        <v>184</v>
      </c>
      <c r="L1469" s="3" t="s">
        <v>46</v>
      </c>
      <c r="M1469" s="4">
        <v>44437</v>
      </c>
      <c r="N1469" s="3" t="s">
        <v>79</v>
      </c>
      <c r="O1469" s="3" t="s">
        <v>33</v>
      </c>
      <c r="P1469" s="3" t="str">
        <f>IF(Table1[[#This Row],[Billing Amount]]&lt;5000,"Low",IF(Table1[[#This Row],[Billing Amount]]&lt;=15000,"Medium","High"))</f>
        <v>High</v>
      </c>
      <c r="Q1469" s="3" t="str">
        <f>IF(Table1[[#This Row],[Discharge Date]]="Yes","Discharged","Under Treatment")</f>
        <v>Under Treatment</v>
      </c>
      <c r="R1469" s="3" t="str">
        <f>IF(Table1[[#This Row],[Test Results]]&gt;120,"High Risk","Normal")</f>
        <v>High Risk</v>
      </c>
      <c r="S1469" s="3" t="str">
        <f>IF(Table1[[#This Row],[Age]]&lt;=18,"0-18",IF(Table1[[#This Row],[Age]]&lt;=35,"19-35",IF(Table1[[#This Row],[Age]]&lt;=50,"36-50",IF(Table1[[#This Row],[Age]]&lt;=65,"51-65","65+"))))</f>
        <v>65+</v>
      </c>
    </row>
    <row r="1470" spans="1:19" x14ac:dyDescent="0.3">
      <c r="A1470" s="3" t="s">
        <v>4437</v>
      </c>
      <c r="B1470" s="3">
        <v>20</v>
      </c>
      <c r="C1470" s="3" t="s">
        <v>16</v>
      </c>
      <c r="D1470" s="3" t="s">
        <v>17</v>
      </c>
      <c r="E1470" s="3" t="s">
        <v>54</v>
      </c>
      <c r="F1470" s="4">
        <v>43836</v>
      </c>
      <c r="G1470" s="3" t="s">
        <v>4438</v>
      </c>
      <c r="H1470" s="3" t="s">
        <v>4439</v>
      </c>
      <c r="I1470" s="3" t="s">
        <v>57</v>
      </c>
      <c r="J1470" s="5">
        <v>24037.871297335099</v>
      </c>
      <c r="K1470" s="3">
        <v>383</v>
      </c>
      <c r="L1470" s="3" t="s">
        <v>46</v>
      </c>
      <c r="M1470" s="4">
        <v>43850</v>
      </c>
      <c r="N1470" s="3" t="s">
        <v>32</v>
      </c>
      <c r="O1470" s="3" t="s">
        <v>24</v>
      </c>
      <c r="P1470" s="3" t="str">
        <f>IF(Table1[[#This Row],[Billing Amount]]&lt;5000,"Low",IF(Table1[[#This Row],[Billing Amount]]&lt;=15000,"Medium","High"))</f>
        <v>High</v>
      </c>
      <c r="Q1470" s="3" t="str">
        <f>IF(Table1[[#This Row],[Discharge Date]]="Yes","Discharged","Under Treatment")</f>
        <v>Under Treatment</v>
      </c>
      <c r="R1470" s="3" t="str">
        <f>IF(Table1[[#This Row],[Test Results]]&gt;120,"High Risk","Normal")</f>
        <v>High Risk</v>
      </c>
      <c r="S1470" s="3" t="str">
        <f>IF(Table1[[#This Row],[Age]]&lt;=18,"0-18",IF(Table1[[#This Row],[Age]]&lt;=35,"19-35",IF(Table1[[#This Row],[Age]]&lt;=50,"36-50",IF(Table1[[#This Row],[Age]]&lt;=65,"51-65","65+"))))</f>
        <v>19-35</v>
      </c>
    </row>
    <row r="1471" spans="1:19" x14ac:dyDescent="0.3">
      <c r="A1471" s="3" t="s">
        <v>4440</v>
      </c>
      <c r="B1471" s="3">
        <v>42</v>
      </c>
      <c r="C1471" s="3" t="s">
        <v>16</v>
      </c>
      <c r="D1471" s="3" t="s">
        <v>122</v>
      </c>
      <c r="E1471" s="3" t="s">
        <v>54</v>
      </c>
      <c r="F1471" s="4">
        <v>44616</v>
      </c>
      <c r="G1471" s="3" t="s">
        <v>4441</v>
      </c>
      <c r="H1471" s="3" t="s">
        <v>4442</v>
      </c>
      <c r="I1471" s="3" t="s">
        <v>30</v>
      </c>
      <c r="J1471" s="5">
        <v>41262.6110222649</v>
      </c>
      <c r="K1471" s="3">
        <v>261</v>
      </c>
      <c r="L1471" s="3" t="s">
        <v>31</v>
      </c>
      <c r="M1471" s="4">
        <v>44625</v>
      </c>
      <c r="N1471" s="3" t="s">
        <v>23</v>
      </c>
      <c r="O1471" s="3" t="s">
        <v>47</v>
      </c>
      <c r="P1471" s="3" t="str">
        <f>IF(Table1[[#This Row],[Billing Amount]]&lt;5000,"Low",IF(Table1[[#This Row],[Billing Amount]]&lt;=15000,"Medium","High"))</f>
        <v>High</v>
      </c>
      <c r="Q1471" s="3" t="str">
        <f>IF(Table1[[#This Row],[Discharge Date]]="Yes","Discharged","Under Treatment")</f>
        <v>Under Treatment</v>
      </c>
      <c r="R1471" s="3" t="str">
        <f>IF(Table1[[#This Row],[Test Results]]&gt;120,"High Risk","Normal")</f>
        <v>High Risk</v>
      </c>
      <c r="S1471" s="3" t="str">
        <f>IF(Table1[[#This Row],[Age]]&lt;=18,"0-18",IF(Table1[[#This Row],[Age]]&lt;=35,"19-35",IF(Table1[[#This Row],[Age]]&lt;=50,"36-50",IF(Table1[[#This Row],[Age]]&lt;=65,"51-65","65+"))))</f>
        <v>36-50</v>
      </c>
    </row>
    <row r="1472" spans="1:19" x14ac:dyDescent="0.3">
      <c r="A1472" s="3" t="s">
        <v>4443</v>
      </c>
      <c r="B1472" s="3">
        <v>44</v>
      </c>
      <c r="C1472" s="3" t="s">
        <v>35</v>
      </c>
      <c r="D1472" s="3" t="s">
        <v>36</v>
      </c>
      <c r="E1472" s="3" t="s">
        <v>93</v>
      </c>
      <c r="F1472" s="4">
        <v>43997</v>
      </c>
      <c r="G1472" s="3" t="s">
        <v>4444</v>
      </c>
      <c r="H1472" s="3" t="s">
        <v>4445</v>
      </c>
      <c r="I1472" s="3" t="s">
        <v>39</v>
      </c>
      <c r="J1472" s="5">
        <v>2918.35235320316</v>
      </c>
      <c r="K1472" s="3">
        <v>366</v>
      </c>
      <c r="L1472" s="3" t="s">
        <v>46</v>
      </c>
      <c r="M1472" s="4">
        <v>44009</v>
      </c>
      <c r="N1472" s="3" t="s">
        <v>23</v>
      </c>
      <c r="O1472" s="3" t="s">
        <v>24</v>
      </c>
      <c r="P1472" s="3" t="str">
        <f>IF(Table1[[#This Row],[Billing Amount]]&lt;5000,"Low",IF(Table1[[#This Row],[Billing Amount]]&lt;=15000,"Medium","High"))</f>
        <v>Low</v>
      </c>
      <c r="Q1472" s="3" t="str">
        <f>IF(Table1[[#This Row],[Discharge Date]]="Yes","Discharged","Under Treatment")</f>
        <v>Under Treatment</v>
      </c>
      <c r="R1472" s="3" t="str">
        <f>IF(Table1[[#This Row],[Test Results]]&gt;120,"High Risk","Normal")</f>
        <v>High Risk</v>
      </c>
      <c r="S1472" s="3" t="str">
        <f>IF(Table1[[#This Row],[Age]]&lt;=18,"0-18",IF(Table1[[#This Row],[Age]]&lt;=35,"19-35",IF(Table1[[#This Row],[Age]]&lt;=50,"36-50",IF(Table1[[#This Row],[Age]]&lt;=65,"51-65","65+"))))</f>
        <v>36-50</v>
      </c>
    </row>
    <row r="1473" spans="1:19" x14ac:dyDescent="0.3">
      <c r="A1473" s="3" t="s">
        <v>4446</v>
      </c>
      <c r="B1473" s="3">
        <v>44</v>
      </c>
      <c r="C1473" s="3" t="s">
        <v>35</v>
      </c>
      <c r="D1473" s="3" t="s">
        <v>26</v>
      </c>
      <c r="E1473" s="3" t="s">
        <v>54</v>
      </c>
      <c r="F1473" s="4">
        <v>43699</v>
      </c>
      <c r="G1473" s="3" t="s">
        <v>4447</v>
      </c>
      <c r="H1473" s="3" t="s">
        <v>4448</v>
      </c>
      <c r="I1473" s="3" t="s">
        <v>57</v>
      </c>
      <c r="J1473" s="5">
        <v>9009.2539000044908</v>
      </c>
      <c r="K1473" s="3">
        <v>206</v>
      </c>
      <c r="L1473" s="3" t="s">
        <v>46</v>
      </c>
      <c r="M1473" s="4">
        <v>43715</v>
      </c>
      <c r="N1473" s="3" t="s">
        <v>40</v>
      </c>
      <c r="O1473" s="3" t="s">
        <v>33</v>
      </c>
      <c r="P1473" s="3" t="str">
        <f>IF(Table1[[#This Row],[Billing Amount]]&lt;5000,"Low",IF(Table1[[#This Row],[Billing Amount]]&lt;=15000,"Medium","High"))</f>
        <v>Medium</v>
      </c>
      <c r="Q1473" s="3" t="str">
        <f>IF(Table1[[#This Row],[Discharge Date]]="Yes","Discharged","Under Treatment")</f>
        <v>Under Treatment</v>
      </c>
      <c r="R1473" s="3" t="str">
        <f>IF(Table1[[#This Row],[Test Results]]&gt;120,"High Risk","Normal")</f>
        <v>High Risk</v>
      </c>
      <c r="S1473" s="3" t="str">
        <f>IF(Table1[[#This Row],[Age]]&lt;=18,"0-18",IF(Table1[[#This Row],[Age]]&lt;=35,"19-35",IF(Table1[[#This Row],[Age]]&lt;=50,"36-50",IF(Table1[[#This Row],[Age]]&lt;=65,"51-65","65+"))))</f>
        <v>36-50</v>
      </c>
    </row>
    <row r="1474" spans="1:19" x14ac:dyDescent="0.3">
      <c r="A1474" s="3" t="s">
        <v>4449</v>
      </c>
      <c r="B1474" s="3">
        <v>80</v>
      </c>
      <c r="C1474" s="3" t="s">
        <v>35</v>
      </c>
      <c r="D1474" s="3" t="s">
        <v>42</v>
      </c>
      <c r="E1474" s="3" t="s">
        <v>76</v>
      </c>
      <c r="F1474" s="4">
        <v>45256</v>
      </c>
      <c r="G1474" s="3" t="s">
        <v>2970</v>
      </c>
      <c r="H1474" s="3" t="s">
        <v>4450</v>
      </c>
      <c r="I1474" s="3" t="s">
        <v>65</v>
      </c>
      <c r="J1474" s="5">
        <v>32757.841510976199</v>
      </c>
      <c r="K1474" s="3">
        <v>147</v>
      </c>
      <c r="L1474" s="3" t="s">
        <v>22</v>
      </c>
      <c r="M1474" s="4">
        <v>45269</v>
      </c>
      <c r="N1474" s="3" t="s">
        <v>23</v>
      </c>
      <c r="O1474" s="3" t="s">
        <v>24</v>
      </c>
      <c r="P1474" s="3" t="str">
        <f>IF(Table1[[#This Row],[Billing Amount]]&lt;5000,"Low",IF(Table1[[#This Row],[Billing Amount]]&lt;=15000,"Medium","High"))</f>
        <v>High</v>
      </c>
      <c r="Q1474" s="3" t="str">
        <f>IF(Table1[[#This Row],[Discharge Date]]="Yes","Discharged","Under Treatment")</f>
        <v>Under Treatment</v>
      </c>
      <c r="R1474" s="3" t="str">
        <f>IF(Table1[[#This Row],[Test Results]]&gt;120,"High Risk","Normal")</f>
        <v>High Risk</v>
      </c>
      <c r="S1474" s="3" t="str">
        <f>IF(Table1[[#This Row],[Age]]&lt;=18,"0-18",IF(Table1[[#This Row],[Age]]&lt;=35,"19-35",IF(Table1[[#This Row],[Age]]&lt;=50,"36-50",IF(Table1[[#This Row],[Age]]&lt;=65,"51-65","65+"))))</f>
        <v>65+</v>
      </c>
    </row>
    <row r="1475" spans="1:19" x14ac:dyDescent="0.3">
      <c r="A1475" s="3" t="s">
        <v>4451</v>
      </c>
      <c r="B1475" s="3">
        <v>28</v>
      </c>
      <c r="C1475" s="3" t="s">
        <v>35</v>
      </c>
      <c r="D1475" s="3" t="s">
        <v>103</v>
      </c>
      <c r="E1475" s="3" t="s">
        <v>43</v>
      </c>
      <c r="F1475" s="4">
        <v>43810</v>
      </c>
      <c r="G1475" s="3" t="s">
        <v>4452</v>
      </c>
      <c r="H1475" s="3" t="s">
        <v>4453</v>
      </c>
      <c r="I1475" s="3" t="s">
        <v>39</v>
      </c>
      <c r="J1475" s="5">
        <v>50325.557008357202</v>
      </c>
      <c r="K1475" s="3">
        <v>244</v>
      </c>
      <c r="L1475" s="3" t="s">
        <v>46</v>
      </c>
      <c r="M1475" s="4">
        <v>43840</v>
      </c>
      <c r="N1475" s="3" t="s">
        <v>40</v>
      </c>
      <c r="O1475" s="3" t="s">
        <v>47</v>
      </c>
      <c r="P1475" s="3" t="str">
        <f>IF(Table1[[#This Row],[Billing Amount]]&lt;5000,"Low",IF(Table1[[#This Row],[Billing Amount]]&lt;=15000,"Medium","High"))</f>
        <v>High</v>
      </c>
      <c r="Q1475" s="3" t="str">
        <f>IF(Table1[[#This Row],[Discharge Date]]="Yes","Discharged","Under Treatment")</f>
        <v>Under Treatment</v>
      </c>
      <c r="R1475" s="3" t="str">
        <f>IF(Table1[[#This Row],[Test Results]]&gt;120,"High Risk","Normal")</f>
        <v>High Risk</v>
      </c>
      <c r="S1475" s="3" t="str">
        <f>IF(Table1[[#This Row],[Age]]&lt;=18,"0-18",IF(Table1[[#This Row],[Age]]&lt;=35,"19-35",IF(Table1[[#This Row],[Age]]&lt;=50,"36-50",IF(Table1[[#This Row],[Age]]&lt;=65,"51-65","65+"))))</f>
        <v>19-35</v>
      </c>
    </row>
    <row r="1476" spans="1:19" x14ac:dyDescent="0.3">
      <c r="A1476" s="3" t="s">
        <v>4454</v>
      </c>
      <c r="B1476" s="3">
        <v>59</v>
      </c>
      <c r="C1476" s="3" t="s">
        <v>35</v>
      </c>
      <c r="D1476" s="3" t="s">
        <v>42</v>
      </c>
      <c r="E1476" s="3" t="s">
        <v>43</v>
      </c>
      <c r="F1476" s="4">
        <v>44227</v>
      </c>
      <c r="G1476" s="3" t="s">
        <v>4455</v>
      </c>
      <c r="H1476" s="3" t="s">
        <v>4456</v>
      </c>
      <c r="I1476" s="3" t="s">
        <v>65</v>
      </c>
      <c r="J1476" s="5">
        <v>39384.154948357398</v>
      </c>
      <c r="K1476" s="3">
        <v>333</v>
      </c>
      <c r="L1476" s="3" t="s">
        <v>31</v>
      </c>
      <c r="M1476" s="4">
        <v>44244</v>
      </c>
      <c r="N1476" s="3" t="s">
        <v>32</v>
      </c>
      <c r="O1476" s="3" t="s">
        <v>47</v>
      </c>
      <c r="P1476" s="3" t="str">
        <f>IF(Table1[[#This Row],[Billing Amount]]&lt;5000,"Low",IF(Table1[[#This Row],[Billing Amount]]&lt;=15000,"Medium","High"))</f>
        <v>High</v>
      </c>
      <c r="Q1476" s="3" t="str">
        <f>IF(Table1[[#This Row],[Discharge Date]]="Yes","Discharged","Under Treatment")</f>
        <v>Under Treatment</v>
      </c>
      <c r="R1476" s="3" t="str">
        <f>IF(Table1[[#This Row],[Test Results]]&gt;120,"High Risk","Normal")</f>
        <v>High Risk</v>
      </c>
      <c r="S1476" s="3" t="str">
        <f>IF(Table1[[#This Row],[Age]]&lt;=18,"0-18",IF(Table1[[#This Row],[Age]]&lt;=35,"19-35",IF(Table1[[#This Row],[Age]]&lt;=50,"36-50",IF(Table1[[#This Row],[Age]]&lt;=65,"51-65","65+"))))</f>
        <v>51-65</v>
      </c>
    </row>
    <row r="1477" spans="1:19" x14ac:dyDescent="0.3">
      <c r="A1477" s="3" t="s">
        <v>4457</v>
      </c>
      <c r="B1477" s="3">
        <v>61</v>
      </c>
      <c r="C1477" s="3" t="s">
        <v>35</v>
      </c>
      <c r="D1477" s="3" t="s">
        <v>49</v>
      </c>
      <c r="E1477" s="3" t="s">
        <v>76</v>
      </c>
      <c r="F1477" s="4">
        <v>43722</v>
      </c>
      <c r="G1477" s="3" t="s">
        <v>4458</v>
      </c>
      <c r="H1477" s="3" t="s">
        <v>4459</v>
      </c>
      <c r="I1477" s="3" t="s">
        <v>21</v>
      </c>
      <c r="J1477" s="5">
        <v>32423.724830910302</v>
      </c>
      <c r="K1477" s="3">
        <v>119</v>
      </c>
      <c r="L1477" s="3" t="s">
        <v>31</v>
      </c>
      <c r="M1477" s="4">
        <v>43741</v>
      </c>
      <c r="N1477" s="3" t="s">
        <v>52</v>
      </c>
      <c r="O1477" s="3" t="s">
        <v>47</v>
      </c>
      <c r="P1477" s="3" t="str">
        <f>IF(Table1[[#This Row],[Billing Amount]]&lt;5000,"Low",IF(Table1[[#This Row],[Billing Amount]]&lt;=15000,"Medium","High"))</f>
        <v>High</v>
      </c>
      <c r="Q1477" s="3" t="str">
        <f>IF(Table1[[#This Row],[Discharge Date]]="Yes","Discharged","Under Treatment")</f>
        <v>Under Treatment</v>
      </c>
      <c r="R1477" s="3" t="str">
        <f>IF(Table1[[#This Row],[Test Results]]&gt;120,"High Risk","Normal")</f>
        <v>High Risk</v>
      </c>
      <c r="S1477" s="3" t="str">
        <f>IF(Table1[[#This Row],[Age]]&lt;=18,"0-18",IF(Table1[[#This Row],[Age]]&lt;=35,"19-35",IF(Table1[[#This Row],[Age]]&lt;=50,"36-50",IF(Table1[[#This Row],[Age]]&lt;=65,"51-65","65+"))))</f>
        <v>51-65</v>
      </c>
    </row>
    <row r="1478" spans="1:19" x14ac:dyDescent="0.3">
      <c r="A1478" s="3" t="s">
        <v>4460</v>
      </c>
      <c r="B1478" s="3">
        <v>79</v>
      </c>
      <c r="C1478" s="3" t="s">
        <v>35</v>
      </c>
      <c r="D1478" s="3" t="s">
        <v>122</v>
      </c>
      <c r="E1478" s="3" t="s">
        <v>54</v>
      </c>
      <c r="F1478" s="4">
        <v>44258</v>
      </c>
      <c r="G1478" s="3" t="s">
        <v>4461</v>
      </c>
      <c r="H1478" s="3" t="s">
        <v>4462</v>
      </c>
      <c r="I1478" s="3" t="s">
        <v>65</v>
      </c>
      <c r="J1478" s="5">
        <v>22394.6896030973</v>
      </c>
      <c r="K1478" s="3">
        <v>495</v>
      </c>
      <c r="L1478" s="3" t="s">
        <v>46</v>
      </c>
      <c r="M1478" s="4">
        <v>44261</v>
      </c>
      <c r="N1478" s="3" t="s">
        <v>23</v>
      </c>
      <c r="O1478" s="3" t="s">
        <v>24</v>
      </c>
      <c r="P1478" s="3" t="str">
        <f>IF(Table1[[#This Row],[Billing Amount]]&lt;5000,"Low",IF(Table1[[#This Row],[Billing Amount]]&lt;=15000,"Medium","High"))</f>
        <v>High</v>
      </c>
      <c r="Q1478" s="3" t="str">
        <f>IF(Table1[[#This Row],[Discharge Date]]="Yes","Discharged","Under Treatment")</f>
        <v>Under Treatment</v>
      </c>
      <c r="R1478" s="3" t="str">
        <f>IF(Table1[[#This Row],[Test Results]]&gt;120,"High Risk","Normal")</f>
        <v>High Risk</v>
      </c>
      <c r="S1478" s="3" t="str">
        <f>IF(Table1[[#This Row],[Age]]&lt;=18,"0-18",IF(Table1[[#This Row],[Age]]&lt;=35,"19-35",IF(Table1[[#This Row],[Age]]&lt;=50,"36-50",IF(Table1[[#This Row],[Age]]&lt;=65,"51-65","65+"))))</f>
        <v>65+</v>
      </c>
    </row>
    <row r="1479" spans="1:19" x14ac:dyDescent="0.3">
      <c r="A1479" s="3" t="s">
        <v>4463</v>
      </c>
      <c r="B1479" s="3">
        <v>60</v>
      </c>
      <c r="C1479" s="3" t="s">
        <v>35</v>
      </c>
      <c r="D1479" s="3" t="s">
        <v>122</v>
      </c>
      <c r="E1479" s="3" t="s">
        <v>54</v>
      </c>
      <c r="F1479" s="4">
        <v>44354</v>
      </c>
      <c r="G1479" s="3" t="s">
        <v>4464</v>
      </c>
      <c r="H1479" s="3" t="s">
        <v>4465</v>
      </c>
      <c r="I1479" s="3" t="s">
        <v>39</v>
      </c>
      <c r="J1479" s="5">
        <v>46469.863677120004</v>
      </c>
      <c r="K1479" s="3">
        <v>468</v>
      </c>
      <c r="L1479" s="3" t="s">
        <v>31</v>
      </c>
      <c r="M1479" s="4">
        <v>44378</v>
      </c>
      <c r="N1479" s="3" t="s">
        <v>52</v>
      </c>
      <c r="O1479" s="3" t="s">
        <v>33</v>
      </c>
      <c r="P1479" s="3" t="str">
        <f>IF(Table1[[#This Row],[Billing Amount]]&lt;5000,"Low",IF(Table1[[#This Row],[Billing Amount]]&lt;=15000,"Medium","High"))</f>
        <v>High</v>
      </c>
      <c r="Q1479" s="3" t="str">
        <f>IF(Table1[[#This Row],[Discharge Date]]="Yes","Discharged","Under Treatment")</f>
        <v>Under Treatment</v>
      </c>
      <c r="R1479" s="3" t="str">
        <f>IF(Table1[[#This Row],[Test Results]]&gt;120,"High Risk","Normal")</f>
        <v>High Risk</v>
      </c>
      <c r="S1479" s="3" t="str">
        <f>IF(Table1[[#This Row],[Age]]&lt;=18,"0-18",IF(Table1[[#This Row],[Age]]&lt;=35,"19-35",IF(Table1[[#This Row],[Age]]&lt;=50,"36-50",IF(Table1[[#This Row],[Age]]&lt;=65,"51-65","65+"))))</f>
        <v>51-65</v>
      </c>
    </row>
    <row r="1480" spans="1:19" x14ac:dyDescent="0.3">
      <c r="A1480" s="3" t="s">
        <v>4466</v>
      </c>
      <c r="B1480" s="3">
        <v>23</v>
      </c>
      <c r="C1480" s="3" t="s">
        <v>16</v>
      </c>
      <c r="D1480" s="3" t="s">
        <v>49</v>
      </c>
      <c r="E1480" s="3" t="s">
        <v>27</v>
      </c>
      <c r="F1480" s="4">
        <v>45050</v>
      </c>
      <c r="G1480" s="3" t="s">
        <v>1376</v>
      </c>
      <c r="H1480" s="3" t="s">
        <v>4467</v>
      </c>
      <c r="I1480" s="3" t="s">
        <v>57</v>
      </c>
      <c r="J1480" s="5">
        <v>41130.194389982396</v>
      </c>
      <c r="K1480" s="3">
        <v>268</v>
      </c>
      <c r="L1480" s="3" t="s">
        <v>22</v>
      </c>
      <c r="M1480" s="4">
        <v>45060</v>
      </c>
      <c r="N1480" s="3" t="s">
        <v>32</v>
      </c>
      <c r="O1480" s="3" t="s">
        <v>47</v>
      </c>
      <c r="P1480" s="3" t="str">
        <f>IF(Table1[[#This Row],[Billing Amount]]&lt;5000,"Low",IF(Table1[[#This Row],[Billing Amount]]&lt;=15000,"Medium","High"))</f>
        <v>High</v>
      </c>
      <c r="Q1480" s="3" t="str">
        <f>IF(Table1[[#This Row],[Discharge Date]]="Yes","Discharged","Under Treatment")</f>
        <v>Under Treatment</v>
      </c>
      <c r="R1480" s="3" t="str">
        <f>IF(Table1[[#This Row],[Test Results]]&gt;120,"High Risk","Normal")</f>
        <v>High Risk</v>
      </c>
      <c r="S1480" s="3" t="str">
        <f>IF(Table1[[#This Row],[Age]]&lt;=18,"0-18",IF(Table1[[#This Row],[Age]]&lt;=35,"19-35",IF(Table1[[#This Row],[Age]]&lt;=50,"36-50",IF(Table1[[#This Row],[Age]]&lt;=65,"51-65","65+"))))</f>
        <v>19-35</v>
      </c>
    </row>
    <row r="1481" spans="1:19" x14ac:dyDescent="0.3">
      <c r="A1481" s="3" t="s">
        <v>4468</v>
      </c>
      <c r="B1481" s="3">
        <v>54</v>
      </c>
      <c r="C1481" s="3" t="s">
        <v>16</v>
      </c>
      <c r="D1481" s="3" t="s">
        <v>103</v>
      </c>
      <c r="E1481" s="3" t="s">
        <v>76</v>
      </c>
      <c r="F1481" s="4">
        <v>44739</v>
      </c>
      <c r="G1481" s="3" t="s">
        <v>4469</v>
      </c>
      <c r="H1481" s="3" t="s">
        <v>4470</v>
      </c>
      <c r="I1481" s="3" t="s">
        <v>39</v>
      </c>
      <c r="J1481" s="5">
        <v>7649.1470893084397</v>
      </c>
      <c r="K1481" s="3">
        <v>457</v>
      </c>
      <c r="L1481" s="3" t="s">
        <v>22</v>
      </c>
      <c r="M1481" s="4">
        <v>44751</v>
      </c>
      <c r="N1481" s="3" t="s">
        <v>23</v>
      </c>
      <c r="O1481" s="3" t="s">
        <v>47</v>
      </c>
      <c r="P1481" s="3" t="str">
        <f>IF(Table1[[#This Row],[Billing Amount]]&lt;5000,"Low",IF(Table1[[#This Row],[Billing Amount]]&lt;=15000,"Medium","High"))</f>
        <v>Medium</v>
      </c>
      <c r="Q1481" s="3" t="str">
        <f>IF(Table1[[#This Row],[Discharge Date]]="Yes","Discharged","Under Treatment")</f>
        <v>Under Treatment</v>
      </c>
      <c r="R1481" s="3" t="str">
        <f>IF(Table1[[#This Row],[Test Results]]&gt;120,"High Risk","Normal")</f>
        <v>High Risk</v>
      </c>
      <c r="S1481" s="3" t="str">
        <f>IF(Table1[[#This Row],[Age]]&lt;=18,"0-18",IF(Table1[[#This Row],[Age]]&lt;=35,"19-35",IF(Table1[[#This Row],[Age]]&lt;=50,"36-50",IF(Table1[[#This Row],[Age]]&lt;=65,"51-65","65+"))))</f>
        <v>51-65</v>
      </c>
    </row>
    <row r="1482" spans="1:19" x14ac:dyDescent="0.3">
      <c r="A1482" s="3" t="s">
        <v>4471</v>
      </c>
      <c r="B1482" s="3">
        <v>56</v>
      </c>
      <c r="C1482" s="3" t="s">
        <v>35</v>
      </c>
      <c r="D1482" s="3" t="s">
        <v>36</v>
      </c>
      <c r="E1482" s="3" t="s">
        <v>27</v>
      </c>
      <c r="F1482" s="4">
        <v>45350</v>
      </c>
      <c r="G1482" s="3" t="s">
        <v>4472</v>
      </c>
      <c r="H1482" s="3" t="s">
        <v>4473</v>
      </c>
      <c r="I1482" s="3" t="s">
        <v>57</v>
      </c>
      <c r="J1482" s="5">
        <v>14189.170785480401</v>
      </c>
      <c r="K1482" s="3">
        <v>384</v>
      </c>
      <c r="L1482" s="3" t="s">
        <v>22</v>
      </c>
      <c r="M1482" s="4">
        <v>45363</v>
      </c>
      <c r="N1482" s="3" t="s">
        <v>40</v>
      </c>
      <c r="O1482" s="3" t="s">
        <v>33</v>
      </c>
      <c r="P1482" s="3" t="str">
        <f>IF(Table1[[#This Row],[Billing Amount]]&lt;5000,"Low",IF(Table1[[#This Row],[Billing Amount]]&lt;=15000,"Medium","High"))</f>
        <v>Medium</v>
      </c>
      <c r="Q1482" s="3" t="str">
        <f>IF(Table1[[#This Row],[Discharge Date]]="Yes","Discharged","Under Treatment")</f>
        <v>Under Treatment</v>
      </c>
      <c r="R1482" s="3" t="str">
        <f>IF(Table1[[#This Row],[Test Results]]&gt;120,"High Risk","Normal")</f>
        <v>High Risk</v>
      </c>
      <c r="S1482" s="3" t="str">
        <f>IF(Table1[[#This Row],[Age]]&lt;=18,"0-18",IF(Table1[[#This Row],[Age]]&lt;=35,"19-35",IF(Table1[[#This Row],[Age]]&lt;=50,"36-50",IF(Table1[[#This Row],[Age]]&lt;=65,"51-65","65+"))))</f>
        <v>51-65</v>
      </c>
    </row>
    <row r="1483" spans="1:19" x14ac:dyDescent="0.3">
      <c r="A1483" s="3" t="s">
        <v>4474</v>
      </c>
      <c r="B1483" s="3">
        <v>29</v>
      </c>
      <c r="C1483" s="3" t="s">
        <v>16</v>
      </c>
      <c r="D1483" s="3" t="s">
        <v>26</v>
      </c>
      <c r="E1483" s="3" t="s">
        <v>93</v>
      </c>
      <c r="F1483" s="4">
        <v>43862</v>
      </c>
      <c r="G1483" s="3" t="s">
        <v>4475</v>
      </c>
      <c r="H1483" s="3" t="s">
        <v>4476</v>
      </c>
      <c r="I1483" s="3" t="s">
        <v>39</v>
      </c>
      <c r="J1483" s="5">
        <v>38273.069689337397</v>
      </c>
      <c r="K1483" s="3">
        <v>382</v>
      </c>
      <c r="L1483" s="3" t="s">
        <v>46</v>
      </c>
      <c r="M1483" s="4">
        <v>43867</v>
      </c>
      <c r="N1483" s="3" t="s">
        <v>52</v>
      </c>
      <c r="O1483" s="3" t="s">
        <v>33</v>
      </c>
      <c r="P1483" s="3" t="str">
        <f>IF(Table1[[#This Row],[Billing Amount]]&lt;5000,"Low",IF(Table1[[#This Row],[Billing Amount]]&lt;=15000,"Medium","High"))</f>
        <v>High</v>
      </c>
      <c r="Q1483" s="3" t="str">
        <f>IF(Table1[[#This Row],[Discharge Date]]="Yes","Discharged","Under Treatment")</f>
        <v>Under Treatment</v>
      </c>
      <c r="R1483" s="3" t="str">
        <f>IF(Table1[[#This Row],[Test Results]]&gt;120,"High Risk","Normal")</f>
        <v>High Risk</v>
      </c>
      <c r="S1483" s="3" t="str">
        <f>IF(Table1[[#This Row],[Age]]&lt;=18,"0-18",IF(Table1[[#This Row],[Age]]&lt;=35,"19-35",IF(Table1[[#This Row],[Age]]&lt;=50,"36-50",IF(Table1[[#This Row],[Age]]&lt;=65,"51-65","65+"))))</f>
        <v>19-35</v>
      </c>
    </row>
    <row r="1484" spans="1:19" x14ac:dyDescent="0.3">
      <c r="A1484" s="3" t="s">
        <v>4477</v>
      </c>
      <c r="B1484" s="3">
        <v>85</v>
      </c>
      <c r="C1484" s="3" t="s">
        <v>35</v>
      </c>
      <c r="D1484" s="3" t="s">
        <v>42</v>
      </c>
      <c r="E1484" s="3" t="s">
        <v>93</v>
      </c>
      <c r="F1484" s="4">
        <v>44690</v>
      </c>
      <c r="G1484" s="3" t="s">
        <v>4478</v>
      </c>
      <c r="H1484" s="3" t="s">
        <v>4479</v>
      </c>
      <c r="I1484" s="3" t="s">
        <v>39</v>
      </c>
      <c r="J1484" s="5">
        <v>46039.746410895103</v>
      </c>
      <c r="K1484" s="3">
        <v>318</v>
      </c>
      <c r="L1484" s="3" t="s">
        <v>22</v>
      </c>
      <c r="M1484" s="4">
        <v>44699</v>
      </c>
      <c r="N1484" s="3" t="s">
        <v>32</v>
      </c>
      <c r="O1484" s="3" t="s">
        <v>33</v>
      </c>
      <c r="P1484" s="3" t="str">
        <f>IF(Table1[[#This Row],[Billing Amount]]&lt;5000,"Low",IF(Table1[[#This Row],[Billing Amount]]&lt;=15000,"Medium","High"))</f>
        <v>High</v>
      </c>
      <c r="Q1484" s="3" t="str">
        <f>IF(Table1[[#This Row],[Discharge Date]]="Yes","Discharged","Under Treatment")</f>
        <v>Under Treatment</v>
      </c>
      <c r="R1484" s="3" t="str">
        <f>IF(Table1[[#This Row],[Test Results]]&gt;120,"High Risk","Normal")</f>
        <v>High Risk</v>
      </c>
      <c r="S1484" s="3" t="str">
        <f>IF(Table1[[#This Row],[Age]]&lt;=18,"0-18",IF(Table1[[#This Row],[Age]]&lt;=35,"19-35",IF(Table1[[#This Row],[Age]]&lt;=50,"36-50",IF(Table1[[#This Row],[Age]]&lt;=65,"51-65","65+"))))</f>
        <v>65+</v>
      </c>
    </row>
    <row r="1485" spans="1:19" x14ac:dyDescent="0.3">
      <c r="A1485" s="3" t="s">
        <v>4480</v>
      </c>
      <c r="B1485" s="3">
        <v>73</v>
      </c>
      <c r="C1485" s="3" t="s">
        <v>16</v>
      </c>
      <c r="D1485" s="3" t="s">
        <v>42</v>
      </c>
      <c r="E1485" s="3" t="s">
        <v>27</v>
      </c>
      <c r="F1485" s="4">
        <v>44348</v>
      </c>
      <c r="G1485" s="3" t="s">
        <v>4481</v>
      </c>
      <c r="H1485" s="3" t="s">
        <v>4482</v>
      </c>
      <c r="I1485" s="3" t="s">
        <v>65</v>
      </c>
      <c r="J1485" s="5">
        <v>33863.788182012198</v>
      </c>
      <c r="K1485" s="3">
        <v>303</v>
      </c>
      <c r="L1485" s="3" t="s">
        <v>46</v>
      </c>
      <c r="M1485" s="4">
        <v>44376</v>
      </c>
      <c r="N1485" s="3" t="s">
        <v>32</v>
      </c>
      <c r="O1485" s="3" t="s">
        <v>47</v>
      </c>
      <c r="P1485" s="3" t="str">
        <f>IF(Table1[[#This Row],[Billing Amount]]&lt;5000,"Low",IF(Table1[[#This Row],[Billing Amount]]&lt;=15000,"Medium","High"))</f>
        <v>High</v>
      </c>
      <c r="Q1485" s="3" t="str">
        <f>IF(Table1[[#This Row],[Discharge Date]]="Yes","Discharged","Under Treatment")</f>
        <v>Under Treatment</v>
      </c>
      <c r="R1485" s="3" t="str">
        <f>IF(Table1[[#This Row],[Test Results]]&gt;120,"High Risk","Normal")</f>
        <v>High Risk</v>
      </c>
      <c r="S1485" s="3" t="str">
        <f>IF(Table1[[#This Row],[Age]]&lt;=18,"0-18",IF(Table1[[#This Row],[Age]]&lt;=35,"19-35",IF(Table1[[#This Row],[Age]]&lt;=50,"36-50",IF(Table1[[#This Row],[Age]]&lt;=65,"51-65","65+"))))</f>
        <v>65+</v>
      </c>
    </row>
    <row r="1486" spans="1:19" x14ac:dyDescent="0.3">
      <c r="A1486" s="3" t="s">
        <v>4483</v>
      </c>
      <c r="B1486" s="3">
        <v>61</v>
      </c>
      <c r="C1486" s="3" t="s">
        <v>16</v>
      </c>
      <c r="D1486" s="3" t="s">
        <v>103</v>
      </c>
      <c r="E1486" s="3" t="s">
        <v>27</v>
      </c>
      <c r="F1486" s="4">
        <v>43740</v>
      </c>
      <c r="G1486" s="3" t="s">
        <v>4484</v>
      </c>
      <c r="H1486" s="3" t="s">
        <v>4485</v>
      </c>
      <c r="I1486" s="3" t="s">
        <v>57</v>
      </c>
      <c r="J1486" s="5">
        <v>32825.417337744097</v>
      </c>
      <c r="K1486" s="3">
        <v>383</v>
      </c>
      <c r="L1486" s="3" t="s">
        <v>22</v>
      </c>
      <c r="M1486" s="4">
        <v>43745</v>
      </c>
      <c r="N1486" s="3" t="s">
        <v>52</v>
      </c>
      <c r="O1486" s="3" t="s">
        <v>33</v>
      </c>
      <c r="P1486" s="3" t="str">
        <f>IF(Table1[[#This Row],[Billing Amount]]&lt;5000,"Low",IF(Table1[[#This Row],[Billing Amount]]&lt;=15000,"Medium","High"))</f>
        <v>High</v>
      </c>
      <c r="Q1486" s="3" t="str">
        <f>IF(Table1[[#This Row],[Discharge Date]]="Yes","Discharged","Under Treatment")</f>
        <v>Under Treatment</v>
      </c>
      <c r="R1486" s="3" t="str">
        <f>IF(Table1[[#This Row],[Test Results]]&gt;120,"High Risk","Normal")</f>
        <v>High Risk</v>
      </c>
      <c r="S1486" s="3" t="str">
        <f>IF(Table1[[#This Row],[Age]]&lt;=18,"0-18",IF(Table1[[#This Row],[Age]]&lt;=35,"19-35",IF(Table1[[#This Row],[Age]]&lt;=50,"36-50",IF(Table1[[#This Row],[Age]]&lt;=65,"51-65","65+"))))</f>
        <v>51-65</v>
      </c>
    </row>
    <row r="1487" spans="1:19" x14ac:dyDescent="0.3">
      <c r="A1487" s="3" t="s">
        <v>4486</v>
      </c>
      <c r="B1487" s="3">
        <v>37</v>
      </c>
      <c r="C1487" s="3" t="s">
        <v>16</v>
      </c>
      <c r="D1487" s="3" t="s">
        <v>49</v>
      </c>
      <c r="E1487" s="3" t="s">
        <v>43</v>
      </c>
      <c r="F1487" s="4">
        <v>43944</v>
      </c>
      <c r="G1487" s="3" t="s">
        <v>4487</v>
      </c>
      <c r="H1487" s="3" t="s">
        <v>4488</v>
      </c>
      <c r="I1487" s="3" t="s">
        <v>30</v>
      </c>
      <c r="J1487" s="5">
        <v>38693.986203444802</v>
      </c>
      <c r="K1487" s="3">
        <v>230</v>
      </c>
      <c r="L1487" s="3" t="s">
        <v>31</v>
      </c>
      <c r="M1487" s="4">
        <v>43958</v>
      </c>
      <c r="N1487" s="3" t="s">
        <v>79</v>
      </c>
      <c r="O1487" s="3" t="s">
        <v>47</v>
      </c>
      <c r="P1487" s="3" t="str">
        <f>IF(Table1[[#This Row],[Billing Amount]]&lt;5000,"Low",IF(Table1[[#This Row],[Billing Amount]]&lt;=15000,"Medium","High"))</f>
        <v>High</v>
      </c>
      <c r="Q1487" s="3" t="str">
        <f>IF(Table1[[#This Row],[Discharge Date]]="Yes","Discharged","Under Treatment")</f>
        <v>Under Treatment</v>
      </c>
      <c r="R1487" s="3" t="str">
        <f>IF(Table1[[#This Row],[Test Results]]&gt;120,"High Risk","Normal")</f>
        <v>High Risk</v>
      </c>
      <c r="S1487" s="3" t="str">
        <f>IF(Table1[[#This Row],[Age]]&lt;=18,"0-18",IF(Table1[[#This Row],[Age]]&lt;=35,"19-35",IF(Table1[[#This Row],[Age]]&lt;=50,"36-50",IF(Table1[[#This Row],[Age]]&lt;=65,"51-65","65+"))))</f>
        <v>36-50</v>
      </c>
    </row>
    <row r="1488" spans="1:19" x14ac:dyDescent="0.3">
      <c r="A1488" s="3" t="s">
        <v>4489</v>
      </c>
      <c r="B1488" s="3">
        <v>23</v>
      </c>
      <c r="C1488" s="3" t="s">
        <v>16</v>
      </c>
      <c r="D1488" s="3" t="s">
        <v>59</v>
      </c>
      <c r="E1488" s="3" t="s">
        <v>76</v>
      </c>
      <c r="F1488" s="4">
        <v>45026</v>
      </c>
      <c r="G1488" s="3" t="s">
        <v>4233</v>
      </c>
      <c r="H1488" s="3" t="s">
        <v>4490</v>
      </c>
      <c r="I1488" s="3" t="s">
        <v>57</v>
      </c>
      <c r="J1488" s="5">
        <v>43013.506084869798</v>
      </c>
      <c r="K1488" s="3">
        <v>281</v>
      </c>
      <c r="L1488" s="3" t="s">
        <v>22</v>
      </c>
      <c r="M1488" s="4">
        <v>45042</v>
      </c>
      <c r="N1488" s="3" t="s">
        <v>40</v>
      </c>
      <c r="O1488" s="3" t="s">
        <v>47</v>
      </c>
      <c r="P1488" s="3" t="str">
        <f>IF(Table1[[#This Row],[Billing Amount]]&lt;5000,"Low",IF(Table1[[#This Row],[Billing Amount]]&lt;=15000,"Medium","High"))</f>
        <v>High</v>
      </c>
      <c r="Q1488" s="3" t="str">
        <f>IF(Table1[[#This Row],[Discharge Date]]="Yes","Discharged","Under Treatment")</f>
        <v>Under Treatment</v>
      </c>
      <c r="R1488" s="3" t="str">
        <f>IF(Table1[[#This Row],[Test Results]]&gt;120,"High Risk","Normal")</f>
        <v>High Risk</v>
      </c>
      <c r="S1488" s="3" t="str">
        <f>IF(Table1[[#This Row],[Age]]&lt;=18,"0-18",IF(Table1[[#This Row],[Age]]&lt;=35,"19-35",IF(Table1[[#This Row],[Age]]&lt;=50,"36-50",IF(Table1[[#This Row],[Age]]&lt;=65,"51-65","65+"))))</f>
        <v>19-35</v>
      </c>
    </row>
    <row r="1489" spans="1:19" x14ac:dyDescent="0.3">
      <c r="A1489" s="3" t="s">
        <v>4491</v>
      </c>
      <c r="B1489" s="3">
        <v>24</v>
      </c>
      <c r="C1489" s="3" t="s">
        <v>35</v>
      </c>
      <c r="D1489" s="3" t="s">
        <v>59</v>
      </c>
      <c r="E1489" s="3" t="s">
        <v>54</v>
      </c>
      <c r="F1489" s="4">
        <v>45232</v>
      </c>
      <c r="G1489" s="3" t="s">
        <v>4492</v>
      </c>
      <c r="H1489" s="3" t="s">
        <v>4493</v>
      </c>
      <c r="I1489" s="3" t="s">
        <v>21</v>
      </c>
      <c r="J1489" s="5">
        <v>30721.126423224701</v>
      </c>
      <c r="K1489" s="3">
        <v>256</v>
      </c>
      <c r="L1489" s="3" t="s">
        <v>31</v>
      </c>
      <c r="M1489" s="4">
        <v>45236</v>
      </c>
      <c r="N1489" s="3" t="s">
        <v>23</v>
      </c>
      <c r="O1489" s="3" t="s">
        <v>33</v>
      </c>
      <c r="P1489" s="3" t="str">
        <f>IF(Table1[[#This Row],[Billing Amount]]&lt;5000,"Low",IF(Table1[[#This Row],[Billing Amount]]&lt;=15000,"Medium","High"))</f>
        <v>High</v>
      </c>
      <c r="Q1489" s="3" t="str">
        <f>IF(Table1[[#This Row],[Discharge Date]]="Yes","Discharged","Under Treatment")</f>
        <v>Under Treatment</v>
      </c>
      <c r="R1489" s="3" t="str">
        <f>IF(Table1[[#This Row],[Test Results]]&gt;120,"High Risk","Normal")</f>
        <v>High Risk</v>
      </c>
      <c r="S1489" s="3" t="str">
        <f>IF(Table1[[#This Row],[Age]]&lt;=18,"0-18",IF(Table1[[#This Row],[Age]]&lt;=35,"19-35",IF(Table1[[#This Row],[Age]]&lt;=50,"36-50",IF(Table1[[#This Row],[Age]]&lt;=65,"51-65","65+"))))</f>
        <v>19-35</v>
      </c>
    </row>
    <row r="1490" spans="1:19" x14ac:dyDescent="0.3">
      <c r="A1490" s="3" t="s">
        <v>4494</v>
      </c>
      <c r="B1490" s="3">
        <v>36</v>
      </c>
      <c r="C1490" s="3" t="s">
        <v>16</v>
      </c>
      <c r="D1490" s="3" t="s">
        <v>122</v>
      </c>
      <c r="E1490" s="3" t="s">
        <v>76</v>
      </c>
      <c r="F1490" s="4">
        <v>44041</v>
      </c>
      <c r="G1490" s="3" t="s">
        <v>4495</v>
      </c>
      <c r="H1490" s="3" t="s">
        <v>4496</v>
      </c>
      <c r="I1490" s="3" t="s">
        <v>21</v>
      </c>
      <c r="J1490" s="5">
        <v>24629.484564964601</v>
      </c>
      <c r="K1490" s="3">
        <v>399</v>
      </c>
      <c r="L1490" s="3" t="s">
        <v>31</v>
      </c>
      <c r="M1490" s="4">
        <v>44059</v>
      </c>
      <c r="N1490" s="3" t="s">
        <v>32</v>
      </c>
      <c r="O1490" s="3" t="s">
        <v>47</v>
      </c>
      <c r="P1490" s="3" t="str">
        <f>IF(Table1[[#This Row],[Billing Amount]]&lt;5000,"Low",IF(Table1[[#This Row],[Billing Amount]]&lt;=15000,"Medium","High"))</f>
        <v>High</v>
      </c>
      <c r="Q1490" s="3" t="str">
        <f>IF(Table1[[#This Row],[Discharge Date]]="Yes","Discharged","Under Treatment")</f>
        <v>Under Treatment</v>
      </c>
      <c r="R1490" s="3" t="str">
        <f>IF(Table1[[#This Row],[Test Results]]&gt;120,"High Risk","Normal")</f>
        <v>High Risk</v>
      </c>
      <c r="S1490" s="3" t="str">
        <f>IF(Table1[[#This Row],[Age]]&lt;=18,"0-18",IF(Table1[[#This Row],[Age]]&lt;=35,"19-35",IF(Table1[[#This Row],[Age]]&lt;=50,"36-50",IF(Table1[[#This Row],[Age]]&lt;=65,"51-65","65+"))))</f>
        <v>36-50</v>
      </c>
    </row>
    <row r="1491" spans="1:19" x14ac:dyDescent="0.3">
      <c r="A1491" s="3" t="s">
        <v>4497</v>
      </c>
      <c r="B1491" s="3">
        <v>28</v>
      </c>
      <c r="C1491" s="3" t="s">
        <v>35</v>
      </c>
      <c r="D1491" s="3" t="s">
        <v>36</v>
      </c>
      <c r="E1491" s="3" t="s">
        <v>76</v>
      </c>
      <c r="F1491" s="4">
        <v>44175</v>
      </c>
      <c r="G1491" s="3" t="s">
        <v>4498</v>
      </c>
      <c r="H1491" s="3" t="s">
        <v>4499</v>
      </c>
      <c r="I1491" s="3" t="s">
        <v>21</v>
      </c>
      <c r="J1491" s="5">
        <v>19579.3263982139</v>
      </c>
      <c r="K1491" s="3">
        <v>206</v>
      </c>
      <c r="L1491" s="3" t="s">
        <v>31</v>
      </c>
      <c r="M1491" s="4">
        <v>44204</v>
      </c>
      <c r="N1491" s="3" t="s">
        <v>32</v>
      </c>
      <c r="O1491" s="3" t="s">
        <v>24</v>
      </c>
      <c r="P1491" s="3" t="str">
        <f>IF(Table1[[#This Row],[Billing Amount]]&lt;5000,"Low",IF(Table1[[#This Row],[Billing Amount]]&lt;=15000,"Medium","High"))</f>
        <v>High</v>
      </c>
      <c r="Q1491" s="3" t="str">
        <f>IF(Table1[[#This Row],[Discharge Date]]="Yes","Discharged","Under Treatment")</f>
        <v>Under Treatment</v>
      </c>
      <c r="R1491" s="3" t="str">
        <f>IF(Table1[[#This Row],[Test Results]]&gt;120,"High Risk","Normal")</f>
        <v>High Risk</v>
      </c>
      <c r="S1491" s="3" t="str">
        <f>IF(Table1[[#This Row],[Age]]&lt;=18,"0-18",IF(Table1[[#This Row],[Age]]&lt;=35,"19-35",IF(Table1[[#This Row],[Age]]&lt;=50,"36-50",IF(Table1[[#This Row],[Age]]&lt;=65,"51-65","65+"))))</f>
        <v>19-35</v>
      </c>
    </row>
    <row r="1492" spans="1:19" x14ac:dyDescent="0.3">
      <c r="A1492" s="3" t="s">
        <v>4500</v>
      </c>
      <c r="B1492" s="3">
        <v>70</v>
      </c>
      <c r="C1492" s="3" t="s">
        <v>16</v>
      </c>
      <c r="D1492" s="3" t="s">
        <v>26</v>
      </c>
      <c r="E1492" s="3" t="s">
        <v>43</v>
      </c>
      <c r="F1492" s="4">
        <v>44859</v>
      </c>
      <c r="G1492" s="3" t="s">
        <v>4501</v>
      </c>
      <c r="H1492" s="3" t="s">
        <v>4502</v>
      </c>
      <c r="I1492" s="3" t="s">
        <v>21</v>
      </c>
      <c r="J1492" s="5">
        <v>9539.2563115365992</v>
      </c>
      <c r="K1492" s="3">
        <v>392</v>
      </c>
      <c r="L1492" s="3" t="s">
        <v>31</v>
      </c>
      <c r="M1492" s="4">
        <v>44866</v>
      </c>
      <c r="N1492" s="3" t="s">
        <v>32</v>
      </c>
      <c r="O1492" s="3" t="s">
        <v>47</v>
      </c>
      <c r="P1492" s="3" t="str">
        <f>IF(Table1[[#This Row],[Billing Amount]]&lt;5000,"Low",IF(Table1[[#This Row],[Billing Amount]]&lt;=15000,"Medium","High"))</f>
        <v>Medium</v>
      </c>
      <c r="Q1492" s="3" t="str">
        <f>IF(Table1[[#This Row],[Discharge Date]]="Yes","Discharged","Under Treatment")</f>
        <v>Under Treatment</v>
      </c>
      <c r="R1492" s="3" t="str">
        <f>IF(Table1[[#This Row],[Test Results]]&gt;120,"High Risk","Normal")</f>
        <v>High Risk</v>
      </c>
      <c r="S1492" s="3" t="str">
        <f>IF(Table1[[#This Row],[Age]]&lt;=18,"0-18",IF(Table1[[#This Row],[Age]]&lt;=35,"19-35",IF(Table1[[#This Row],[Age]]&lt;=50,"36-50",IF(Table1[[#This Row],[Age]]&lt;=65,"51-65","65+"))))</f>
        <v>65+</v>
      </c>
    </row>
    <row r="1493" spans="1:19" x14ac:dyDescent="0.3">
      <c r="A1493" s="3" t="s">
        <v>4503</v>
      </c>
      <c r="B1493" s="3">
        <v>25</v>
      </c>
      <c r="C1493" s="3" t="s">
        <v>16</v>
      </c>
      <c r="D1493" s="3" t="s">
        <v>42</v>
      </c>
      <c r="E1493" s="3" t="s">
        <v>18</v>
      </c>
      <c r="F1493" s="4">
        <v>43945</v>
      </c>
      <c r="G1493" s="3" t="s">
        <v>4504</v>
      </c>
      <c r="H1493" s="3" t="s">
        <v>4505</v>
      </c>
      <c r="I1493" s="3" t="s">
        <v>57</v>
      </c>
      <c r="J1493" s="5">
        <v>31329.480596277899</v>
      </c>
      <c r="K1493" s="3">
        <v>279</v>
      </c>
      <c r="L1493" s="3" t="s">
        <v>22</v>
      </c>
      <c r="M1493" s="4">
        <v>43951</v>
      </c>
      <c r="N1493" s="3" t="s">
        <v>32</v>
      </c>
      <c r="O1493" s="3" t="s">
        <v>24</v>
      </c>
      <c r="P1493" s="3" t="str">
        <f>IF(Table1[[#This Row],[Billing Amount]]&lt;5000,"Low",IF(Table1[[#This Row],[Billing Amount]]&lt;=15000,"Medium","High"))</f>
        <v>High</v>
      </c>
      <c r="Q1493" s="3" t="str">
        <f>IF(Table1[[#This Row],[Discharge Date]]="Yes","Discharged","Under Treatment")</f>
        <v>Under Treatment</v>
      </c>
      <c r="R1493" s="3" t="str">
        <f>IF(Table1[[#This Row],[Test Results]]&gt;120,"High Risk","Normal")</f>
        <v>High Risk</v>
      </c>
      <c r="S1493" s="3" t="str">
        <f>IF(Table1[[#This Row],[Age]]&lt;=18,"0-18",IF(Table1[[#This Row],[Age]]&lt;=35,"19-35",IF(Table1[[#This Row],[Age]]&lt;=50,"36-50",IF(Table1[[#This Row],[Age]]&lt;=65,"51-65","65+"))))</f>
        <v>19-35</v>
      </c>
    </row>
    <row r="1494" spans="1:19" x14ac:dyDescent="0.3">
      <c r="A1494" s="3" t="s">
        <v>4506</v>
      </c>
      <c r="B1494" s="3">
        <v>43</v>
      </c>
      <c r="C1494" s="3" t="s">
        <v>35</v>
      </c>
      <c r="D1494" s="3" t="s">
        <v>122</v>
      </c>
      <c r="E1494" s="3" t="s">
        <v>54</v>
      </c>
      <c r="F1494" s="4">
        <v>45409</v>
      </c>
      <c r="G1494" s="3" t="s">
        <v>4507</v>
      </c>
      <c r="H1494" s="3" t="s">
        <v>108</v>
      </c>
      <c r="I1494" s="3" t="s">
        <v>39</v>
      </c>
      <c r="J1494" s="5">
        <v>23704.8178350577</v>
      </c>
      <c r="K1494" s="3">
        <v>352</v>
      </c>
      <c r="L1494" s="3" t="s">
        <v>31</v>
      </c>
      <c r="M1494" s="4">
        <v>45438</v>
      </c>
      <c r="N1494" s="3" t="s">
        <v>23</v>
      </c>
      <c r="O1494" s="3" t="s">
        <v>47</v>
      </c>
      <c r="P1494" s="3" t="str">
        <f>IF(Table1[[#This Row],[Billing Amount]]&lt;5000,"Low",IF(Table1[[#This Row],[Billing Amount]]&lt;=15000,"Medium","High"))</f>
        <v>High</v>
      </c>
      <c r="Q1494" s="3" t="str">
        <f>IF(Table1[[#This Row],[Discharge Date]]="Yes","Discharged","Under Treatment")</f>
        <v>Under Treatment</v>
      </c>
      <c r="R1494" s="3" t="str">
        <f>IF(Table1[[#This Row],[Test Results]]&gt;120,"High Risk","Normal")</f>
        <v>High Risk</v>
      </c>
      <c r="S1494" s="3" t="str">
        <f>IF(Table1[[#This Row],[Age]]&lt;=18,"0-18",IF(Table1[[#This Row],[Age]]&lt;=35,"19-35",IF(Table1[[#This Row],[Age]]&lt;=50,"36-50",IF(Table1[[#This Row],[Age]]&lt;=65,"51-65","65+"))))</f>
        <v>36-50</v>
      </c>
    </row>
    <row r="1495" spans="1:19" x14ac:dyDescent="0.3">
      <c r="A1495" s="3" t="s">
        <v>4508</v>
      </c>
      <c r="B1495" s="3">
        <v>40</v>
      </c>
      <c r="C1495" s="3" t="s">
        <v>16</v>
      </c>
      <c r="D1495" s="3" t="s">
        <v>103</v>
      </c>
      <c r="E1495" s="3" t="s">
        <v>43</v>
      </c>
      <c r="F1495" s="4">
        <v>44561</v>
      </c>
      <c r="G1495" s="3" t="s">
        <v>4509</v>
      </c>
      <c r="H1495" s="3" t="s">
        <v>4510</v>
      </c>
      <c r="I1495" s="3" t="s">
        <v>57</v>
      </c>
      <c r="J1495" s="5">
        <v>17563.4079109905</v>
      </c>
      <c r="K1495" s="3">
        <v>122</v>
      </c>
      <c r="L1495" s="3" t="s">
        <v>46</v>
      </c>
      <c r="M1495" s="4">
        <v>44562</v>
      </c>
      <c r="N1495" s="3" t="s">
        <v>40</v>
      </c>
      <c r="O1495" s="3" t="s">
        <v>24</v>
      </c>
      <c r="P1495" s="3" t="str">
        <f>IF(Table1[[#This Row],[Billing Amount]]&lt;5000,"Low",IF(Table1[[#This Row],[Billing Amount]]&lt;=15000,"Medium","High"))</f>
        <v>High</v>
      </c>
      <c r="Q1495" s="3" t="str">
        <f>IF(Table1[[#This Row],[Discharge Date]]="Yes","Discharged","Under Treatment")</f>
        <v>Under Treatment</v>
      </c>
      <c r="R1495" s="3" t="str">
        <f>IF(Table1[[#This Row],[Test Results]]&gt;120,"High Risk","Normal")</f>
        <v>High Risk</v>
      </c>
      <c r="S1495" s="3" t="str">
        <f>IF(Table1[[#This Row],[Age]]&lt;=18,"0-18",IF(Table1[[#This Row],[Age]]&lt;=35,"19-35",IF(Table1[[#This Row],[Age]]&lt;=50,"36-50",IF(Table1[[#This Row],[Age]]&lt;=65,"51-65","65+"))))</f>
        <v>36-50</v>
      </c>
    </row>
    <row r="1496" spans="1:19" x14ac:dyDescent="0.3">
      <c r="A1496" s="3" t="s">
        <v>4511</v>
      </c>
      <c r="B1496" s="3">
        <v>43</v>
      </c>
      <c r="C1496" s="3" t="s">
        <v>35</v>
      </c>
      <c r="D1496" s="3" t="s">
        <v>49</v>
      </c>
      <c r="E1496" s="3" t="s">
        <v>54</v>
      </c>
      <c r="F1496" s="4">
        <v>45052</v>
      </c>
      <c r="G1496" s="3" t="s">
        <v>4512</v>
      </c>
      <c r="H1496" s="3" t="s">
        <v>4513</v>
      </c>
      <c r="I1496" s="3" t="s">
        <v>65</v>
      </c>
      <c r="J1496" s="5">
        <v>24049.260563089199</v>
      </c>
      <c r="K1496" s="3">
        <v>444</v>
      </c>
      <c r="L1496" s="3" t="s">
        <v>46</v>
      </c>
      <c r="M1496" s="4">
        <v>45055</v>
      </c>
      <c r="N1496" s="3" t="s">
        <v>40</v>
      </c>
      <c r="O1496" s="3" t="s">
        <v>47</v>
      </c>
      <c r="P1496" s="3" t="str">
        <f>IF(Table1[[#This Row],[Billing Amount]]&lt;5000,"Low",IF(Table1[[#This Row],[Billing Amount]]&lt;=15000,"Medium","High"))</f>
        <v>High</v>
      </c>
      <c r="Q1496" s="3" t="str">
        <f>IF(Table1[[#This Row],[Discharge Date]]="Yes","Discharged","Under Treatment")</f>
        <v>Under Treatment</v>
      </c>
      <c r="R1496" s="3" t="str">
        <f>IF(Table1[[#This Row],[Test Results]]&gt;120,"High Risk","Normal")</f>
        <v>High Risk</v>
      </c>
      <c r="S1496" s="3" t="str">
        <f>IF(Table1[[#This Row],[Age]]&lt;=18,"0-18",IF(Table1[[#This Row],[Age]]&lt;=35,"19-35",IF(Table1[[#This Row],[Age]]&lt;=50,"36-50",IF(Table1[[#This Row],[Age]]&lt;=65,"51-65","65+"))))</f>
        <v>36-50</v>
      </c>
    </row>
    <row r="1497" spans="1:19" x14ac:dyDescent="0.3">
      <c r="A1497" s="3" t="s">
        <v>4514</v>
      </c>
      <c r="B1497" s="3">
        <v>19</v>
      </c>
      <c r="C1497" s="3" t="s">
        <v>16</v>
      </c>
      <c r="D1497" s="3" t="s">
        <v>42</v>
      </c>
      <c r="E1497" s="3" t="s">
        <v>18</v>
      </c>
      <c r="F1497" s="4">
        <v>43866</v>
      </c>
      <c r="G1497" s="3" t="s">
        <v>4515</v>
      </c>
      <c r="H1497" s="3" t="s">
        <v>4516</v>
      </c>
      <c r="I1497" s="3" t="s">
        <v>21</v>
      </c>
      <c r="J1497" s="5">
        <v>42444.665944458997</v>
      </c>
      <c r="K1497" s="3">
        <v>346</v>
      </c>
      <c r="L1497" s="3" t="s">
        <v>31</v>
      </c>
      <c r="M1497" s="4">
        <v>43877</v>
      </c>
      <c r="N1497" s="3" t="s">
        <v>32</v>
      </c>
      <c r="O1497" s="3" t="s">
        <v>47</v>
      </c>
      <c r="P1497" s="3" t="str">
        <f>IF(Table1[[#This Row],[Billing Amount]]&lt;5000,"Low",IF(Table1[[#This Row],[Billing Amount]]&lt;=15000,"Medium","High"))</f>
        <v>High</v>
      </c>
      <c r="Q1497" s="3" t="str">
        <f>IF(Table1[[#This Row],[Discharge Date]]="Yes","Discharged","Under Treatment")</f>
        <v>Under Treatment</v>
      </c>
      <c r="R1497" s="3" t="str">
        <f>IF(Table1[[#This Row],[Test Results]]&gt;120,"High Risk","Normal")</f>
        <v>High Risk</v>
      </c>
      <c r="S1497" s="3" t="str">
        <f>IF(Table1[[#This Row],[Age]]&lt;=18,"0-18",IF(Table1[[#This Row],[Age]]&lt;=35,"19-35",IF(Table1[[#This Row],[Age]]&lt;=50,"36-50",IF(Table1[[#This Row],[Age]]&lt;=65,"51-65","65+"))))</f>
        <v>19-35</v>
      </c>
    </row>
    <row r="1498" spans="1:19" x14ac:dyDescent="0.3">
      <c r="A1498" s="3" t="s">
        <v>4517</v>
      </c>
      <c r="B1498" s="3">
        <v>22</v>
      </c>
      <c r="C1498" s="3" t="s">
        <v>16</v>
      </c>
      <c r="D1498" s="3" t="s">
        <v>122</v>
      </c>
      <c r="E1498" s="3" t="s">
        <v>76</v>
      </c>
      <c r="F1498" s="4">
        <v>44371</v>
      </c>
      <c r="G1498" s="3" t="s">
        <v>3435</v>
      </c>
      <c r="H1498" s="3" t="s">
        <v>4518</v>
      </c>
      <c r="I1498" s="3" t="s">
        <v>57</v>
      </c>
      <c r="J1498" s="5">
        <v>46188.618481951802</v>
      </c>
      <c r="K1498" s="3">
        <v>234</v>
      </c>
      <c r="L1498" s="3" t="s">
        <v>22</v>
      </c>
      <c r="M1498" s="4">
        <v>44397</v>
      </c>
      <c r="N1498" s="3" t="s">
        <v>23</v>
      </c>
      <c r="O1498" s="3" t="s">
        <v>47</v>
      </c>
      <c r="P1498" s="3" t="str">
        <f>IF(Table1[[#This Row],[Billing Amount]]&lt;5000,"Low",IF(Table1[[#This Row],[Billing Amount]]&lt;=15000,"Medium","High"))</f>
        <v>High</v>
      </c>
      <c r="Q1498" s="3" t="str">
        <f>IF(Table1[[#This Row],[Discharge Date]]="Yes","Discharged","Under Treatment")</f>
        <v>Under Treatment</v>
      </c>
      <c r="R1498" s="3" t="str">
        <f>IF(Table1[[#This Row],[Test Results]]&gt;120,"High Risk","Normal")</f>
        <v>High Risk</v>
      </c>
      <c r="S1498" s="3" t="str">
        <f>IF(Table1[[#This Row],[Age]]&lt;=18,"0-18",IF(Table1[[#This Row],[Age]]&lt;=35,"19-35",IF(Table1[[#This Row],[Age]]&lt;=50,"36-50",IF(Table1[[#This Row],[Age]]&lt;=65,"51-65","65+"))))</f>
        <v>19-35</v>
      </c>
    </row>
    <row r="1499" spans="1:19" x14ac:dyDescent="0.3">
      <c r="A1499" s="3" t="s">
        <v>4520</v>
      </c>
      <c r="B1499" s="3">
        <v>19</v>
      </c>
      <c r="C1499" s="3" t="s">
        <v>35</v>
      </c>
      <c r="D1499" s="3" t="s">
        <v>36</v>
      </c>
      <c r="E1499" s="3" t="s">
        <v>43</v>
      </c>
      <c r="F1499" s="4">
        <v>44912</v>
      </c>
      <c r="G1499" s="3" t="s">
        <v>4521</v>
      </c>
      <c r="H1499" s="3" t="s">
        <v>4522</v>
      </c>
      <c r="I1499" s="3" t="s">
        <v>39</v>
      </c>
      <c r="J1499" s="5">
        <v>14680.378213243999</v>
      </c>
      <c r="K1499" s="3">
        <v>318</v>
      </c>
      <c r="L1499" s="3" t="s">
        <v>31</v>
      </c>
      <c r="M1499" s="4">
        <v>44915</v>
      </c>
      <c r="N1499" s="3" t="s">
        <v>23</v>
      </c>
      <c r="O1499" s="3" t="s">
        <v>47</v>
      </c>
      <c r="P1499" s="3" t="str">
        <f>IF(Table1[[#This Row],[Billing Amount]]&lt;5000,"Low",IF(Table1[[#This Row],[Billing Amount]]&lt;=15000,"Medium","High"))</f>
        <v>Medium</v>
      </c>
      <c r="Q1499" s="3" t="str">
        <f>IF(Table1[[#This Row],[Discharge Date]]="Yes","Discharged","Under Treatment")</f>
        <v>Under Treatment</v>
      </c>
      <c r="R1499" s="3" t="str">
        <f>IF(Table1[[#This Row],[Test Results]]&gt;120,"High Risk","Normal")</f>
        <v>High Risk</v>
      </c>
      <c r="S1499" s="3" t="str">
        <f>IF(Table1[[#This Row],[Age]]&lt;=18,"0-18",IF(Table1[[#This Row],[Age]]&lt;=35,"19-35",IF(Table1[[#This Row],[Age]]&lt;=50,"36-50",IF(Table1[[#This Row],[Age]]&lt;=65,"51-65","65+"))))</f>
        <v>19-35</v>
      </c>
    </row>
    <row r="1500" spans="1:19" x14ac:dyDescent="0.3">
      <c r="A1500" s="3" t="s">
        <v>4523</v>
      </c>
      <c r="B1500" s="3">
        <v>36</v>
      </c>
      <c r="C1500" s="3" t="s">
        <v>16</v>
      </c>
      <c r="D1500" s="3" t="s">
        <v>42</v>
      </c>
      <c r="E1500" s="3" t="s">
        <v>93</v>
      </c>
      <c r="F1500" s="4">
        <v>43698</v>
      </c>
      <c r="G1500" s="3" t="s">
        <v>4524</v>
      </c>
      <c r="H1500" s="3" t="s">
        <v>358</v>
      </c>
      <c r="I1500" s="3" t="s">
        <v>57</v>
      </c>
      <c r="J1500" s="5">
        <v>11077.240275126</v>
      </c>
      <c r="K1500" s="3">
        <v>416</v>
      </c>
      <c r="L1500" s="3" t="s">
        <v>22</v>
      </c>
      <c r="M1500" s="4">
        <v>43723</v>
      </c>
      <c r="N1500" s="3" t="s">
        <v>32</v>
      </c>
      <c r="O1500" s="3" t="s">
        <v>47</v>
      </c>
      <c r="P1500" s="3" t="str">
        <f>IF(Table1[[#This Row],[Billing Amount]]&lt;5000,"Low",IF(Table1[[#This Row],[Billing Amount]]&lt;=15000,"Medium","High"))</f>
        <v>Medium</v>
      </c>
      <c r="Q1500" s="3" t="str">
        <f>IF(Table1[[#This Row],[Discharge Date]]="Yes","Discharged","Under Treatment")</f>
        <v>Under Treatment</v>
      </c>
      <c r="R1500" s="3" t="str">
        <f>IF(Table1[[#This Row],[Test Results]]&gt;120,"High Risk","Normal")</f>
        <v>High Risk</v>
      </c>
      <c r="S1500" s="3" t="str">
        <f>IF(Table1[[#This Row],[Age]]&lt;=18,"0-18",IF(Table1[[#This Row],[Age]]&lt;=35,"19-35",IF(Table1[[#This Row],[Age]]&lt;=50,"36-50",IF(Table1[[#This Row],[Age]]&lt;=65,"51-65","65+"))))</f>
        <v>36-50</v>
      </c>
    </row>
    <row r="1501" spans="1:19" x14ac:dyDescent="0.3">
      <c r="A1501" s="3" t="s">
        <v>4525</v>
      </c>
      <c r="B1501" s="3">
        <v>20</v>
      </c>
      <c r="C1501" s="3" t="s">
        <v>35</v>
      </c>
      <c r="D1501" s="3" t="s">
        <v>122</v>
      </c>
      <c r="E1501" s="3" t="s">
        <v>93</v>
      </c>
      <c r="F1501" s="4">
        <v>45293</v>
      </c>
      <c r="G1501" s="3" t="s">
        <v>4526</v>
      </c>
      <c r="H1501" s="3" t="s">
        <v>4527</v>
      </c>
      <c r="I1501" s="3" t="s">
        <v>65</v>
      </c>
      <c r="J1501" s="5">
        <v>29874.1057019939</v>
      </c>
      <c r="K1501" s="3">
        <v>389</v>
      </c>
      <c r="L1501" s="3" t="s">
        <v>46</v>
      </c>
      <c r="M1501" s="4">
        <v>45323</v>
      </c>
      <c r="N1501" s="3" t="s">
        <v>52</v>
      </c>
      <c r="O1501" s="3" t="s">
        <v>24</v>
      </c>
      <c r="P1501" s="3" t="str">
        <f>IF(Table1[[#This Row],[Billing Amount]]&lt;5000,"Low",IF(Table1[[#This Row],[Billing Amount]]&lt;=15000,"Medium","High"))</f>
        <v>High</v>
      </c>
      <c r="Q1501" s="3" t="str">
        <f>IF(Table1[[#This Row],[Discharge Date]]="Yes","Discharged","Under Treatment")</f>
        <v>Under Treatment</v>
      </c>
      <c r="R1501" s="3" t="str">
        <f>IF(Table1[[#This Row],[Test Results]]&gt;120,"High Risk","Normal")</f>
        <v>High Risk</v>
      </c>
      <c r="S1501" s="3" t="str">
        <f>IF(Table1[[#This Row],[Age]]&lt;=18,"0-18",IF(Table1[[#This Row],[Age]]&lt;=35,"19-35",IF(Table1[[#This Row],[Age]]&lt;=50,"36-50",IF(Table1[[#This Row],[Age]]&lt;=65,"51-65","65+"))))</f>
        <v>19-35</v>
      </c>
    </row>
    <row r="1502" spans="1:19" x14ac:dyDescent="0.3">
      <c r="A1502" s="3" t="s">
        <v>4528</v>
      </c>
      <c r="B1502" s="3">
        <v>78</v>
      </c>
      <c r="C1502" s="3" t="s">
        <v>16</v>
      </c>
      <c r="D1502" s="3" t="s">
        <v>26</v>
      </c>
      <c r="E1502" s="3" t="s">
        <v>43</v>
      </c>
      <c r="F1502" s="4">
        <v>45268</v>
      </c>
      <c r="G1502" s="3" t="s">
        <v>4529</v>
      </c>
      <c r="H1502" s="3" t="s">
        <v>4530</v>
      </c>
      <c r="I1502" s="3" t="s">
        <v>30</v>
      </c>
      <c r="J1502" s="5">
        <v>11872.8299837988</v>
      </c>
      <c r="K1502" s="3">
        <v>113</v>
      </c>
      <c r="L1502" s="3" t="s">
        <v>46</v>
      </c>
      <c r="M1502" s="4">
        <v>45298</v>
      </c>
      <c r="N1502" s="3" t="s">
        <v>79</v>
      </c>
      <c r="O1502" s="3" t="s">
        <v>24</v>
      </c>
      <c r="P1502" s="3" t="str">
        <f>IF(Table1[[#This Row],[Billing Amount]]&lt;5000,"Low",IF(Table1[[#This Row],[Billing Amount]]&lt;=15000,"Medium","High"))</f>
        <v>Medium</v>
      </c>
      <c r="Q1502" s="3" t="str">
        <f>IF(Table1[[#This Row],[Discharge Date]]="Yes","Discharged","Under Treatment")</f>
        <v>Under Treatment</v>
      </c>
      <c r="R1502" s="3" t="str">
        <f>IF(Table1[[#This Row],[Test Results]]&gt;120,"High Risk","Normal")</f>
        <v>High Risk</v>
      </c>
      <c r="S1502" s="3" t="str">
        <f>IF(Table1[[#This Row],[Age]]&lt;=18,"0-18",IF(Table1[[#This Row],[Age]]&lt;=35,"19-35",IF(Table1[[#This Row],[Age]]&lt;=50,"36-50",IF(Table1[[#This Row],[Age]]&lt;=65,"51-65","65+"))))</f>
        <v>65+</v>
      </c>
    </row>
    <row r="1503" spans="1:19" x14ac:dyDescent="0.3">
      <c r="A1503" s="3" t="s">
        <v>4531</v>
      </c>
      <c r="B1503" s="3">
        <v>30</v>
      </c>
      <c r="C1503" s="3" t="s">
        <v>35</v>
      </c>
      <c r="D1503" s="3" t="s">
        <v>26</v>
      </c>
      <c r="E1503" s="3" t="s">
        <v>18</v>
      </c>
      <c r="F1503" s="4">
        <v>45059</v>
      </c>
      <c r="G1503" s="3" t="s">
        <v>4532</v>
      </c>
      <c r="H1503" s="3" t="s">
        <v>4533</v>
      </c>
      <c r="I1503" s="3" t="s">
        <v>21</v>
      </c>
      <c r="J1503" s="5">
        <v>20270.529175469699</v>
      </c>
      <c r="K1503" s="3">
        <v>270</v>
      </c>
      <c r="L1503" s="3" t="s">
        <v>22</v>
      </c>
      <c r="M1503" s="4">
        <v>45071</v>
      </c>
      <c r="N1503" s="3" t="s">
        <v>32</v>
      </c>
      <c r="O1503" s="3" t="s">
        <v>47</v>
      </c>
      <c r="P1503" s="3" t="str">
        <f>IF(Table1[[#This Row],[Billing Amount]]&lt;5000,"Low",IF(Table1[[#This Row],[Billing Amount]]&lt;=15000,"Medium","High"))</f>
        <v>High</v>
      </c>
      <c r="Q1503" s="3" t="str">
        <f>IF(Table1[[#This Row],[Discharge Date]]="Yes","Discharged","Under Treatment")</f>
        <v>Under Treatment</v>
      </c>
      <c r="R1503" s="3" t="str">
        <f>IF(Table1[[#This Row],[Test Results]]&gt;120,"High Risk","Normal")</f>
        <v>High Risk</v>
      </c>
      <c r="S1503" s="3" t="str">
        <f>IF(Table1[[#This Row],[Age]]&lt;=18,"0-18",IF(Table1[[#This Row],[Age]]&lt;=35,"19-35",IF(Table1[[#This Row],[Age]]&lt;=50,"36-50",IF(Table1[[#This Row],[Age]]&lt;=65,"51-65","65+"))))</f>
        <v>19-35</v>
      </c>
    </row>
    <row r="1504" spans="1:19" x14ac:dyDescent="0.3">
      <c r="A1504" s="3" t="s">
        <v>4534</v>
      </c>
      <c r="B1504" s="3">
        <v>80</v>
      </c>
      <c r="C1504" s="3" t="s">
        <v>16</v>
      </c>
      <c r="D1504" s="3" t="s">
        <v>103</v>
      </c>
      <c r="E1504" s="3" t="s">
        <v>18</v>
      </c>
      <c r="F1504" s="4">
        <v>45002</v>
      </c>
      <c r="G1504" s="3" t="s">
        <v>4535</v>
      </c>
      <c r="H1504" s="3" t="s">
        <v>4536</v>
      </c>
      <c r="I1504" s="3" t="s">
        <v>39</v>
      </c>
      <c r="J1504" s="5">
        <v>9715.9429502356907</v>
      </c>
      <c r="K1504" s="3">
        <v>142</v>
      </c>
      <c r="L1504" s="3" t="s">
        <v>22</v>
      </c>
      <c r="M1504" s="4">
        <v>45017</v>
      </c>
      <c r="N1504" s="3" t="s">
        <v>40</v>
      </c>
      <c r="O1504" s="3" t="s">
        <v>24</v>
      </c>
      <c r="P1504" s="3" t="str">
        <f>IF(Table1[[#This Row],[Billing Amount]]&lt;5000,"Low",IF(Table1[[#This Row],[Billing Amount]]&lt;=15000,"Medium","High"))</f>
        <v>Medium</v>
      </c>
      <c r="Q1504" s="3" t="str">
        <f>IF(Table1[[#This Row],[Discharge Date]]="Yes","Discharged","Under Treatment")</f>
        <v>Under Treatment</v>
      </c>
      <c r="R1504" s="3" t="str">
        <f>IF(Table1[[#This Row],[Test Results]]&gt;120,"High Risk","Normal")</f>
        <v>High Risk</v>
      </c>
      <c r="S1504" s="3" t="str">
        <f>IF(Table1[[#This Row],[Age]]&lt;=18,"0-18",IF(Table1[[#This Row],[Age]]&lt;=35,"19-35",IF(Table1[[#This Row],[Age]]&lt;=50,"36-50",IF(Table1[[#This Row],[Age]]&lt;=65,"51-65","65+"))))</f>
        <v>65+</v>
      </c>
    </row>
    <row r="1505" spans="1:19" x14ac:dyDescent="0.3">
      <c r="A1505" s="3" t="s">
        <v>4537</v>
      </c>
      <c r="B1505" s="3">
        <v>74</v>
      </c>
      <c r="C1505" s="3" t="s">
        <v>16</v>
      </c>
      <c r="D1505" s="3" t="s">
        <v>103</v>
      </c>
      <c r="E1505" s="3" t="s">
        <v>43</v>
      </c>
      <c r="F1505" s="4">
        <v>45263</v>
      </c>
      <c r="G1505" s="3" t="s">
        <v>4538</v>
      </c>
      <c r="H1505" s="3" t="s">
        <v>4539</v>
      </c>
      <c r="I1505" s="3" t="s">
        <v>57</v>
      </c>
      <c r="J1505" s="5">
        <v>3086.8644054653901</v>
      </c>
      <c r="K1505" s="3">
        <v>226</v>
      </c>
      <c r="L1505" s="3" t="s">
        <v>46</v>
      </c>
      <c r="M1505" s="4">
        <v>45290</v>
      </c>
      <c r="N1505" s="3" t="s">
        <v>52</v>
      </c>
      <c r="O1505" s="3" t="s">
        <v>33</v>
      </c>
      <c r="P1505" s="3" t="str">
        <f>IF(Table1[[#This Row],[Billing Amount]]&lt;5000,"Low",IF(Table1[[#This Row],[Billing Amount]]&lt;=15000,"Medium","High"))</f>
        <v>Low</v>
      </c>
      <c r="Q1505" s="3" t="str">
        <f>IF(Table1[[#This Row],[Discharge Date]]="Yes","Discharged","Under Treatment")</f>
        <v>Under Treatment</v>
      </c>
      <c r="R1505" s="3" t="str">
        <f>IF(Table1[[#This Row],[Test Results]]&gt;120,"High Risk","Normal")</f>
        <v>High Risk</v>
      </c>
      <c r="S1505" s="3" t="str">
        <f>IF(Table1[[#This Row],[Age]]&lt;=18,"0-18",IF(Table1[[#This Row],[Age]]&lt;=35,"19-35",IF(Table1[[#This Row],[Age]]&lt;=50,"36-50",IF(Table1[[#This Row],[Age]]&lt;=65,"51-65","65+"))))</f>
        <v>65+</v>
      </c>
    </row>
    <row r="1506" spans="1:19" x14ac:dyDescent="0.3">
      <c r="A1506" s="3" t="s">
        <v>4540</v>
      </c>
      <c r="B1506" s="3">
        <v>31</v>
      </c>
      <c r="C1506" s="3" t="s">
        <v>16</v>
      </c>
      <c r="D1506" s="3" t="s">
        <v>26</v>
      </c>
      <c r="E1506" s="3" t="s">
        <v>93</v>
      </c>
      <c r="F1506" s="4">
        <v>43742</v>
      </c>
      <c r="G1506" s="3" t="s">
        <v>4541</v>
      </c>
      <c r="H1506" s="3" t="s">
        <v>4542</v>
      </c>
      <c r="I1506" s="3" t="s">
        <v>39</v>
      </c>
      <c r="J1506" s="5">
        <v>29129.221058396801</v>
      </c>
      <c r="K1506" s="3">
        <v>164</v>
      </c>
      <c r="L1506" s="3" t="s">
        <v>22</v>
      </c>
      <c r="M1506" s="4">
        <v>43752</v>
      </c>
      <c r="N1506" s="3" t="s">
        <v>40</v>
      </c>
      <c r="O1506" s="3" t="s">
        <v>33</v>
      </c>
      <c r="P1506" s="3" t="str">
        <f>IF(Table1[[#This Row],[Billing Amount]]&lt;5000,"Low",IF(Table1[[#This Row],[Billing Amount]]&lt;=15000,"Medium","High"))</f>
        <v>High</v>
      </c>
      <c r="Q1506" s="3" t="str">
        <f>IF(Table1[[#This Row],[Discharge Date]]="Yes","Discharged","Under Treatment")</f>
        <v>Under Treatment</v>
      </c>
      <c r="R1506" s="3" t="str">
        <f>IF(Table1[[#This Row],[Test Results]]&gt;120,"High Risk","Normal")</f>
        <v>High Risk</v>
      </c>
      <c r="S1506" s="3" t="str">
        <f>IF(Table1[[#This Row],[Age]]&lt;=18,"0-18",IF(Table1[[#This Row],[Age]]&lt;=35,"19-35",IF(Table1[[#This Row],[Age]]&lt;=50,"36-50",IF(Table1[[#This Row],[Age]]&lt;=65,"51-65","65+"))))</f>
        <v>19-35</v>
      </c>
    </row>
    <row r="1507" spans="1:19" x14ac:dyDescent="0.3">
      <c r="A1507" s="3" t="s">
        <v>4543</v>
      </c>
      <c r="B1507" s="3">
        <v>26</v>
      </c>
      <c r="C1507" s="3" t="s">
        <v>35</v>
      </c>
      <c r="D1507" s="3" t="s">
        <v>59</v>
      </c>
      <c r="E1507" s="3" t="s">
        <v>43</v>
      </c>
      <c r="F1507" s="4">
        <v>44834</v>
      </c>
      <c r="G1507" s="3" t="s">
        <v>4544</v>
      </c>
      <c r="H1507" s="3" t="s">
        <v>4545</v>
      </c>
      <c r="I1507" s="3" t="s">
        <v>57</v>
      </c>
      <c r="J1507" s="5">
        <v>41322.6311053994</v>
      </c>
      <c r="K1507" s="3">
        <v>493</v>
      </c>
      <c r="L1507" s="3" t="s">
        <v>31</v>
      </c>
      <c r="M1507" s="4">
        <v>44837</v>
      </c>
      <c r="N1507" s="3" t="s">
        <v>40</v>
      </c>
      <c r="O1507" s="3" t="s">
        <v>47</v>
      </c>
      <c r="P1507" s="3" t="str">
        <f>IF(Table1[[#This Row],[Billing Amount]]&lt;5000,"Low",IF(Table1[[#This Row],[Billing Amount]]&lt;=15000,"Medium","High"))</f>
        <v>High</v>
      </c>
      <c r="Q1507" s="3" t="str">
        <f>IF(Table1[[#This Row],[Discharge Date]]="Yes","Discharged","Under Treatment")</f>
        <v>Under Treatment</v>
      </c>
      <c r="R1507" s="3" t="str">
        <f>IF(Table1[[#This Row],[Test Results]]&gt;120,"High Risk","Normal")</f>
        <v>High Risk</v>
      </c>
      <c r="S1507" s="3" t="str">
        <f>IF(Table1[[#This Row],[Age]]&lt;=18,"0-18",IF(Table1[[#This Row],[Age]]&lt;=35,"19-35",IF(Table1[[#This Row],[Age]]&lt;=50,"36-50",IF(Table1[[#This Row],[Age]]&lt;=65,"51-65","65+"))))</f>
        <v>19-35</v>
      </c>
    </row>
    <row r="1508" spans="1:19" x14ac:dyDescent="0.3">
      <c r="A1508" s="3" t="s">
        <v>4546</v>
      </c>
      <c r="B1508" s="3">
        <v>61</v>
      </c>
      <c r="C1508" s="3" t="s">
        <v>16</v>
      </c>
      <c r="D1508" s="3" t="s">
        <v>17</v>
      </c>
      <c r="E1508" s="3" t="s">
        <v>76</v>
      </c>
      <c r="F1508" s="4">
        <v>44875</v>
      </c>
      <c r="G1508" s="3" t="s">
        <v>4547</v>
      </c>
      <c r="H1508" s="3" t="s">
        <v>4548</v>
      </c>
      <c r="I1508" s="3" t="s">
        <v>21</v>
      </c>
      <c r="J1508" s="5">
        <v>36078.389164218199</v>
      </c>
      <c r="K1508" s="3">
        <v>342</v>
      </c>
      <c r="L1508" s="3" t="s">
        <v>31</v>
      </c>
      <c r="M1508" s="4">
        <v>44894</v>
      </c>
      <c r="N1508" s="3" t="s">
        <v>79</v>
      </c>
      <c r="O1508" s="3" t="s">
        <v>24</v>
      </c>
      <c r="P1508" s="3" t="str">
        <f>IF(Table1[[#This Row],[Billing Amount]]&lt;5000,"Low",IF(Table1[[#This Row],[Billing Amount]]&lt;=15000,"Medium","High"))</f>
        <v>High</v>
      </c>
      <c r="Q1508" s="3" t="str">
        <f>IF(Table1[[#This Row],[Discharge Date]]="Yes","Discharged","Under Treatment")</f>
        <v>Under Treatment</v>
      </c>
      <c r="R1508" s="3" t="str">
        <f>IF(Table1[[#This Row],[Test Results]]&gt;120,"High Risk","Normal")</f>
        <v>High Risk</v>
      </c>
      <c r="S1508" s="3" t="str">
        <f>IF(Table1[[#This Row],[Age]]&lt;=18,"0-18",IF(Table1[[#This Row],[Age]]&lt;=35,"19-35",IF(Table1[[#This Row],[Age]]&lt;=50,"36-50",IF(Table1[[#This Row],[Age]]&lt;=65,"51-65","65+"))))</f>
        <v>51-65</v>
      </c>
    </row>
    <row r="1509" spans="1:19" x14ac:dyDescent="0.3">
      <c r="A1509" s="3" t="s">
        <v>4549</v>
      </c>
      <c r="B1509" s="3">
        <v>69</v>
      </c>
      <c r="C1509" s="3" t="s">
        <v>16</v>
      </c>
      <c r="D1509" s="3" t="s">
        <v>103</v>
      </c>
      <c r="E1509" s="3" t="s">
        <v>76</v>
      </c>
      <c r="F1509" s="4">
        <v>44038</v>
      </c>
      <c r="G1509" s="3" t="s">
        <v>3516</v>
      </c>
      <c r="H1509" s="3" t="s">
        <v>4550</v>
      </c>
      <c r="I1509" s="3" t="s">
        <v>30</v>
      </c>
      <c r="J1509" s="5">
        <v>23061.346161141599</v>
      </c>
      <c r="K1509" s="3">
        <v>327</v>
      </c>
      <c r="L1509" s="3" t="s">
        <v>22</v>
      </c>
      <c r="M1509" s="4">
        <v>44051</v>
      </c>
      <c r="N1509" s="3" t="s">
        <v>23</v>
      </c>
      <c r="O1509" s="3" t="s">
        <v>47</v>
      </c>
      <c r="P1509" s="3" t="str">
        <f>IF(Table1[[#This Row],[Billing Amount]]&lt;5000,"Low",IF(Table1[[#This Row],[Billing Amount]]&lt;=15000,"Medium","High"))</f>
        <v>High</v>
      </c>
      <c r="Q1509" s="3" t="str">
        <f>IF(Table1[[#This Row],[Discharge Date]]="Yes","Discharged","Under Treatment")</f>
        <v>Under Treatment</v>
      </c>
      <c r="R1509" s="3" t="str">
        <f>IF(Table1[[#This Row],[Test Results]]&gt;120,"High Risk","Normal")</f>
        <v>High Risk</v>
      </c>
      <c r="S1509" s="3" t="str">
        <f>IF(Table1[[#This Row],[Age]]&lt;=18,"0-18",IF(Table1[[#This Row],[Age]]&lt;=35,"19-35",IF(Table1[[#This Row],[Age]]&lt;=50,"36-50",IF(Table1[[#This Row],[Age]]&lt;=65,"51-65","65+"))))</f>
        <v>65+</v>
      </c>
    </row>
    <row r="1510" spans="1:19" x14ac:dyDescent="0.3">
      <c r="A1510" s="3" t="s">
        <v>4551</v>
      </c>
      <c r="B1510" s="3">
        <v>45</v>
      </c>
      <c r="C1510" s="3" t="s">
        <v>16</v>
      </c>
      <c r="D1510" s="3" t="s">
        <v>36</v>
      </c>
      <c r="E1510" s="3" t="s">
        <v>43</v>
      </c>
      <c r="F1510" s="4">
        <v>44478</v>
      </c>
      <c r="G1510" s="3" t="s">
        <v>4552</v>
      </c>
      <c r="H1510" s="3" t="s">
        <v>4553</v>
      </c>
      <c r="I1510" s="3" t="s">
        <v>39</v>
      </c>
      <c r="J1510" s="5">
        <v>47122.778248420997</v>
      </c>
      <c r="K1510" s="3">
        <v>194</v>
      </c>
      <c r="L1510" s="3" t="s">
        <v>22</v>
      </c>
      <c r="M1510" s="4">
        <v>44500</v>
      </c>
      <c r="N1510" s="3" t="s">
        <v>40</v>
      </c>
      <c r="O1510" s="3" t="s">
        <v>47</v>
      </c>
      <c r="P1510" s="3" t="str">
        <f>IF(Table1[[#This Row],[Billing Amount]]&lt;5000,"Low",IF(Table1[[#This Row],[Billing Amount]]&lt;=15000,"Medium","High"))</f>
        <v>High</v>
      </c>
      <c r="Q1510" s="3" t="str">
        <f>IF(Table1[[#This Row],[Discharge Date]]="Yes","Discharged","Under Treatment")</f>
        <v>Under Treatment</v>
      </c>
      <c r="R1510" s="3" t="str">
        <f>IF(Table1[[#This Row],[Test Results]]&gt;120,"High Risk","Normal")</f>
        <v>High Risk</v>
      </c>
      <c r="S1510" s="3" t="str">
        <f>IF(Table1[[#This Row],[Age]]&lt;=18,"0-18",IF(Table1[[#This Row],[Age]]&lt;=35,"19-35",IF(Table1[[#This Row],[Age]]&lt;=50,"36-50",IF(Table1[[#This Row],[Age]]&lt;=65,"51-65","65+"))))</f>
        <v>36-50</v>
      </c>
    </row>
    <row r="1511" spans="1:19" x14ac:dyDescent="0.3">
      <c r="A1511" s="3" t="s">
        <v>4554</v>
      </c>
      <c r="B1511" s="3">
        <v>85</v>
      </c>
      <c r="C1511" s="3" t="s">
        <v>35</v>
      </c>
      <c r="D1511" s="3" t="s">
        <v>26</v>
      </c>
      <c r="E1511" s="3" t="s">
        <v>27</v>
      </c>
      <c r="F1511" s="4">
        <v>43883</v>
      </c>
      <c r="G1511" s="3" t="s">
        <v>4555</v>
      </c>
      <c r="H1511" s="3" t="s">
        <v>4556</v>
      </c>
      <c r="I1511" s="3" t="s">
        <v>39</v>
      </c>
      <c r="J1511" s="5">
        <v>4208.7079350272497</v>
      </c>
      <c r="K1511" s="3">
        <v>394</v>
      </c>
      <c r="L1511" s="3" t="s">
        <v>22</v>
      </c>
      <c r="M1511" s="4">
        <v>43897</v>
      </c>
      <c r="N1511" s="3" t="s">
        <v>52</v>
      </c>
      <c r="O1511" s="3" t="s">
        <v>24</v>
      </c>
      <c r="P1511" s="3" t="str">
        <f>IF(Table1[[#This Row],[Billing Amount]]&lt;5000,"Low",IF(Table1[[#This Row],[Billing Amount]]&lt;=15000,"Medium","High"))</f>
        <v>Low</v>
      </c>
      <c r="Q1511" s="3" t="str">
        <f>IF(Table1[[#This Row],[Discharge Date]]="Yes","Discharged","Under Treatment")</f>
        <v>Under Treatment</v>
      </c>
      <c r="R1511" s="3" t="str">
        <f>IF(Table1[[#This Row],[Test Results]]&gt;120,"High Risk","Normal")</f>
        <v>High Risk</v>
      </c>
      <c r="S1511" s="3" t="str">
        <f>IF(Table1[[#This Row],[Age]]&lt;=18,"0-18",IF(Table1[[#This Row],[Age]]&lt;=35,"19-35",IF(Table1[[#This Row],[Age]]&lt;=50,"36-50",IF(Table1[[#This Row],[Age]]&lt;=65,"51-65","65+"))))</f>
        <v>65+</v>
      </c>
    </row>
    <row r="1512" spans="1:19" x14ac:dyDescent="0.3">
      <c r="A1512" s="3" t="s">
        <v>4557</v>
      </c>
      <c r="B1512" s="3">
        <v>35</v>
      </c>
      <c r="C1512" s="3" t="s">
        <v>16</v>
      </c>
      <c r="D1512" s="3" t="s">
        <v>122</v>
      </c>
      <c r="E1512" s="3" t="s">
        <v>54</v>
      </c>
      <c r="F1512" s="4">
        <v>44879</v>
      </c>
      <c r="G1512" s="3" t="s">
        <v>4558</v>
      </c>
      <c r="H1512" s="3" t="s">
        <v>4559</v>
      </c>
      <c r="I1512" s="3" t="s">
        <v>21</v>
      </c>
      <c r="J1512" s="5">
        <v>42816.260658032203</v>
      </c>
      <c r="K1512" s="3">
        <v>267</v>
      </c>
      <c r="L1512" s="3" t="s">
        <v>31</v>
      </c>
      <c r="M1512" s="4">
        <v>44898</v>
      </c>
      <c r="N1512" s="3" t="s">
        <v>52</v>
      </c>
      <c r="O1512" s="3" t="s">
        <v>24</v>
      </c>
      <c r="P1512" s="3" t="str">
        <f>IF(Table1[[#This Row],[Billing Amount]]&lt;5000,"Low",IF(Table1[[#This Row],[Billing Amount]]&lt;=15000,"Medium","High"))</f>
        <v>High</v>
      </c>
      <c r="Q1512" s="3" t="str">
        <f>IF(Table1[[#This Row],[Discharge Date]]="Yes","Discharged","Under Treatment")</f>
        <v>Under Treatment</v>
      </c>
      <c r="R1512" s="3" t="str">
        <f>IF(Table1[[#This Row],[Test Results]]&gt;120,"High Risk","Normal")</f>
        <v>High Risk</v>
      </c>
      <c r="S1512" s="3" t="str">
        <f>IF(Table1[[#This Row],[Age]]&lt;=18,"0-18",IF(Table1[[#This Row],[Age]]&lt;=35,"19-35",IF(Table1[[#This Row],[Age]]&lt;=50,"36-50",IF(Table1[[#This Row],[Age]]&lt;=65,"51-65","65+"))))</f>
        <v>19-35</v>
      </c>
    </row>
    <row r="1513" spans="1:19" x14ac:dyDescent="0.3">
      <c r="A1513" s="3" t="s">
        <v>4560</v>
      </c>
      <c r="B1513" s="3">
        <v>22</v>
      </c>
      <c r="C1513" s="3" t="s">
        <v>16</v>
      </c>
      <c r="D1513" s="3" t="s">
        <v>49</v>
      </c>
      <c r="E1513" s="3" t="s">
        <v>54</v>
      </c>
      <c r="F1513" s="4">
        <v>44775</v>
      </c>
      <c r="G1513" s="3" t="s">
        <v>4561</v>
      </c>
      <c r="H1513" s="3" t="s">
        <v>4562</v>
      </c>
      <c r="I1513" s="3" t="s">
        <v>30</v>
      </c>
      <c r="J1513" s="5">
        <v>18047.551004616798</v>
      </c>
      <c r="K1513" s="3">
        <v>251</v>
      </c>
      <c r="L1513" s="3" t="s">
        <v>22</v>
      </c>
      <c r="M1513" s="4">
        <v>44790</v>
      </c>
      <c r="N1513" s="3" t="s">
        <v>52</v>
      </c>
      <c r="O1513" s="3" t="s">
        <v>24</v>
      </c>
      <c r="P1513" s="3" t="str">
        <f>IF(Table1[[#This Row],[Billing Amount]]&lt;5000,"Low",IF(Table1[[#This Row],[Billing Amount]]&lt;=15000,"Medium","High"))</f>
        <v>High</v>
      </c>
      <c r="Q1513" s="3" t="str">
        <f>IF(Table1[[#This Row],[Discharge Date]]="Yes","Discharged","Under Treatment")</f>
        <v>Under Treatment</v>
      </c>
      <c r="R1513" s="3" t="str">
        <f>IF(Table1[[#This Row],[Test Results]]&gt;120,"High Risk","Normal")</f>
        <v>High Risk</v>
      </c>
      <c r="S1513" s="3" t="str">
        <f>IF(Table1[[#This Row],[Age]]&lt;=18,"0-18",IF(Table1[[#This Row],[Age]]&lt;=35,"19-35",IF(Table1[[#This Row],[Age]]&lt;=50,"36-50",IF(Table1[[#This Row],[Age]]&lt;=65,"51-65","65+"))))</f>
        <v>19-35</v>
      </c>
    </row>
    <row r="1514" spans="1:19" x14ac:dyDescent="0.3">
      <c r="A1514" s="3" t="s">
        <v>4563</v>
      </c>
      <c r="B1514" s="3">
        <v>47</v>
      </c>
      <c r="C1514" s="3" t="s">
        <v>16</v>
      </c>
      <c r="D1514" s="3" t="s">
        <v>103</v>
      </c>
      <c r="E1514" s="3" t="s">
        <v>93</v>
      </c>
      <c r="F1514" s="4">
        <v>44200</v>
      </c>
      <c r="G1514" s="3" t="s">
        <v>4564</v>
      </c>
      <c r="H1514" s="3" t="s">
        <v>4565</v>
      </c>
      <c r="I1514" s="3" t="s">
        <v>21</v>
      </c>
      <c r="J1514" s="5">
        <v>47202.935523774402</v>
      </c>
      <c r="K1514" s="3">
        <v>466</v>
      </c>
      <c r="L1514" s="3" t="s">
        <v>31</v>
      </c>
      <c r="M1514" s="4">
        <v>44226</v>
      </c>
      <c r="N1514" s="3" t="s">
        <v>32</v>
      </c>
      <c r="O1514" s="3" t="s">
        <v>33</v>
      </c>
      <c r="P1514" s="3" t="str">
        <f>IF(Table1[[#This Row],[Billing Amount]]&lt;5000,"Low",IF(Table1[[#This Row],[Billing Amount]]&lt;=15000,"Medium","High"))</f>
        <v>High</v>
      </c>
      <c r="Q1514" s="3" t="str">
        <f>IF(Table1[[#This Row],[Discharge Date]]="Yes","Discharged","Under Treatment")</f>
        <v>Under Treatment</v>
      </c>
      <c r="R1514" s="3" t="str">
        <f>IF(Table1[[#This Row],[Test Results]]&gt;120,"High Risk","Normal")</f>
        <v>High Risk</v>
      </c>
      <c r="S1514" s="3" t="str">
        <f>IF(Table1[[#This Row],[Age]]&lt;=18,"0-18",IF(Table1[[#This Row],[Age]]&lt;=35,"19-35",IF(Table1[[#This Row],[Age]]&lt;=50,"36-50",IF(Table1[[#This Row],[Age]]&lt;=65,"51-65","65+"))))</f>
        <v>36-50</v>
      </c>
    </row>
    <row r="1515" spans="1:19" x14ac:dyDescent="0.3">
      <c r="A1515" s="3" t="s">
        <v>4566</v>
      </c>
      <c r="B1515" s="3">
        <v>20</v>
      </c>
      <c r="C1515" s="3" t="s">
        <v>16</v>
      </c>
      <c r="D1515" s="3" t="s">
        <v>26</v>
      </c>
      <c r="E1515" s="3" t="s">
        <v>18</v>
      </c>
      <c r="F1515" s="4">
        <v>44575</v>
      </c>
      <c r="G1515" s="3" t="s">
        <v>4567</v>
      </c>
      <c r="H1515" s="3" t="s">
        <v>4568</v>
      </c>
      <c r="I1515" s="3" t="s">
        <v>65</v>
      </c>
      <c r="J1515" s="5">
        <v>6293.24605008651</v>
      </c>
      <c r="K1515" s="3">
        <v>159</v>
      </c>
      <c r="L1515" s="3" t="s">
        <v>46</v>
      </c>
      <c r="M1515" s="4">
        <v>44577</v>
      </c>
      <c r="N1515" s="3" t="s">
        <v>32</v>
      </c>
      <c r="O1515" s="3" t="s">
        <v>47</v>
      </c>
      <c r="P1515" s="3" t="str">
        <f>IF(Table1[[#This Row],[Billing Amount]]&lt;5000,"Low",IF(Table1[[#This Row],[Billing Amount]]&lt;=15000,"Medium","High"))</f>
        <v>Medium</v>
      </c>
      <c r="Q1515" s="3" t="str">
        <f>IF(Table1[[#This Row],[Discharge Date]]="Yes","Discharged","Under Treatment")</f>
        <v>Under Treatment</v>
      </c>
      <c r="R1515" s="3" t="str">
        <f>IF(Table1[[#This Row],[Test Results]]&gt;120,"High Risk","Normal")</f>
        <v>High Risk</v>
      </c>
      <c r="S1515" s="3" t="str">
        <f>IF(Table1[[#This Row],[Age]]&lt;=18,"0-18",IF(Table1[[#This Row],[Age]]&lt;=35,"19-35",IF(Table1[[#This Row],[Age]]&lt;=50,"36-50",IF(Table1[[#This Row],[Age]]&lt;=65,"51-65","65+"))))</f>
        <v>19-35</v>
      </c>
    </row>
    <row r="1516" spans="1:19" x14ac:dyDescent="0.3">
      <c r="A1516" s="3" t="s">
        <v>4569</v>
      </c>
      <c r="B1516" s="3">
        <v>38</v>
      </c>
      <c r="C1516" s="3" t="s">
        <v>16</v>
      </c>
      <c r="D1516" s="3" t="s">
        <v>103</v>
      </c>
      <c r="E1516" s="3" t="s">
        <v>54</v>
      </c>
      <c r="F1516" s="4">
        <v>43653</v>
      </c>
      <c r="G1516" s="3" t="s">
        <v>4570</v>
      </c>
      <c r="H1516" s="3" t="s">
        <v>4571</v>
      </c>
      <c r="I1516" s="3" t="s">
        <v>65</v>
      </c>
      <c r="J1516" s="5">
        <v>3503.1059921344199</v>
      </c>
      <c r="K1516" s="3">
        <v>166</v>
      </c>
      <c r="L1516" s="3" t="s">
        <v>31</v>
      </c>
      <c r="M1516" s="4">
        <v>43681</v>
      </c>
      <c r="N1516" s="3" t="s">
        <v>40</v>
      </c>
      <c r="O1516" s="3" t="s">
        <v>47</v>
      </c>
      <c r="P1516" s="3" t="str">
        <f>IF(Table1[[#This Row],[Billing Amount]]&lt;5000,"Low",IF(Table1[[#This Row],[Billing Amount]]&lt;=15000,"Medium","High"))</f>
        <v>Low</v>
      </c>
      <c r="Q1516" s="3" t="str">
        <f>IF(Table1[[#This Row],[Discharge Date]]="Yes","Discharged","Under Treatment")</f>
        <v>Under Treatment</v>
      </c>
      <c r="R1516" s="3" t="str">
        <f>IF(Table1[[#This Row],[Test Results]]&gt;120,"High Risk","Normal")</f>
        <v>High Risk</v>
      </c>
      <c r="S1516" s="3" t="str">
        <f>IF(Table1[[#This Row],[Age]]&lt;=18,"0-18",IF(Table1[[#This Row],[Age]]&lt;=35,"19-35",IF(Table1[[#This Row],[Age]]&lt;=50,"36-50",IF(Table1[[#This Row],[Age]]&lt;=65,"51-65","65+"))))</f>
        <v>36-50</v>
      </c>
    </row>
    <row r="1517" spans="1:19" x14ac:dyDescent="0.3">
      <c r="A1517" s="3" t="s">
        <v>4572</v>
      </c>
      <c r="B1517" s="3">
        <v>23</v>
      </c>
      <c r="C1517" s="3" t="s">
        <v>35</v>
      </c>
      <c r="D1517" s="3" t="s">
        <v>42</v>
      </c>
      <c r="E1517" s="3" t="s">
        <v>93</v>
      </c>
      <c r="F1517" s="4">
        <v>44299</v>
      </c>
      <c r="G1517" s="3" t="s">
        <v>4573</v>
      </c>
      <c r="H1517" s="3" t="s">
        <v>4574</v>
      </c>
      <c r="I1517" s="3" t="s">
        <v>65</v>
      </c>
      <c r="J1517" s="5">
        <v>47504.707030294703</v>
      </c>
      <c r="K1517" s="3">
        <v>463</v>
      </c>
      <c r="L1517" s="3" t="s">
        <v>22</v>
      </c>
      <c r="M1517" s="4">
        <v>44309</v>
      </c>
      <c r="N1517" s="3" t="s">
        <v>40</v>
      </c>
      <c r="O1517" s="3" t="s">
        <v>33</v>
      </c>
      <c r="P1517" s="3" t="str">
        <f>IF(Table1[[#This Row],[Billing Amount]]&lt;5000,"Low",IF(Table1[[#This Row],[Billing Amount]]&lt;=15000,"Medium","High"))</f>
        <v>High</v>
      </c>
      <c r="Q1517" s="3" t="str">
        <f>IF(Table1[[#This Row],[Discharge Date]]="Yes","Discharged","Under Treatment")</f>
        <v>Under Treatment</v>
      </c>
      <c r="R1517" s="3" t="str">
        <f>IF(Table1[[#This Row],[Test Results]]&gt;120,"High Risk","Normal")</f>
        <v>High Risk</v>
      </c>
      <c r="S1517" s="3" t="str">
        <f>IF(Table1[[#This Row],[Age]]&lt;=18,"0-18",IF(Table1[[#This Row],[Age]]&lt;=35,"19-35",IF(Table1[[#This Row],[Age]]&lt;=50,"36-50",IF(Table1[[#This Row],[Age]]&lt;=65,"51-65","65+"))))</f>
        <v>19-35</v>
      </c>
    </row>
    <row r="1518" spans="1:19" x14ac:dyDescent="0.3">
      <c r="A1518" s="3" t="s">
        <v>4575</v>
      </c>
      <c r="B1518" s="3">
        <v>73</v>
      </c>
      <c r="C1518" s="3" t="s">
        <v>16</v>
      </c>
      <c r="D1518" s="3" t="s">
        <v>17</v>
      </c>
      <c r="E1518" s="3" t="s">
        <v>43</v>
      </c>
      <c r="F1518" s="4">
        <v>44900</v>
      </c>
      <c r="G1518" s="3" t="s">
        <v>4576</v>
      </c>
      <c r="H1518" s="3" t="s">
        <v>4577</v>
      </c>
      <c r="I1518" s="3" t="s">
        <v>57</v>
      </c>
      <c r="J1518" s="5">
        <v>8572.0693557923696</v>
      </c>
      <c r="K1518" s="3">
        <v>166</v>
      </c>
      <c r="L1518" s="3" t="s">
        <v>22</v>
      </c>
      <c r="M1518" s="4">
        <v>44920</v>
      </c>
      <c r="N1518" s="3" t="s">
        <v>32</v>
      </c>
      <c r="O1518" s="3" t="s">
        <v>47</v>
      </c>
      <c r="P1518" s="3" t="str">
        <f>IF(Table1[[#This Row],[Billing Amount]]&lt;5000,"Low",IF(Table1[[#This Row],[Billing Amount]]&lt;=15000,"Medium","High"))</f>
        <v>Medium</v>
      </c>
      <c r="Q1518" s="3" t="str">
        <f>IF(Table1[[#This Row],[Discharge Date]]="Yes","Discharged","Under Treatment")</f>
        <v>Under Treatment</v>
      </c>
      <c r="R1518" s="3" t="str">
        <f>IF(Table1[[#This Row],[Test Results]]&gt;120,"High Risk","Normal")</f>
        <v>High Risk</v>
      </c>
      <c r="S1518" s="3" t="str">
        <f>IF(Table1[[#This Row],[Age]]&lt;=18,"0-18",IF(Table1[[#This Row],[Age]]&lt;=35,"19-35",IF(Table1[[#This Row],[Age]]&lt;=50,"36-50",IF(Table1[[#This Row],[Age]]&lt;=65,"51-65","65+"))))</f>
        <v>65+</v>
      </c>
    </row>
    <row r="1519" spans="1:19" x14ac:dyDescent="0.3">
      <c r="A1519" s="3" t="s">
        <v>4578</v>
      </c>
      <c r="B1519" s="3">
        <v>56</v>
      </c>
      <c r="C1519" s="3" t="s">
        <v>16</v>
      </c>
      <c r="D1519" s="3" t="s">
        <v>17</v>
      </c>
      <c r="E1519" s="3" t="s">
        <v>54</v>
      </c>
      <c r="F1519" s="4">
        <v>45197</v>
      </c>
      <c r="G1519" s="3" t="s">
        <v>4579</v>
      </c>
      <c r="H1519" s="3" t="s">
        <v>4580</v>
      </c>
      <c r="I1519" s="3" t="s">
        <v>39</v>
      </c>
      <c r="J1519" s="5">
        <v>24821.521318903298</v>
      </c>
      <c r="K1519" s="3">
        <v>262</v>
      </c>
      <c r="L1519" s="3" t="s">
        <v>46</v>
      </c>
      <c r="M1519" s="4">
        <v>45207</v>
      </c>
      <c r="N1519" s="3" t="s">
        <v>79</v>
      </c>
      <c r="O1519" s="3" t="s">
        <v>47</v>
      </c>
      <c r="P1519" s="3" t="str">
        <f>IF(Table1[[#This Row],[Billing Amount]]&lt;5000,"Low",IF(Table1[[#This Row],[Billing Amount]]&lt;=15000,"Medium","High"))</f>
        <v>High</v>
      </c>
      <c r="Q1519" s="3" t="str">
        <f>IF(Table1[[#This Row],[Discharge Date]]="Yes","Discharged","Under Treatment")</f>
        <v>Under Treatment</v>
      </c>
      <c r="R1519" s="3" t="str">
        <f>IF(Table1[[#This Row],[Test Results]]&gt;120,"High Risk","Normal")</f>
        <v>High Risk</v>
      </c>
      <c r="S1519" s="3" t="str">
        <f>IF(Table1[[#This Row],[Age]]&lt;=18,"0-18",IF(Table1[[#This Row],[Age]]&lt;=35,"19-35",IF(Table1[[#This Row],[Age]]&lt;=50,"36-50",IF(Table1[[#This Row],[Age]]&lt;=65,"51-65","65+"))))</f>
        <v>51-65</v>
      </c>
    </row>
    <row r="1520" spans="1:19" x14ac:dyDescent="0.3">
      <c r="A1520" s="3" t="s">
        <v>4581</v>
      </c>
      <c r="B1520" s="3">
        <v>69</v>
      </c>
      <c r="C1520" s="3" t="s">
        <v>16</v>
      </c>
      <c r="D1520" s="3" t="s">
        <v>42</v>
      </c>
      <c r="E1520" s="3" t="s">
        <v>27</v>
      </c>
      <c r="F1520" s="4">
        <v>44413</v>
      </c>
      <c r="G1520" s="3" t="s">
        <v>4582</v>
      </c>
      <c r="H1520" s="3" t="s">
        <v>4583</v>
      </c>
      <c r="I1520" s="3" t="s">
        <v>30</v>
      </c>
      <c r="J1520" s="5">
        <v>7109.5757426607797</v>
      </c>
      <c r="K1520" s="3">
        <v>205</v>
      </c>
      <c r="L1520" s="3" t="s">
        <v>46</v>
      </c>
      <c r="M1520" s="4">
        <v>44439</v>
      </c>
      <c r="N1520" s="3" t="s">
        <v>40</v>
      </c>
      <c r="O1520" s="3" t="s">
        <v>47</v>
      </c>
      <c r="P1520" s="3" t="str">
        <f>IF(Table1[[#This Row],[Billing Amount]]&lt;5000,"Low",IF(Table1[[#This Row],[Billing Amount]]&lt;=15000,"Medium","High"))</f>
        <v>Medium</v>
      </c>
      <c r="Q1520" s="3" t="str">
        <f>IF(Table1[[#This Row],[Discharge Date]]="Yes","Discharged","Under Treatment")</f>
        <v>Under Treatment</v>
      </c>
      <c r="R1520" s="3" t="str">
        <f>IF(Table1[[#This Row],[Test Results]]&gt;120,"High Risk","Normal")</f>
        <v>High Risk</v>
      </c>
      <c r="S1520" s="3" t="str">
        <f>IF(Table1[[#This Row],[Age]]&lt;=18,"0-18",IF(Table1[[#This Row],[Age]]&lt;=35,"19-35",IF(Table1[[#This Row],[Age]]&lt;=50,"36-50",IF(Table1[[#This Row],[Age]]&lt;=65,"51-65","65+"))))</f>
        <v>65+</v>
      </c>
    </row>
    <row r="1521" spans="1:19" x14ac:dyDescent="0.3">
      <c r="A1521" s="3" t="s">
        <v>4584</v>
      </c>
      <c r="B1521" s="3">
        <v>19</v>
      </c>
      <c r="C1521" s="3" t="s">
        <v>35</v>
      </c>
      <c r="D1521" s="3" t="s">
        <v>17</v>
      </c>
      <c r="E1521" s="3" t="s">
        <v>27</v>
      </c>
      <c r="F1521" s="4">
        <v>45262</v>
      </c>
      <c r="G1521" s="3" t="s">
        <v>4585</v>
      </c>
      <c r="H1521" s="3" t="s">
        <v>2737</v>
      </c>
      <c r="I1521" s="3" t="s">
        <v>65</v>
      </c>
      <c r="J1521" s="5">
        <v>21859.539607676699</v>
      </c>
      <c r="K1521" s="3">
        <v>269</v>
      </c>
      <c r="L1521" s="3" t="s">
        <v>22</v>
      </c>
      <c r="M1521" s="4">
        <v>45278</v>
      </c>
      <c r="N1521" s="3" t="s">
        <v>79</v>
      </c>
      <c r="O1521" s="3" t="s">
        <v>33</v>
      </c>
      <c r="P1521" s="3" t="str">
        <f>IF(Table1[[#This Row],[Billing Amount]]&lt;5000,"Low",IF(Table1[[#This Row],[Billing Amount]]&lt;=15000,"Medium","High"))</f>
        <v>High</v>
      </c>
      <c r="Q1521" s="3" t="str">
        <f>IF(Table1[[#This Row],[Discharge Date]]="Yes","Discharged","Under Treatment")</f>
        <v>Under Treatment</v>
      </c>
      <c r="R1521" s="3" t="str">
        <f>IF(Table1[[#This Row],[Test Results]]&gt;120,"High Risk","Normal")</f>
        <v>High Risk</v>
      </c>
      <c r="S1521" s="3" t="str">
        <f>IF(Table1[[#This Row],[Age]]&lt;=18,"0-18",IF(Table1[[#This Row],[Age]]&lt;=35,"19-35",IF(Table1[[#This Row],[Age]]&lt;=50,"36-50",IF(Table1[[#This Row],[Age]]&lt;=65,"51-65","65+"))))</f>
        <v>19-35</v>
      </c>
    </row>
    <row r="1522" spans="1:19" x14ac:dyDescent="0.3">
      <c r="A1522" s="3" t="s">
        <v>4586</v>
      </c>
      <c r="B1522" s="3">
        <v>45</v>
      </c>
      <c r="C1522" s="3" t="s">
        <v>16</v>
      </c>
      <c r="D1522" s="3" t="s">
        <v>36</v>
      </c>
      <c r="E1522" s="3" t="s">
        <v>54</v>
      </c>
      <c r="F1522" s="4">
        <v>44622</v>
      </c>
      <c r="G1522" s="3" t="s">
        <v>4587</v>
      </c>
      <c r="H1522" s="3" t="s">
        <v>4588</v>
      </c>
      <c r="I1522" s="3" t="s">
        <v>57</v>
      </c>
      <c r="J1522" s="5">
        <v>20408.8008975214</v>
      </c>
      <c r="K1522" s="3">
        <v>306</v>
      </c>
      <c r="L1522" s="3" t="s">
        <v>46</v>
      </c>
      <c r="M1522" s="4">
        <v>44640</v>
      </c>
      <c r="N1522" s="3" t="s">
        <v>32</v>
      </c>
      <c r="O1522" s="3" t="s">
        <v>24</v>
      </c>
      <c r="P1522" s="3" t="str">
        <f>IF(Table1[[#This Row],[Billing Amount]]&lt;5000,"Low",IF(Table1[[#This Row],[Billing Amount]]&lt;=15000,"Medium","High"))</f>
        <v>High</v>
      </c>
      <c r="Q1522" s="3" t="str">
        <f>IF(Table1[[#This Row],[Discharge Date]]="Yes","Discharged","Under Treatment")</f>
        <v>Under Treatment</v>
      </c>
      <c r="R1522" s="3" t="str">
        <f>IF(Table1[[#This Row],[Test Results]]&gt;120,"High Risk","Normal")</f>
        <v>High Risk</v>
      </c>
      <c r="S1522" s="3" t="str">
        <f>IF(Table1[[#This Row],[Age]]&lt;=18,"0-18",IF(Table1[[#This Row],[Age]]&lt;=35,"19-35",IF(Table1[[#This Row],[Age]]&lt;=50,"36-50",IF(Table1[[#This Row],[Age]]&lt;=65,"51-65","65+"))))</f>
        <v>36-50</v>
      </c>
    </row>
    <row r="1523" spans="1:19" x14ac:dyDescent="0.3">
      <c r="A1523" s="3" t="s">
        <v>4589</v>
      </c>
      <c r="B1523" s="3">
        <v>53</v>
      </c>
      <c r="C1523" s="3" t="s">
        <v>35</v>
      </c>
      <c r="D1523" s="3" t="s">
        <v>122</v>
      </c>
      <c r="E1523" s="3" t="s">
        <v>27</v>
      </c>
      <c r="F1523" s="4">
        <v>45057</v>
      </c>
      <c r="G1523" s="3" t="s">
        <v>4590</v>
      </c>
      <c r="H1523" s="3" t="s">
        <v>4591</v>
      </c>
      <c r="I1523" s="3" t="s">
        <v>30</v>
      </c>
      <c r="J1523" s="5">
        <v>4611.5069017064798</v>
      </c>
      <c r="K1523" s="3">
        <v>281</v>
      </c>
      <c r="L1523" s="3" t="s">
        <v>22</v>
      </c>
      <c r="M1523" s="4">
        <v>45071</v>
      </c>
      <c r="N1523" s="3" t="s">
        <v>23</v>
      </c>
      <c r="O1523" s="3" t="s">
        <v>33</v>
      </c>
      <c r="P1523" s="3" t="str">
        <f>IF(Table1[[#This Row],[Billing Amount]]&lt;5000,"Low",IF(Table1[[#This Row],[Billing Amount]]&lt;=15000,"Medium","High"))</f>
        <v>Low</v>
      </c>
      <c r="Q1523" s="3" t="str">
        <f>IF(Table1[[#This Row],[Discharge Date]]="Yes","Discharged","Under Treatment")</f>
        <v>Under Treatment</v>
      </c>
      <c r="R1523" s="3" t="str">
        <f>IF(Table1[[#This Row],[Test Results]]&gt;120,"High Risk","Normal")</f>
        <v>High Risk</v>
      </c>
      <c r="S1523" s="3" t="str">
        <f>IF(Table1[[#This Row],[Age]]&lt;=18,"0-18",IF(Table1[[#This Row],[Age]]&lt;=35,"19-35",IF(Table1[[#This Row],[Age]]&lt;=50,"36-50",IF(Table1[[#This Row],[Age]]&lt;=65,"51-65","65+"))))</f>
        <v>51-65</v>
      </c>
    </row>
    <row r="1524" spans="1:19" x14ac:dyDescent="0.3">
      <c r="A1524" s="3" t="s">
        <v>4592</v>
      </c>
      <c r="B1524" s="3">
        <v>85</v>
      </c>
      <c r="C1524" s="3" t="s">
        <v>16</v>
      </c>
      <c r="D1524" s="3" t="s">
        <v>17</v>
      </c>
      <c r="E1524" s="3" t="s">
        <v>43</v>
      </c>
      <c r="F1524" s="4">
        <v>44242</v>
      </c>
      <c r="G1524" s="3" t="s">
        <v>4593</v>
      </c>
      <c r="H1524" s="3" t="s">
        <v>4594</v>
      </c>
      <c r="I1524" s="3" t="s">
        <v>39</v>
      </c>
      <c r="J1524" s="5">
        <v>17860.213441035499</v>
      </c>
      <c r="K1524" s="3">
        <v>374</v>
      </c>
      <c r="L1524" s="3" t="s">
        <v>31</v>
      </c>
      <c r="M1524" s="4">
        <v>44251</v>
      </c>
      <c r="N1524" s="3" t="s">
        <v>79</v>
      </c>
      <c r="O1524" s="3" t="s">
        <v>24</v>
      </c>
      <c r="P1524" s="3" t="str">
        <f>IF(Table1[[#This Row],[Billing Amount]]&lt;5000,"Low",IF(Table1[[#This Row],[Billing Amount]]&lt;=15000,"Medium","High"))</f>
        <v>High</v>
      </c>
      <c r="Q1524" s="3" t="str">
        <f>IF(Table1[[#This Row],[Discharge Date]]="Yes","Discharged","Under Treatment")</f>
        <v>Under Treatment</v>
      </c>
      <c r="R1524" s="3" t="str">
        <f>IF(Table1[[#This Row],[Test Results]]&gt;120,"High Risk","Normal")</f>
        <v>High Risk</v>
      </c>
      <c r="S1524" s="3" t="str">
        <f>IF(Table1[[#This Row],[Age]]&lt;=18,"0-18",IF(Table1[[#This Row],[Age]]&lt;=35,"19-35",IF(Table1[[#This Row],[Age]]&lt;=50,"36-50",IF(Table1[[#This Row],[Age]]&lt;=65,"51-65","65+"))))</f>
        <v>65+</v>
      </c>
    </row>
    <row r="1525" spans="1:19" x14ac:dyDescent="0.3">
      <c r="A1525" s="3" t="s">
        <v>4595</v>
      </c>
      <c r="B1525" s="3">
        <v>51</v>
      </c>
      <c r="C1525" s="3" t="s">
        <v>35</v>
      </c>
      <c r="D1525" s="3" t="s">
        <v>103</v>
      </c>
      <c r="E1525" s="3" t="s">
        <v>54</v>
      </c>
      <c r="F1525" s="4">
        <v>43694</v>
      </c>
      <c r="G1525" s="3" t="s">
        <v>534</v>
      </c>
      <c r="H1525" s="3" t="s">
        <v>4596</v>
      </c>
      <c r="I1525" s="3" t="s">
        <v>30</v>
      </c>
      <c r="J1525" s="5">
        <v>38582.511052882401</v>
      </c>
      <c r="K1525" s="3">
        <v>156</v>
      </c>
      <c r="L1525" s="3" t="s">
        <v>31</v>
      </c>
      <c r="M1525" s="4">
        <v>43696</v>
      </c>
      <c r="N1525" s="3" t="s">
        <v>79</v>
      </c>
      <c r="O1525" s="3" t="s">
        <v>24</v>
      </c>
      <c r="P1525" s="3" t="str">
        <f>IF(Table1[[#This Row],[Billing Amount]]&lt;5000,"Low",IF(Table1[[#This Row],[Billing Amount]]&lt;=15000,"Medium","High"))</f>
        <v>High</v>
      </c>
      <c r="Q1525" s="3" t="str">
        <f>IF(Table1[[#This Row],[Discharge Date]]="Yes","Discharged","Under Treatment")</f>
        <v>Under Treatment</v>
      </c>
      <c r="R1525" s="3" t="str">
        <f>IF(Table1[[#This Row],[Test Results]]&gt;120,"High Risk","Normal")</f>
        <v>High Risk</v>
      </c>
      <c r="S1525" s="3" t="str">
        <f>IF(Table1[[#This Row],[Age]]&lt;=18,"0-18",IF(Table1[[#This Row],[Age]]&lt;=35,"19-35",IF(Table1[[#This Row],[Age]]&lt;=50,"36-50",IF(Table1[[#This Row],[Age]]&lt;=65,"51-65","65+"))))</f>
        <v>51-65</v>
      </c>
    </row>
    <row r="1526" spans="1:19" x14ac:dyDescent="0.3">
      <c r="A1526" s="3" t="s">
        <v>4597</v>
      </c>
      <c r="B1526" s="3">
        <v>26</v>
      </c>
      <c r="C1526" s="3" t="s">
        <v>35</v>
      </c>
      <c r="D1526" s="3" t="s">
        <v>122</v>
      </c>
      <c r="E1526" s="3" t="s">
        <v>43</v>
      </c>
      <c r="F1526" s="4">
        <v>44457</v>
      </c>
      <c r="G1526" s="3" t="s">
        <v>4598</v>
      </c>
      <c r="H1526" s="3" t="s">
        <v>4599</v>
      </c>
      <c r="I1526" s="3" t="s">
        <v>57</v>
      </c>
      <c r="J1526" s="5">
        <v>43000.470630415999</v>
      </c>
      <c r="K1526" s="3">
        <v>412</v>
      </c>
      <c r="L1526" s="3" t="s">
        <v>22</v>
      </c>
      <c r="M1526" s="4">
        <v>44458</v>
      </c>
      <c r="N1526" s="3" t="s">
        <v>52</v>
      </c>
      <c r="O1526" s="3" t="s">
        <v>47</v>
      </c>
      <c r="P1526" s="3" t="str">
        <f>IF(Table1[[#This Row],[Billing Amount]]&lt;5000,"Low",IF(Table1[[#This Row],[Billing Amount]]&lt;=15000,"Medium","High"))</f>
        <v>High</v>
      </c>
      <c r="Q1526" s="3" t="str">
        <f>IF(Table1[[#This Row],[Discharge Date]]="Yes","Discharged","Under Treatment")</f>
        <v>Under Treatment</v>
      </c>
      <c r="R1526" s="3" t="str">
        <f>IF(Table1[[#This Row],[Test Results]]&gt;120,"High Risk","Normal")</f>
        <v>High Risk</v>
      </c>
      <c r="S1526" s="3" t="str">
        <f>IF(Table1[[#This Row],[Age]]&lt;=18,"0-18",IF(Table1[[#This Row],[Age]]&lt;=35,"19-35",IF(Table1[[#This Row],[Age]]&lt;=50,"36-50",IF(Table1[[#This Row],[Age]]&lt;=65,"51-65","65+"))))</f>
        <v>19-35</v>
      </c>
    </row>
    <row r="1527" spans="1:19" x14ac:dyDescent="0.3">
      <c r="A1527" s="3" t="s">
        <v>4600</v>
      </c>
      <c r="B1527" s="3">
        <v>41</v>
      </c>
      <c r="C1527" s="3" t="s">
        <v>35</v>
      </c>
      <c r="D1527" s="3" t="s">
        <v>26</v>
      </c>
      <c r="E1527" s="3" t="s">
        <v>93</v>
      </c>
      <c r="F1527" s="4">
        <v>44003</v>
      </c>
      <c r="G1527" s="3" t="s">
        <v>4601</v>
      </c>
      <c r="H1527" s="3" t="s">
        <v>4602</v>
      </c>
      <c r="I1527" s="3" t="s">
        <v>57</v>
      </c>
      <c r="J1527" s="5">
        <v>46057.541668598598</v>
      </c>
      <c r="K1527" s="3">
        <v>225</v>
      </c>
      <c r="L1527" s="3" t="s">
        <v>31</v>
      </c>
      <c r="M1527" s="4">
        <v>44009</v>
      </c>
      <c r="N1527" s="3" t="s">
        <v>23</v>
      </c>
      <c r="O1527" s="3" t="s">
        <v>47</v>
      </c>
      <c r="P1527" s="3" t="str">
        <f>IF(Table1[[#This Row],[Billing Amount]]&lt;5000,"Low",IF(Table1[[#This Row],[Billing Amount]]&lt;=15000,"Medium","High"))</f>
        <v>High</v>
      </c>
      <c r="Q1527" s="3" t="str">
        <f>IF(Table1[[#This Row],[Discharge Date]]="Yes","Discharged","Under Treatment")</f>
        <v>Under Treatment</v>
      </c>
      <c r="R1527" s="3" t="str">
        <f>IF(Table1[[#This Row],[Test Results]]&gt;120,"High Risk","Normal")</f>
        <v>High Risk</v>
      </c>
      <c r="S1527" s="3" t="str">
        <f>IF(Table1[[#This Row],[Age]]&lt;=18,"0-18",IF(Table1[[#This Row],[Age]]&lt;=35,"19-35",IF(Table1[[#This Row],[Age]]&lt;=50,"36-50",IF(Table1[[#This Row],[Age]]&lt;=65,"51-65","65+"))))</f>
        <v>36-50</v>
      </c>
    </row>
    <row r="1528" spans="1:19" x14ac:dyDescent="0.3">
      <c r="A1528" s="3" t="s">
        <v>4603</v>
      </c>
      <c r="B1528" s="3">
        <v>22</v>
      </c>
      <c r="C1528" s="3" t="s">
        <v>16</v>
      </c>
      <c r="D1528" s="3" t="s">
        <v>49</v>
      </c>
      <c r="E1528" s="3" t="s">
        <v>27</v>
      </c>
      <c r="F1528" s="4">
        <v>44777</v>
      </c>
      <c r="G1528" s="3" t="s">
        <v>4604</v>
      </c>
      <c r="H1528" s="3" t="s">
        <v>4605</v>
      </c>
      <c r="I1528" s="3" t="s">
        <v>30</v>
      </c>
      <c r="J1528" s="5">
        <v>10749.765037617701</v>
      </c>
      <c r="K1528" s="3">
        <v>234</v>
      </c>
      <c r="L1528" s="3" t="s">
        <v>46</v>
      </c>
      <c r="M1528" s="4">
        <v>44792</v>
      </c>
      <c r="N1528" s="3" t="s">
        <v>52</v>
      </c>
      <c r="O1528" s="3" t="s">
        <v>33</v>
      </c>
      <c r="P1528" s="3" t="str">
        <f>IF(Table1[[#This Row],[Billing Amount]]&lt;5000,"Low",IF(Table1[[#This Row],[Billing Amount]]&lt;=15000,"Medium","High"))</f>
        <v>Medium</v>
      </c>
      <c r="Q1528" s="3" t="str">
        <f>IF(Table1[[#This Row],[Discharge Date]]="Yes","Discharged","Under Treatment")</f>
        <v>Under Treatment</v>
      </c>
      <c r="R1528" s="3" t="str">
        <f>IF(Table1[[#This Row],[Test Results]]&gt;120,"High Risk","Normal")</f>
        <v>High Risk</v>
      </c>
      <c r="S1528" s="3" t="str">
        <f>IF(Table1[[#This Row],[Age]]&lt;=18,"0-18",IF(Table1[[#This Row],[Age]]&lt;=35,"19-35",IF(Table1[[#This Row],[Age]]&lt;=50,"36-50",IF(Table1[[#This Row],[Age]]&lt;=65,"51-65","65+"))))</f>
        <v>19-35</v>
      </c>
    </row>
    <row r="1529" spans="1:19" x14ac:dyDescent="0.3">
      <c r="A1529" s="3" t="s">
        <v>4606</v>
      </c>
      <c r="B1529" s="3">
        <v>69</v>
      </c>
      <c r="C1529" s="3" t="s">
        <v>16</v>
      </c>
      <c r="D1529" s="3" t="s">
        <v>122</v>
      </c>
      <c r="E1529" s="3" t="s">
        <v>54</v>
      </c>
      <c r="F1529" s="4">
        <v>45359</v>
      </c>
      <c r="G1529" s="3" t="s">
        <v>4607</v>
      </c>
      <c r="H1529" s="3" t="s">
        <v>4608</v>
      </c>
      <c r="I1529" s="3" t="s">
        <v>21</v>
      </c>
      <c r="J1529" s="5">
        <v>35617.810490672797</v>
      </c>
      <c r="K1529" s="3">
        <v>346</v>
      </c>
      <c r="L1529" s="3" t="s">
        <v>31</v>
      </c>
      <c r="M1529" s="4">
        <v>45387</v>
      </c>
      <c r="N1529" s="3" t="s">
        <v>32</v>
      </c>
      <c r="O1529" s="3" t="s">
        <v>33</v>
      </c>
      <c r="P1529" s="3" t="str">
        <f>IF(Table1[[#This Row],[Billing Amount]]&lt;5000,"Low",IF(Table1[[#This Row],[Billing Amount]]&lt;=15000,"Medium","High"))</f>
        <v>High</v>
      </c>
      <c r="Q1529" s="3" t="str">
        <f>IF(Table1[[#This Row],[Discharge Date]]="Yes","Discharged","Under Treatment")</f>
        <v>Under Treatment</v>
      </c>
      <c r="R1529" s="3" t="str">
        <f>IF(Table1[[#This Row],[Test Results]]&gt;120,"High Risk","Normal")</f>
        <v>High Risk</v>
      </c>
      <c r="S1529" s="3" t="str">
        <f>IF(Table1[[#This Row],[Age]]&lt;=18,"0-18",IF(Table1[[#This Row],[Age]]&lt;=35,"19-35",IF(Table1[[#This Row],[Age]]&lt;=50,"36-50",IF(Table1[[#This Row],[Age]]&lt;=65,"51-65","65+"))))</f>
        <v>65+</v>
      </c>
    </row>
    <row r="1530" spans="1:19" x14ac:dyDescent="0.3">
      <c r="A1530" s="3" t="s">
        <v>4609</v>
      </c>
      <c r="B1530" s="3">
        <v>55</v>
      </c>
      <c r="C1530" s="3" t="s">
        <v>35</v>
      </c>
      <c r="D1530" s="3" t="s">
        <v>36</v>
      </c>
      <c r="E1530" s="3" t="s">
        <v>27</v>
      </c>
      <c r="F1530" s="4">
        <v>43802</v>
      </c>
      <c r="G1530" s="3" t="s">
        <v>4610</v>
      </c>
      <c r="H1530" s="3" t="s">
        <v>4611</v>
      </c>
      <c r="I1530" s="3" t="s">
        <v>57</v>
      </c>
      <c r="J1530" s="5">
        <v>39882.584554767702</v>
      </c>
      <c r="K1530" s="3">
        <v>162</v>
      </c>
      <c r="L1530" s="3" t="s">
        <v>46</v>
      </c>
      <c r="M1530" s="4">
        <v>43804</v>
      </c>
      <c r="N1530" s="3" t="s">
        <v>32</v>
      </c>
      <c r="O1530" s="3" t="s">
        <v>47</v>
      </c>
      <c r="P1530" s="3" t="str">
        <f>IF(Table1[[#This Row],[Billing Amount]]&lt;5000,"Low",IF(Table1[[#This Row],[Billing Amount]]&lt;=15000,"Medium","High"))</f>
        <v>High</v>
      </c>
      <c r="Q1530" s="3" t="str">
        <f>IF(Table1[[#This Row],[Discharge Date]]="Yes","Discharged","Under Treatment")</f>
        <v>Under Treatment</v>
      </c>
      <c r="R1530" s="3" t="str">
        <f>IF(Table1[[#This Row],[Test Results]]&gt;120,"High Risk","Normal")</f>
        <v>High Risk</v>
      </c>
      <c r="S1530" s="3" t="str">
        <f>IF(Table1[[#This Row],[Age]]&lt;=18,"0-18",IF(Table1[[#This Row],[Age]]&lt;=35,"19-35",IF(Table1[[#This Row],[Age]]&lt;=50,"36-50",IF(Table1[[#This Row],[Age]]&lt;=65,"51-65","65+"))))</f>
        <v>51-65</v>
      </c>
    </row>
    <row r="1531" spans="1:19" x14ac:dyDescent="0.3">
      <c r="A1531" s="3" t="s">
        <v>4612</v>
      </c>
      <c r="B1531" s="3">
        <v>30</v>
      </c>
      <c r="C1531" s="3" t="s">
        <v>35</v>
      </c>
      <c r="D1531" s="3" t="s">
        <v>103</v>
      </c>
      <c r="E1531" s="3" t="s">
        <v>93</v>
      </c>
      <c r="F1531" s="4">
        <v>44660</v>
      </c>
      <c r="G1531" s="3" t="s">
        <v>4613</v>
      </c>
      <c r="H1531" s="3" t="s">
        <v>4614</v>
      </c>
      <c r="I1531" s="3" t="s">
        <v>21</v>
      </c>
      <c r="J1531" s="5">
        <v>10684.9329478745</v>
      </c>
      <c r="K1531" s="3">
        <v>403</v>
      </c>
      <c r="L1531" s="3" t="s">
        <v>22</v>
      </c>
      <c r="M1531" s="4">
        <v>44672</v>
      </c>
      <c r="N1531" s="3" t="s">
        <v>52</v>
      </c>
      <c r="O1531" s="3" t="s">
        <v>24</v>
      </c>
      <c r="P1531" s="3" t="str">
        <f>IF(Table1[[#This Row],[Billing Amount]]&lt;5000,"Low",IF(Table1[[#This Row],[Billing Amount]]&lt;=15000,"Medium","High"))</f>
        <v>Medium</v>
      </c>
      <c r="Q1531" s="3" t="str">
        <f>IF(Table1[[#This Row],[Discharge Date]]="Yes","Discharged","Under Treatment")</f>
        <v>Under Treatment</v>
      </c>
      <c r="R1531" s="3" t="str">
        <f>IF(Table1[[#This Row],[Test Results]]&gt;120,"High Risk","Normal")</f>
        <v>High Risk</v>
      </c>
      <c r="S1531" s="3" t="str">
        <f>IF(Table1[[#This Row],[Age]]&lt;=18,"0-18",IF(Table1[[#This Row],[Age]]&lt;=35,"19-35",IF(Table1[[#This Row],[Age]]&lt;=50,"36-50",IF(Table1[[#This Row],[Age]]&lt;=65,"51-65","65+"))))</f>
        <v>19-35</v>
      </c>
    </row>
    <row r="1532" spans="1:19" x14ac:dyDescent="0.3">
      <c r="A1532" s="3" t="s">
        <v>4615</v>
      </c>
      <c r="B1532" s="3">
        <v>36</v>
      </c>
      <c r="C1532" s="3" t="s">
        <v>35</v>
      </c>
      <c r="D1532" s="3" t="s">
        <v>17</v>
      </c>
      <c r="E1532" s="3" t="s">
        <v>27</v>
      </c>
      <c r="F1532" s="4">
        <v>45377</v>
      </c>
      <c r="G1532" s="3" t="s">
        <v>4616</v>
      </c>
      <c r="H1532" s="3" t="s">
        <v>4617</v>
      </c>
      <c r="I1532" s="3" t="s">
        <v>65</v>
      </c>
      <c r="J1532" s="5">
        <v>49611.4559188403</v>
      </c>
      <c r="K1532" s="3">
        <v>187</v>
      </c>
      <c r="L1532" s="3" t="s">
        <v>46</v>
      </c>
      <c r="M1532" s="4">
        <v>45400</v>
      </c>
      <c r="N1532" s="3" t="s">
        <v>40</v>
      </c>
      <c r="O1532" s="3" t="s">
        <v>33</v>
      </c>
      <c r="P1532" s="3" t="str">
        <f>IF(Table1[[#This Row],[Billing Amount]]&lt;5000,"Low",IF(Table1[[#This Row],[Billing Amount]]&lt;=15000,"Medium","High"))</f>
        <v>High</v>
      </c>
      <c r="Q1532" s="3" t="str">
        <f>IF(Table1[[#This Row],[Discharge Date]]="Yes","Discharged","Under Treatment")</f>
        <v>Under Treatment</v>
      </c>
      <c r="R1532" s="3" t="str">
        <f>IF(Table1[[#This Row],[Test Results]]&gt;120,"High Risk","Normal")</f>
        <v>High Risk</v>
      </c>
      <c r="S1532" s="3" t="str">
        <f>IF(Table1[[#This Row],[Age]]&lt;=18,"0-18",IF(Table1[[#This Row],[Age]]&lt;=35,"19-35",IF(Table1[[#This Row],[Age]]&lt;=50,"36-50",IF(Table1[[#This Row],[Age]]&lt;=65,"51-65","65+"))))</f>
        <v>36-50</v>
      </c>
    </row>
    <row r="1533" spans="1:19" x14ac:dyDescent="0.3">
      <c r="A1533" s="3" t="s">
        <v>4618</v>
      </c>
      <c r="B1533" s="3">
        <v>67</v>
      </c>
      <c r="C1533" s="3" t="s">
        <v>35</v>
      </c>
      <c r="D1533" s="3" t="s">
        <v>42</v>
      </c>
      <c r="E1533" s="3" t="s">
        <v>43</v>
      </c>
      <c r="F1533" s="4">
        <v>44573</v>
      </c>
      <c r="G1533" s="3" t="s">
        <v>4619</v>
      </c>
      <c r="H1533" s="3" t="s">
        <v>4620</v>
      </c>
      <c r="I1533" s="3" t="s">
        <v>30</v>
      </c>
      <c r="J1533" s="5">
        <v>48094.251205209897</v>
      </c>
      <c r="K1533" s="3">
        <v>370</v>
      </c>
      <c r="L1533" s="3" t="s">
        <v>46</v>
      </c>
      <c r="M1533" s="4">
        <v>44600</v>
      </c>
      <c r="N1533" s="3" t="s">
        <v>52</v>
      </c>
      <c r="O1533" s="3" t="s">
        <v>24</v>
      </c>
      <c r="P1533" s="3" t="str">
        <f>IF(Table1[[#This Row],[Billing Amount]]&lt;5000,"Low",IF(Table1[[#This Row],[Billing Amount]]&lt;=15000,"Medium","High"))</f>
        <v>High</v>
      </c>
      <c r="Q1533" s="3" t="str">
        <f>IF(Table1[[#This Row],[Discharge Date]]="Yes","Discharged","Under Treatment")</f>
        <v>Under Treatment</v>
      </c>
      <c r="R1533" s="3" t="str">
        <f>IF(Table1[[#This Row],[Test Results]]&gt;120,"High Risk","Normal")</f>
        <v>High Risk</v>
      </c>
      <c r="S1533" s="3" t="str">
        <f>IF(Table1[[#This Row],[Age]]&lt;=18,"0-18",IF(Table1[[#This Row],[Age]]&lt;=35,"19-35",IF(Table1[[#This Row],[Age]]&lt;=50,"36-50",IF(Table1[[#This Row],[Age]]&lt;=65,"51-65","65+"))))</f>
        <v>65+</v>
      </c>
    </row>
    <row r="1534" spans="1:19" x14ac:dyDescent="0.3">
      <c r="A1534" s="3" t="s">
        <v>4621</v>
      </c>
      <c r="B1534" s="3">
        <v>40</v>
      </c>
      <c r="C1534" s="3" t="s">
        <v>35</v>
      </c>
      <c r="D1534" s="3" t="s">
        <v>26</v>
      </c>
      <c r="E1534" s="3" t="s">
        <v>76</v>
      </c>
      <c r="F1534" s="4">
        <v>44588</v>
      </c>
      <c r="G1534" s="3" t="s">
        <v>4622</v>
      </c>
      <c r="H1534" s="3" t="s">
        <v>4623</v>
      </c>
      <c r="I1534" s="3" t="s">
        <v>65</v>
      </c>
      <c r="J1534" s="5">
        <v>18329.658600203202</v>
      </c>
      <c r="K1534" s="3">
        <v>346</v>
      </c>
      <c r="L1534" s="3" t="s">
        <v>22</v>
      </c>
      <c r="M1534" s="4">
        <v>44615</v>
      </c>
      <c r="N1534" s="3" t="s">
        <v>79</v>
      </c>
      <c r="O1534" s="3" t="s">
        <v>33</v>
      </c>
      <c r="P1534" s="3" t="str">
        <f>IF(Table1[[#This Row],[Billing Amount]]&lt;5000,"Low",IF(Table1[[#This Row],[Billing Amount]]&lt;=15000,"Medium","High"))</f>
        <v>High</v>
      </c>
      <c r="Q1534" s="3" t="str">
        <f>IF(Table1[[#This Row],[Discharge Date]]="Yes","Discharged","Under Treatment")</f>
        <v>Under Treatment</v>
      </c>
      <c r="R1534" s="3" t="str">
        <f>IF(Table1[[#This Row],[Test Results]]&gt;120,"High Risk","Normal")</f>
        <v>High Risk</v>
      </c>
      <c r="S1534" s="3" t="str">
        <f>IF(Table1[[#This Row],[Age]]&lt;=18,"0-18",IF(Table1[[#This Row],[Age]]&lt;=35,"19-35",IF(Table1[[#This Row],[Age]]&lt;=50,"36-50",IF(Table1[[#This Row],[Age]]&lt;=65,"51-65","65+"))))</f>
        <v>36-50</v>
      </c>
    </row>
    <row r="1535" spans="1:19" x14ac:dyDescent="0.3">
      <c r="A1535" s="3" t="s">
        <v>4624</v>
      </c>
      <c r="B1535" s="3">
        <v>37</v>
      </c>
      <c r="C1535" s="3" t="s">
        <v>35</v>
      </c>
      <c r="D1535" s="3" t="s">
        <v>59</v>
      </c>
      <c r="E1535" s="3" t="s">
        <v>43</v>
      </c>
      <c r="F1535" s="4">
        <v>45184</v>
      </c>
      <c r="G1535" s="3" t="s">
        <v>4625</v>
      </c>
      <c r="H1535" s="3" t="s">
        <v>108</v>
      </c>
      <c r="I1535" s="3" t="s">
        <v>30</v>
      </c>
      <c r="J1535" s="5">
        <v>32521.057620464398</v>
      </c>
      <c r="K1535" s="3">
        <v>376</v>
      </c>
      <c r="L1535" s="3" t="s">
        <v>46</v>
      </c>
      <c r="M1535" s="4">
        <v>45202</v>
      </c>
      <c r="N1535" s="3" t="s">
        <v>23</v>
      </c>
      <c r="O1535" s="3" t="s">
        <v>47</v>
      </c>
      <c r="P1535" s="3" t="str">
        <f>IF(Table1[[#This Row],[Billing Amount]]&lt;5000,"Low",IF(Table1[[#This Row],[Billing Amount]]&lt;=15000,"Medium","High"))</f>
        <v>High</v>
      </c>
      <c r="Q1535" s="3" t="str">
        <f>IF(Table1[[#This Row],[Discharge Date]]="Yes","Discharged","Under Treatment")</f>
        <v>Under Treatment</v>
      </c>
      <c r="R1535" s="3" t="str">
        <f>IF(Table1[[#This Row],[Test Results]]&gt;120,"High Risk","Normal")</f>
        <v>High Risk</v>
      </c>
      <c r="S1535" s="3" t="str">
        <f>IF(Table1[[#This Row],[Age]]&lt;=18,"0-18",IF(Table1[[#This Row],[Age]]&lt;=35,"19-35",IF(Table1[[#This Row],[Age]]&lt;=50,"36-50",IF(Table1[[#This Row],[Age]]&lt;=65,"51-65","65+"))))</f>
        <v>36-50</v>
      </c>
    </row>
    <row r="1536" spans="1:19" x14ac:dyDescent="0.3">
      <c r="A1536" s="3" t="s">
        <v>4626</v>
      </c>
      <c r="B1536" s="3">
        <v>70</v>
      </c>
      <c r="C1536" s="3" t="s">
        <v>16</v>
      </c>
      <c r="D1536" s="3" t="s">
        <v>36</v>
      </c>
      <c r="E1536" s="3" t="s">
        <v>18</v>
      </c>
      <c r="F1536" s="4">
        <v>43800</v>
      </c>
      <c r="G1536" s="3" t="s">
        <v>4627</v>
      </c>
      <c r="H1536" s="3" t="s">
        <v>4628</v>
      </c>
      <c r="I1536" s="3" t="s">
        <v>39</v>
      </c>
      <c r="J1536" s="5">
        <v>19551.832453277199</v>
      </c>
      <c r="K1536" s="3">
        <v>380</v>
      </c>
      <c r="L1536" s="3" t="s">
        <v>31</v>
      </c>
      <c r="M1536" s="4">
        <v>43829</v>
      </c>
      <c r="N1536" s="3" t="s">
        <v>79</v>
      </c>
      <c r="O1536" s="3" t="s">
        <v>33</v>
      </c>
      <c r="P1536" s="3" t="str">
        <f>IF(Table1[[#This Row],[Billing Amount]]&lt;5000,"Low",IF(Table1[[#This Row],[Billing Amount]]&lt;=15000,"Medium","High"))</f>
        <v>High</v>
      </c>
      <c r="Q1536" s="3" t="str">
        <f>IF(Table1[[#This Row],[Discharge Date]]="Yes","Discharged","Under Treatment")</f>
        <v>Under Treatment</v>
      </c>
      <c r="R1536" s="3" t="str">
        <f>IF(Table1[[#This Row],[Test Results]]&gt;120,"High Risk","Normal")</f>
        <v>High Risk</v>
      </c>
      <c r="S1536" s="3" t="str">
        <f>IF(Table1[[#This Row],[Age]]&lt;=18,"0-18",IF(Table1[[#This Row],[Age]]&lt;=35,"19-35",IF(Table1[[#This Row],[Age]]&lt;=50,"36-50",IF(Table1[[#This Row],[Age]]&lt;=65,"51-65","65+"))))</f>
        <v>65+</v>
      </c>
    </row>
    <row r="1537" spans="1:19" x14ac:dyDescent="0.3">
      <c r="A1537" s="3" t="s">
        <v>4629</v>
      </c>
      <c r="B1537" s="3">
        <v>34</v>
      </c>
      <c r="C1537" s="3" t="s">
        <v>16</v>
      </c>
      <c r="D1537" s="3" t="s">
        <v>17</v>
      </c>
      <c r="E1537" s="3" t="s">
        <v>18</v>
      </c>
      <c r="F1537" s="4">
        <v>44246</v>
      </c>
      <c r="G1537" s="3" t="s">
        <v>4630</v>
      </c>
      <c r="H1537" s="3" t="s">
        <v>4631</v>
      </c>
      <c r="I1537" s="3" t="s">
        <v>65</v>
      </c>
      <c r="J1537" s="5">
        <v>35156.937199846798</v>
      </c>
      <c r="K1537" s="3">
        <v>291</v>
      </c>
      <c r="L1537" s="3" t="s">
        <v>46</v>
      </c>
      <c r="M1537" s="4">
        <v>44257</v>
      </c>
      <c r="N1537" s="3" t="s">
        <v>23</v>
      </c>
      <c r="O1537" s="3" t="s">
        <v>33</v>
      </c>
      <c r="P1537" s="3" t="str">
        <f>IF(Table1[[#This Row],[Billing Amount]]&lt;5000,"Low",IF(Table1[[#This Row],[Billing Amount]]&lt;=15000,"Medium","High"))</f>
        <v>High</v>
      </c>
      <c r="Q1537" s="3" t="str">
        <f>IF(Table1[[#This Row],[Discharge Date]]="Yes","Discharged","Under Treatment")</f>
        <v>Under Treatment</v>
      </c>
      <c r="R1537" s="3" t="str">
        <f>IF(Table1[[#This Row],[Test Results]]&gt;120,"High Risk","Normal")</f>
        <v>High Risk</v>
      </c>
      <c r="S1537" s="3" t="str">
        <f>IF(Table1[[#This Row],[Age]]&lt;=18,"0-18",IF(Table1[[#This Row],[Age]]&lt;=35,"19-35",IF(Table1[[#This Row],[Age]]&lt;=50,"36-50",IF(Table1[[#This Row],[Age]]&lt;=65,"51-65","65+"))))</f>
        <v>19-35</v>
      </c>
    </row>
    <row r="1538" spans="1:19" x14ac:dyDescent="0.3">
      <c r="A1538" s="3" t="s">
        <v>4632</v>
      </c>
      <c r="B1538" s="3">
        <v>29</v>
      </c>
      <c r="C1538" s="3" t="s">
        <v>16</v>
      </c>
      <c r="D1538" s="3" t="s">
        <v>49</v>
      </c>
      <c r="E1538" s="3" t="s">
        <v>93</v>
      </c>
      <c r="F1538" s="4">
        <v>43882</v>
      </c>
      <c r="G1538" s="3" t="s">
        <v>4633</v>
      </c>
      <c r="H1538" s="3" t="s">
        <v>4634</v>
      </c>
      <c r="I1538" s="3" t="s">
        <v>21</v>
      </c>
      <c r="J1538" s="5">
        <v>46996.404453976102</v>
      </c>
      <c r="K1538" s="3">
        <v>479</v>
      </c>
      <c r="L1538" s="3" t="s">
        <v>31</v>
      </c>
      <c r="M1538" s="4">
        <v>43898</v>
      </c>
      <c r="N1538" s="3" t="s">
        <v>79</v>
      </c>
      <c r="O1538" s="3" t="s">
        <v>47</v>
      </c>
      <c r="P1538" s="3" t="str">
        <f>IF(Table1[[#This Row],[Billing Amount]]&lt;5000,"Low",IF(Table1[[#This Row],[Billing Amount]]&lt;=15000,"Medium","High"))</f>
        <v>High</v>
      </c>
      <c r="Q1538" s="3" t="str">
        <f>IF(Table1[[#This Row],[Discharge Date]]="Yes","Discharged","Under Treatment")</f>
        <v>Under Treatment</v>
      </c>
      <c r="R1538" s="3" t="str">
        <f>IF(Table1[[#This Row],[Test Results]]&gt;120,"High Risk","Normal")</f>
        <v>High Risk</v>
      </c>
      <c r="S1538" s="3" t="str">
        <f>IF(Table1[[#This Row],[Age]]&lt;=18,"0-18",IF(Table1[[#This Row],[Age]]&lt;=35,"19-35",IF(Table1[[#This Row],[Age]]&lt;=50,"36-50",IF(Table1[[#This Row],[Age]]&lt;=65,"51-65","65+"))))</f>
        <v>19-35</v>
      </c>
    </row>
    <row r="1539" spans="1:19" x14ac:dyDescent="0.3">
      <c r="A1539" s="3" t="s">
        <v>4635</v>
      </c>
      <c r="B1539" s="3">
        <v>48</v>
      </c>
      <c r="C1539" s="3" t="s">
        <v>16</v>
      </c>
      <c r="D1539" s="3" t="s">
        <v>49</v>
      </c>
      <c r="E1539" s="3" t="s">
        <v>27</v>
      </c>
      <c r="F1539" s="4">
        <v>44463</v>
      </c>
      <c r="G1539" s="3" t="s">
        <v>4636</v>
      </c>
      <c r="H1539" s="3" t="s">
        <v>2482</v>
      </c>
      <c r="I1539" s="3" t="s">
        <v>21</v>
      </c>
      <c r="J1539" s="5">
        <v>25092.552062679399</v>
      </c>
      <c r="K1539" s="3">
        <v>263</v>
      </c>
      <c r="L1539" s="3" t="s">
        <v>46</v>
      </c>
      <c r="M1539" s="4">
        <v>44487</v>
      </c>
      <c r="N1539" s="3" t="s">
        <v>40</v>
      </c>
      <c r="O1539" s="3" t="s">
        <v>47</v>
      </c>
      <c r="P1539" s="3" t="str">
        <f>IF(Table1[[#This Row],[Billing Amount]]&lt;5000,"Low",IF(Table1[[#This Row],[Billing Amount]]&lt;=15000,"Medium","High"))</f>
        <v>High</v>
      </c>
      <c r="Q1539" s="3" t="str">
        <f>IF(Table1[[#This Row],[Discharge Date]]="Yes","Discharged","Under Treatment")</f>
        <v>Under Treatment</v>
      </c>
      <c r="R1539" s="3" t="str">
        <f>IF(Table1[[#This Row],[Test Results]]&gt;120,"High Risk","Normal")</f>
        <v>High Risk</v>
      </c>
      <c r="S1539" s="3" t="str">
        <f>IF(Table1[[#This Row],[Age]]&lt;=18,"0-18",IF(Table1[[#This Row],[Age]]&lt;=35,"19-35",IF(Table1[[#This Row],[Age]]&lt;=50,"36-50",IF(Table1[[#This Row],[Age]]&lt;=65,"51-65","65+"))))</f>
        <v>36-50</v>
      </c>
    </row>
    <row r="1540" spans="1:19" x14ac:dyDescent="0.3">
      <c r="A1540" s="3" t="s">
        <v>4637</v>
      </c>
      <c r="B1540" s="3">
        <v>37</v>
      </c>
      <c r="C1540" s="3" t="s">
        <v>16</v>
      </c>
      <c r="D1540" s="3" t="s">
        <v>59</v>
      </c>
      <c r="E1540" s="3" t="s">
        <v>43</v>
      </c>
      <c r="F1540" s="4">
        <v>45270</v>
      </c>
      <c r="G1540" s="3" t="s">
        <v>4638</v>
      </c>
      <c r="H1540" s="3" t="s">
        <v>4639</v>
      </c>
      <c r="I1540" s="3" t="s">
        <v>30</v>
      </c>
      <c r="J1540" s="5">
        <v>36334.230095239502</v>
      </c>
      <c r="K1540" s="3">
        <v>450</v>
      </c>
      <c r="L1540" s="3" t="s">
        <v>22</v>
      </c>
      <c r="M1540" s="4">
        <v>45285</v>
      </c>
      <c r="N1540" s="3" t="s">
        <v>79</v>
      </c>
      <c r="O1540" s="3" t="s">
        <v>24</v>
      </c>
      <c r="P1540" s="3" t="str">
        <f>IF(Table1[[#This Row],[Billing Amount]]&lt;5000,"Low",IF(Table1[[#This Row],[Billing Amount]]&lt;=15000,"Medium","High"))</f>
        <v>High</v>
      </c>
      <c r="Q1540" s="3" t="str">
        <f>IF(Table1[[#This Row],[Discharge Date]]="Yes","Discharged","Under Treatment")</f>
        <v>Under Treatment</v>
      </c>
      <c r="R1540" s="3" t="str">
        <f>IF(Table1[[#This Row],[Test Results]]&gt;120,"High Risk","Normal")</f>
        <v>High Risk</v>
      </c>
      <c r="S1540" s="3" t="str">
        <f>IF(Table1[[#This Row],[Age]]&lt;=18,"0-18",IF(Table1[[#This Row],[Age]]&lt;=35,"19-35",IF(Table1[[#This Row],[Age]]&lt;=50,"36-50",IF(Table1[[#This Row],[Age]]&lt;=65,"51-65","65+"))))</f>
        <v>36-50</v>
      </c>
    </row>
    <row r="1541" spans="1:19" x14ac:dyDescent="0.3">
      <c r="A1541" s="3" t="s">
        <v>4640</v>
      </c>
      <c r="B1541" s="3">
        <v>50</v>
      </c>
      <c r="C1541" s="3" t="s">
        <v>16</v>
      </c>
      <c r="D1541" s="3" t="s">
        <v>17</v>
      </c>
      <c r="E1541" s="3" t="s">
        <v>43</v>
      </c>
      <c r="F1541" s="4">
        <v>44337</v>
      </c>
      <c r="G1541" s="3" t="s">
        <v>4641</v>
      </c>
      <c r="H1541" s="3" t="s">
        <v>4642</v>
      </c>
      <c r="I1541" s="3" t="s">
        <v>57</v>
      </c>
      <c r="J1541" s="5">
        <v>5297.6728903615003</v>
      </c>
      <c r="K1541" s="3">
        <v>210</v>
      </c>
      <c r="L1541" s="3" t="s">
        <v>46</v>
      </c>
      <c r="M1541" s="4">
        <v>44347</v>
      </c>
      <c r="N1541" s="3" t="s">
        <v>79</v>
      </c>
      <c r="O1541" s="3" t="s">
        <v>24</v>
      </c>
      <c r="P1541" s="3" t="str">
        <f>IF(Table1[[#This Row],[Billing Amount]]&lt;5000,"Low",IF(Table1[[#This Row],[Billing Amount]]&lt;=15000,"Medium","High"))</f>
        <v>Medium</v>
      </c>
      <c r="Q1541" s="3" t="str">
        <f>IF(Table1[[#This Row],[Discharge Date]]="Yes","Discharged","Under Treatment")</f>
        <v>Under Treatment</v>
      </c>
      <c r="R1541" s="3" t="str">
        <f>IF(Table1[[#This Row],[Test Results]]&gt;120,"High Risk","Normal")</f>
        <v>High Risk</v>
      </c>
      <c r="S1541" s="3" t="str">
        <f>IF(Table1[[#This Row],[Age]]&lt;=18,"0-18",IF(Table1[[#This Row],[Age]]&lt;=35,"19-35",IF(Table1[[#This Row],[Age]]&lt;=50,"36-50",IF(Table1[[#This Row],[Age]]&lt;=65,"51-65","65+"))))</f>
        <v>36-50</v>
      </c>
    </row>
    <row r="1542" spans="1:19" x14ac:dyDescent="0.3">
      <c r="A1542" s="3" t="s">
        <v>4643</v>
      </c>
      <c r="B1542" s="3">
        <v>66</v>
      </c>
      <c r="C1542" s="3" t="s">
        <v>35</v>
      </c>
      <c r="D1542" s="3" t="s">
        <v>122</v>
      </c>
      <c r="E1542" s="3" t="s">
        <v>18</v>
      </c>
      <c r="F1542" s="4">
        <v>44088</v>
      </c>
      <c r="G1542" s="3" t="s">
        <v>4133</v>
      </c>
      <c r="H1542" s="3" t="s">
        <v>4644</v>
      </c>
      <c r="I1542" s="3" t="s">
        <v>21</v>
      </c>
      <c r="J1542" s="5">
        <v>40326.858543745198</v>
      </c>
      <c r="K1542" s="3">
        <v>199</v>
      </c>
      <c r="L1542" s="3" t="s">
        <v>31</v>
      </c>
      <c r="M1542" s="4">
        <v>44104</v>
      </c>
      <c r="N1542" s="3" t="s">
        <v>23</v>
      </c>
      <c r="O1542" s="3" t="s">
        <v>33</v>
      </c>
      <c r="P1542" s="3" t="str">
        <f>IF(Table1[[#This Row],[Billing Amount]]&lt;5000,"Low",IF(Table1[[#This Row],[Billing Amount]]&lt;=15000,"Medium","High"))</f>
        <v>High</v>
      </c>
      <c r="Q1542" s="3" t="str">
        <f>IF(Table1[[#This Row],[Discharge Date]]="Yes","Discharged","Under Treatment")</f>
        <v>Under Treatment</v>
      </c>
      <c r="R1542" s="3" t="str">
        <f>IF(Table1[[#This Row],[Test Results]]&gt;120,"High Risk","Normal")</f>
        <v>High Risk</v>
      </c>
      <c r="S1542" s="3" t="str">
        <f>IF(Table1[[#This Row],[Age]]&lt;=18,"0-18",IF(Table1[[#This Row],[Age]]&lt;=35,"19-35",IF(Table1[[#This Row],[Age]]&lt;=50,"36-50",IF(Table1[[#This Row],[Age]]&lt;=65,"51-65","65+"))))</f>
        <v>65+</v>
      </c>
    </row>
    <row r="1543" spans="1:19" x14ac:dyDescent="0.3">
      <c r="A1543" s="3" t="s">
        <v>4645</v>
      </c>
      <c r="B1543" s="3">
        <v>81</v>
      </c>
      <c r="C1543" s="3" t="s">
        <v>35</v>
      </c>
      <c r="D1543" s="3" t="s">
        <v>122</v>
      </c>
      <c r="E1543" s="3" t="s">
        <v>93</v>
      </c>
      <c r="F1543" s="4">
        <v>45098</v>
      </c>
      <c r="G1543" s="3" t="s">
        <v>4646</v>
      </c>
      <c r="H1543" s="3" t="s">
        <v>4647</v>
      </c>
      <c r="I1543" s="3" t="s">
        <v>21</v>
      </c>
      <c r="J1543" s="5">
        <v>36156.671337586398</v>
      </c>
      <c r="K1543" s="3">
        <v>387</v>
      </c>
      <c r="L1543" s="3" t="s">
        <v>31</v>
      </c>
      <c r="M1543" s="4">
        <v>45116</v>
      </c>
      <c r="N1543" s="3" t="s">
        <v>52</v>
      </c>
      <c r="O1543" s="3" t="s">
        <v>33</v>
      </c>
      <c r="P1543" s="3" t="str">
        <f>IF(Table1[[#This Row],[Billing Amount]]&lt;5000,"Low",IF(Table1[[#This Row],[Billing Amount]]&lt;=15000,"Medium","High"))</f>
        <v>High</v>
      </c>
      <c r="Q1543" s="3" t="str">
        <f>IF(Table1[[#This Row],[Discharge Date]]="Yes","Discharged","Under Treatment")</f>
        <v>Under Treatment</v>
      </c>
      <c r="R1543" s="3" t="str">
        <f>IF(Table1[[#This Row],[Test Results]]&gt;120,"High Risk","Normal")</f>
        <v>High Risk</v>
      </c>
      <c r="S1543" s="3" t="str">
        <f>IF(Table1[[#This Row],[Age]]&lt;=18,"0-18",IF(Table1[[#This Row],[Age]]&lt;=35,"19-35",IF(Table1[[#This Row],[Age]]&lt;=50,"36-50",IF(Table1[[#This Row],[Age]]&lt;=65,"51-65","65+"))))</f>
        <v>65+</v>
      </c>
    </row>
    <row r="1544" spans="1:19" x14ac:dyDescent="0.3">
      <c r="A1544" s="3" t="s">
        <v>4648</v>
      </c>
      <c r="B1544" s="3">
        <v>41</v>
      </c>
      <c r="C1544" s="3" t="s">
        <v>16</v>
      </c>
      <c r="D1544" s="3" t="s">
        <v>42</v>
      </c>
      <c r="E1544" s="3" t="s">
        <v>18</v>
      </c>
      <c r="F1544" s="4">
        <v>43932</v>
      </c>
      <c r="G1544" s="3" t="s">
        <v>4649</v>
      </c>
      <c r="H1544" s="3" t="s">
        <v>3315</v>
      </c>
      <c r="I1544" s="3" t="s">
        <v>30</v>
      </c>
      <c r="J1544" s="5">
        <v>34723.9922385721</v>
      </c>
      <c r="K1544" s="3">
        <v>466</v>
      </c>
      <c r="L1544" s="3" t="s">
        <v>46</v>
      </c>
      <c r="M1544" s="4">
        <v>43958</v>
      </c>
      <c r="N1544" s="3" t="s">
        <v>40</v>
      </c>
      <c r="O1544" s="3" t="s">
        <v>24</v>
      </c>
      <c r="P1544" s="3" t="str">
        <f>IF(Table1[[#This Row],[Billing Amount]]&lt;5000,"Low",IF(Table1[[#This Row],[Billing Amount]]&lt;=15000,"Medium","High"))</f>
        <v>High</v>
      </c>
      <c r="Q1544" s="3" t="str">
        <f>IF(Table1[[#This Row],[Discharge Date]]="Yes","Discharged","Under Treatment")</f>
        <v>Under Treatment</v>
      </c>
      <c r="R1544" s="3" t="str">
        <f>IF(Table1[[#This Row],[Test Results]]&gt;120,"High Risk","Normal")</f>
        <v>High Risk</v>
      </c>
      <c r="S1544" s="3" t="str">
        <f>IF(Table1[[#This Row],[Age]]&lt;=18,"0-18",IF(Table1[[#This Row],[Age]]&lt;=35,"19-35",IF(Table1[[#This Row],[Age]]&lt;=50,"36-50",IF(Table1[[#This Row],[Age]]&lt;=65,"51-65","65+"))))</f>
        <v>36-50</v>
      </c>
    </row>
    <row r="1545" spans="1:19" x14ac:dyDescent="0.3">
      <c r="A1545" s="3" t="s">
        <v>4650</v>
      </c>
      <c r="B1545" s="3">
        <v>79</v>
      </c>
      <c r="C1545" s="3" t="s">
        <v>16</v>
      </c>
      <c r="D1545" s="3" t="s">
        <v>103</v>
      </c>
      <c r="E1545" s="3" t="s">
        <v>18</v>
      </c>
      <c r="F1545" s="4">
        <v>44403</v>
      </c>
      <c r="G1545" s="3" t="s">
        <v>4651</v>
      </c>
      <c r="H1545" s="3" t="s">
        <v>4652</v>
      </c>
      <c r="I1545" s="3" t="s">
        <v>57</v>
      </c>
      <c r="J1545" s="5">
        <v>6575.9429170746198</v>
      </c>
      <c r="K1545" s="3">
        <v>346</v>
      </c>
      <c r="L1545" s="3" t="s">
        <v>31</v>
      </c>
      <c r="M1545" s="4">
        <v>44410</v>
      </c>
      <c r="N1545" s="3" t="s">
        <v>23</v>
      </c>
      <c r="O1545" s="3" t="s">
        <v>24</v>
      </c>
      <c r="P1545" s="3" t="str">
        <f>IF(Table1[[#This Row],[Billing Amount]]&lt;5000,"Low",IF(Table1[[#This Row],[Billing Amount]]&lt;=15000,"Medium","High"))</f>
        <v>Medium</v>
      </c>
      <c r="Q1545" s="3" t="str">
        <f>IF(Table1[[#This Row],[Discharge Date]]="Yes","Discharged","Under Treatment")</f>
        <v>Under Treatment</v>
      </c>
      <c r="R1545" s="3" t="str">
        <f>IF(Table1[[#This Row],[Test Results]]&gt;120,"High Risk","Normal")</f>
        <v>High Risk</v>
      </c>
      <c r="S1545" s="3" t="str">
        <f>IF(Table1[[#This Row],[Age]]&lt;=18,"0-18",IF(Table1[[#This Row],[Age]]&lt;=35,"19-35",IF(Table1[[#This Row],[Age]]&lt;=50,"36-50",IF(Table1[[#This Row],[Age]]&lt;=65,"51-65","65+"))))</f>
        <v>65+</v>
      </c>
    </row>
    <row r="1546" spans="1:19" x14ac:dyDescent="0.3">
      <c r="A1546" s="3" t="s">
        <v>4653</v>
      </c>
      <c r="B1546" s="3">
        <v>49</v>
      </c>
      <c r="C1546" s="3" t="s">
        <v>16</v>
      </c>
      <c r="D1546" s="3" t="s">
        <v>42</v>
      </c>
      <c r="E1546" s="3" t="s">
        <v>43</v>
      </c>
      <c r="F1546" s="4">
        <v>44740</v>
      </c>
      <c r="G1546" s="3" t="s">
        <v>4654</v>
      </c>
      <c r="H1546" s="3" t="s">
        <v>4655</v>
      </c>
      <c r="I1546" s="3" t="s">
        <v>30</v>
      </c>
      <c r="J1546" s="5">
        <v>36144.213808815199</v>
      </c>
      <c r="K1546" s="3">
        <v>181</v>
      </c>
      <c r="L1546" s="3" t="s">
        <v>22</v>
      </c>
      <c r="M1546" s="4">
        <v>44752</v>
      </c>
      <c r="N1546" s="3" t="s">
        <v>40</v>
      </c>
      <c r="O1546" s="3" t="s">
        <v>47</v>
      </c>
      <c r="P1546" s="3" t="str">
        <f>IF(Table1[[#This Row],[Billing Amount]]&lt;5000,"Low",IF(Table1[[#This Row],[Billing Amount]]&lt;=15000,"Medium","High"))</f>
        <v>High</v>
      </c>
      <c r="Q1546" s="3" t="str">
        <f>IF(Table1[[#This Row],[Discharge Date]]="Yes","Discharged","Under Treatment")</f>
        <v>Under Treatment</v>
      </c>
      <c r="R1546" s="3" t="str">
        <f>IF(Table1[[#This Row],[Test Results]]&gt;120,"High Risk","Normal")</f>
        <v>High Risk</v>
      </c>
      <c r="S1546" s="3" t="str">
        <f>IF(Table1[[#This Row],[Age]]&lt;=18,"0-18",IF(Table1[[#This Row],[Age]]&lt;=35,"19-35",IF(Table1[[#This Row],[Age]]&lt;=50,"36-50",IF(Table1[[#This Row],[Age]]&lt;=65,"51-65","65+"))))</f>
        <v>36-50</v>
      </c>
    </row>
    <row r="1547" spans="1:19" x14ac:dyDescent="0.3">
      <c r="A1547" s="3" t="s">
        <v>4656</v>
      </c>
      <c r="B1547" s="3">
        <v>49</v>
      </c>
      <c r="C1547" s="3" t="s">
        <v>16</v>
      </c>
      <c r="D1547" s="3" t="s">
        <v>42</v>
      </c>
      <c r="E1547" s="3" t="s">
        <v>93</v>
      </c>
      <c r="F1547" s="4">
        <v>43914</v>
      </c>
      <c r="G1547" s="3" t="s">
        <v>4657</v>
      </c>
      <c r="H1547" s="3" t="s">
        <v>4658</v>
      </c>
      <c r="I1547" s="3" t="s">
        <v>39</v>
      </c>
      <c r="J1547" s="5">
        <v>37613.323098200199</v>
      </c>
      <c r="K1547" s="3">
        <v>186</v>
      </c>
      <c r="L1547" s="3" t="s">
        <v>46</v>
      </c>
      <c r="M1547" s="4">
        <v>43927</v>
      </c>
      <c r="N1547" s="3" t="s">
        <v>40</v>
      </c>
      <c r="O1547" s="3" t="s">
        <v>33</v>
      </c>
      <c r="P1547" s="3" t="str">
        <f>IF(Table1[[#This Row],[Billing Amount]]&lt;5000,"Low",IF(Table1[[#This Row],[Billing Amount]]&lt;=15000,"Medium","High"))</f>
        <v>High</v>
      </c>
      <c r="Q1547" s="3" t="str">
        <f>IF(Table1[[#This Row],[Discharge Date]]="Yes","Discharged","Under Treatment")</f>
        <v>Under Treatment</v>
      </c>
      <c r="R1547" s="3" t="str">
        <f>IF(Table1[[#This Row],[Test Results]]&gt;120,"High Risk","Normal")</f>
        <v>High Risk</v>
      </c>
      <c r="S1547" s="3" t="str">
        <f>IF(Table1[[#This Row],[Age]]&lt;=18,"0-18",IF(Table1[[#This Row],[Age]]&lt;=35,"19-35",IF(Table1[[#This Row],[Age]]&lt;=50,"36-50",IF(Table1[[#This Row],[Age]]&lt;=65,"51-65","65+"))))</f>
        <v>36-50</v>
      </c>
    </row>
    <row r="1548" spans="1:19" x14ac:dyDescent="0.3">
      <c r="A1548" s="3" t="s">
        <v>4659</v>
      </c>
      <c r="B1548" s="3">
        <v>31</v>
      </c>
      <c r="C1548" s="3" t="s">
        <v>35</v>
      </c>
      <c r="D1548" s="3" t="s">
        <v>49</v>
      </c>
      <c r="E1548" s="3" t="s">
        <v>43</v>
      </c>
      <c r="F1548" s="4">
        <v>43657</v>
      </c>
      <c r="G1548" s="3" t="s">
        <v>4660</v>
      </c>
      <c r="H1548" s="3" t="s">
        <v>4661</v>
      </c>
      <c r="I1548" s="3" t="s">
        <v>57</v>
      </c>
      <c r="J1548" s="5">
        <v>32503.301786416301</v>
      </c>
      <c r="K1548" s="3">
        <v>182</v>
      </c>
      <c r="L1548" s="3" t="s">
        <v>46</v>
      </c>
      <c r="M1548" s="4">
        <v>43683</v>
      </c>
      <c r="N1548" s="3" t="s">
        <v>32</v>
      </c>
      <c r="O1548" s="3" t="s">
        <v>24</v>
      </c>
      <c r="P1548" s="3" t="str">
        <f>IF(Table1[[#This Row],[Billing Amount]]&lt;5000,"Low",IF(Table1[[#This Row],[Billing Amount]]&lt;=15000,"Medium","High"))</f>
        <v>High</v>
      </c>
      <c r="Q1548" s="3" t="str">
        <f>IF(Table1[[#This Row],[Discharge Date]]="Yes","Discharged","Under Treatment")</f>
        <v>Under Treatment</v>
      </c>
      <c r="R1548" s="3" t="str">
        <f>IF(Table1[[#This Row],[Test Results]]&gt;120,"High Risk","Normal")</f>
        <v>High Risk</v>
      </c>
      <c r="S1548" s="3" t="str">
        <f>IF(Table1[[#This Row],[Age]]&lt;=18,"0-18",IF(Table1[[#This Row],[Age]]&lt;=35,"19-35",IF(Table1[[#This Row],[Age]]&lt;=50,"36-50",IF(Table1[[#This Row],[Age]]&lt;=65,"51-65","65+"))))</f>
        <v>19-35</v>
      </c>
    </row>
    <row r="1549" spans="1:19" x14ac:dyDescent="0.3">
      <c r="A1549" s="3" t="s">
        <v>4662</v>
      </c>
      <c r="B1549" s="3">
        <v>65</v>
      </c>
      <c r="C1549" s="3" t="s">
        <v>16</v>
      </c>
      <c r="D1549" s="3" t="s">
        <v>36</v>
      </c>
      <c r="E1549" s="3" t="s">
        <v>93</v>
      </c>
      <c r="F1549" s="4">
        <v>45110</v>
      </c>
      <c r="G1549" s="3" t="s">
        <v>4663</v>
      </c>
      <c r="H1549" s="3" t="s">
        <v>4664</v>
      </c>
      <c r="I1549" s="3" t="s">
        <v>21</v>
      </c>
      <c r="J1549" s="5">
        <v>15229.692076573399</v>
      </c>
      <c r="K1549" s="3">
        <v>209</v>
      </c>
      <c r="L1549" s="3" t="s">
        <v>31</v>
      </c>
      <c r="M1549" s="4">
        <v>45119</v>
      </c>
      <c r="N1549" s="3" t="s">
        <v>32</v>
      </c>
      <c r="O1549" s="3" t="s">
        <v>33</v>
      </c>
      <c r="P1549" s="3" t="str">
        <f>IF(Table1[[#This Row],[Billing Amount]]&lt;5000,"Low",IF(Table1[[#This Row],[Billing Amount]]&lt;=15000,"Medium","High"))</f>
        <v>High</v>
      </c>
      <c r="Q1549" s="3" t="str">
        <f>IF(Table1[[#This Row],[Discharge Date]]="Yes","Discharged","Under Treatment")</f>
        <v>Under Treatment</v>
      </c>
      <c r="R1549" s="3" t="str">
        <f>IF(Table1[[#This Row],[Test Results]]&gt;120,"High Risk","Normal")</f>
        <v>High Risk</v>
      </c>
      <c r="S1549" s="3" t="str">
        <f>IF(Table1[[#This Row],[Age]]&lt;=18,"0-18",IF(Table1[[#This Row],[Age]]&lt;=35,"19-35",IF(Table1[[#This Row],[Age]]&lt;=50,"36-50",IF(Table1[[#This Row],[Age]]&lt;=65,"51-65","65+"))))</f>
        <v>51-65</v>
      </c>
    </row>
    <row r="1550" spans="1:19" x14ac:dyDescent="0.3">
      <c r="A1550" s="3" t="s">
        <v>4665</v>
      </c>
      <c r="B1550" s="3">
        <v>38</v>
      </c>
      <c r="C1550" s="3" t="s">
        <v>16</v>
      </c>
      <c r="D1550" s="3" t="s">
        <v>59</v>
      </c>
      <c r="E1550" s="3" t="s">
        <v>54</v>
      </c>
      <c r="F1550" s="4">
        <v>43636</v>
      </c>
      <c r="G1550" s="3" t="s">
        <v>4666</v>
      </c>
      <c r="H1550" s="3" t="s">
        <v>4667</v>
      </c>
      <c r="I1550" s="3" t="s">
        <v>30</v>
      </c>
      <c r="J1550" s="5">
        <v>40744.694761452403</v>
      </c>
      <c r="K1550" s="3">
        <v>354</v>
      </c>
      <c r="L1550" s="3" t="s">
        <v>22</v>
      </c>
      <c r="M1550" s="4">
        <v>43663</v>
      </c>
      <c r="N1550" s="3" t="s">
        <v>23</v>
      </c>
      <c r="O1550" s="3" t="s">
        <v>24</v>
      </c>
      <c r="P1550" s="3" t="str">
        <f>IF(Table1[[#This Row],[Billing Amount]]&lt;5000,"Low",IF(Table1[[#This Row],[Billing Amount]]&lt;=15000,"Medium","High"))</f>
        <v>High</v>
      </c>
      <c r="Q1550" s="3" t="str">
        <f>IF(Table1[[#This Row],[Discharge Date]]="Yes","Discharged","Under Treatment")</f>
        <v>Under Treatment</v>
      </c>
      <c r="R1550" s="3" t="str">
        <f>IF(Table1[[#This Row],[Test Results]]&gt;120,"High Risk","Normal")</f>
        <v>High Risk</v>
      </c>
      <c r="S1550" s="3" t="str">
        <f>IF(Table1[[#This Row],[Age]]&lt;=18,"0-18",IF(Table1[[#This Row],[Age]]&lt;=35,"19-35",IF(Table1[[#This Row],[Age]]&lt;=50,"36-50",IF(Table1[[#This Row],[Age]]&lt;=65,"51-65","65+"))))</f>
        <v>36-50</v>
      </c>
    </row>
    <row r="1551" spans="1:19" x14ac:dyDescent="0.3">
      <c r="A1551" s="3" t="s">
        <v>4668</v>
      </c>
      <c r="B1551" s="3">
        <v>41</v>
      </c>
      <c r="C1551" s="3" t="s">
        <v>35</v>
      </c>
      <c r="D1551" s="3" t="s">
        <v>36</v>
      </c>
      <c r="E1551" s="3" t="s">
        <v>27</v>
      </c>
      <c r="F1551" s="4">
        <v>44815</v>
      </c>
      <c r="G1551" s="3" t="s">
        <v>4669</v>
      </c>
      <c r="H1551" s="3" t="s">
        <v>4670</v>
      </c>
      <c r="I1551" s="3" t="s">
        <v>21</v>
      </c>
      <c r="J1551" s="5">
        <v>45259.845731791102</v>
      </c>
      <c r="K1551" s="3">
        <v>175</v>
      </c>
      <c r="L1551" s="3" t="s">
        <v>22</v>
      </c>
      <c r="M1551" s="4">
        <v>44820</v>
      </c>
      <c r="N1551" s="3" t="s">
        <v>40</v>
      </c>
      <c r="O1551" s="3" t="s">
        <v>47</v>
      </c>
      <c r="P1551" s="3" t="str">
        <f>IF(Table1[[#This Row],[Billing Amount]]&lt;5000,"Low",IF(Table1[[#This Row],[Billing Amount]]&lt;=15000,"Medium","High"))</f>
        <v>High</v>
      </c>
      <c r="Q1551" s="3" t="str">
        <f>IF(Table1[[#This Row],[Discharge Date]]="Yes","Discharged","Under Treatment")</f>
        <v>Under Treatment</v>
      </c>
      <c r="R1551" s="3" t="str">
        <f>IF(Table1[[#This Row],[Test Results]]&gt;120,"High Risk","Normal")</f>
        <v>High Risk</v>
      </c>
      <c r="S1551" s="3" t="str">
        <f>IF(Table1[[#This Row],[Age]]&lt;=18,"0-18",IF(Table1[[#This Row],[Age]]&lt;=35,"19-35",IF(Table1[[#This Row],[Age]]&lt;=50,"36-50",IF(Table1[[#This Row],[Age]]&lt;=65,"51-65","65+"))))</f>
        <v>36-50</v>
      </c>
    </row>
    <row r="1552" spans="1:19" x14ac:dyDescent="0.3">
      <c r="A1552" s="3" t="s">
        <v>4671</v>
      </c>
      <c r="B1552" s="3">
        <v>28</v>
      </c>
      <c r="C1552" s="3" t="s">
        <v>35</v>
      </c>
      <c r="D1552" s="3" t="s">
        <v>17</v>
      </c>
      <c r="E1552" s="3" t="s">
        <v>76</v>
      </c>
      <c r="F1552" s="4">
        <v>44132</v>
      </c>
      <c r="G1552" s="3" t="s">
        <v>4672</v>
      </c>
      <c r="H1552" s="3" t="s">
        <v>4673</v>
      </c>
      <c r="I1552" s="3" t="s">
        <v>21</v>
      </c>
      <c r="J1552" s="5">
        <v>18808.6153000171</v>
      </c>
      <c r="K1552" s="3">
        <v>489</v>
      </c>
      <c r="L1552" s="3" t="s">
        <v>31</v>
      </c>
      <c r="M1552" s="4">
        <v>44151</v>
      </c>
      <c r="N1552" s="3" t="s">
        <v>52</v>
      </c>
      <c r="O1552" s="3" t="s">
        <v>33</v>
      </c>
      <c r="P1552" s="3" t="str">
        <f>IF(Table1[[#This Row],[Billing Amount]]&lt;5000,"Low",IF(Table1[[#This Row],[Billing Amount]]&lt;=15000,"Medium","High"))</f>
        <v>High</v>
      </c>
      <c r="Q1552" s="3" t="str">
        <f>IF(Table1[[#This Row],[Discharge Date]]="Yes","Discharged","Under Treatment")</f>
        <v>Under Treatment</v>
      </c>
      <c r="R1552" s="3" t="str">
        <f>IF(Table1[[#This Row],[Test Results]]&gt;120,"High Risk","Normal")</f>
        <v>High Risk</v>
      </c>
      <c r="S1552" s="3" t="str">
        <f>IF(Table1[[#This Row],[Age]]&lt;=18,"0-18",IF(Table1[[#This Row],[Age]]&lt;=35,"19-35",IF(Table1[[#This Row],[Age]]&lt;=50,"36-50",IF(Table1[[#This Row],[Age]]&lt;=65,"51-65","65+"))))</f>
        <v>19-35</v>
      </c>
    </row>
    <row r="1553" spans="1:19" x14ac:dyDescent="0.3">
      <c r="A1553" s="3" t="s">
        <v>4674</v>
      </c>
      <c r="B1553" s="3">
        <v>19</v>
      </c>
      <c r="C1553" s="3" t="s">
        <v>35</v>
      </c>
      <c r="D1553" s="3" t="s">
        <v>26</v>
      </c>
      <c r="E1553" s="3" t="s">
        <v>18</v>
      </c>
      <c r="F1553" s="4">
        <v>44612</v>
      </c>
      <c r="G1553" s="3" t="s">
        <v>4675</v>
      </c>
      <c r="H1553" s="3" t="s">
        <v>4676</v>
      </c>
      <c r="I1553" s="3" t="s">
        <v>30</v>
      </c>
      <c r="J1553" s="5">
        <v>40052.413208068698</v>
      </c>
      <c r="K1553" s="3">
        <v>413</v>
      </c>
      <c r="L1553" s="3" t="s">
        <v>31</v>
      </c>
      <c r="M1553" s="4">
        <v>44621</v>
      </c>
      <c r="N1553" s="3" t="s">
        <v>23</v>
      </c>
      <c r="O1553" s="3" t="s">
        <v>24</v>
      </c>
      <c r="P1553" s="3" t="str">
        <f>IF(Table1[[#This Row],[Billing Amount]]&lt;5000,"Low",IF(Table1[[#This Row],[Billing Amount]]&lt;=15000,"Medium","High"))</f>
        <v>High</v>
      </c>
      <c r="Q1553" s="3" t="str">
        <f>IF(Table1[[#This Row],[Discharge Date]]="Yes","Discharged","Under Treatment")</f>
        <v>Under Treatment</v>
      </c>
      <c r="R1553" s="3" t="str">
        <f>IF(Table1[[#This Row],[Test Results]]&gt;120,"High Risk","Normal")</f>
        <v>High Risk</v>
      </c>
      <c r="S1553" s="3" t="str">
        <f>IF(Table1[[#This Row],[Age]]&lt;=18,"0-18",IF(Table1[[#This Row],[Age]]&lt;=35,"19-35",IF(Table1[[#This Row],[Age]]&lt;=50,"36-50",IF(Table1[[#This Row],[Age]]&lt;=65,"51-65","65+"))))</f>
        <v>19-35</v>
      </c>
    </row>
    <row r="1554" spans="1:19" x14ac:dyDescent="0.3">
      <c r="A1554" s="3" t="s">
        <v>4677</v>
      </c>
      <c r="B1554" s="3">
        <v>58</v>
      </c>
      <c r="C1554" s="3" t="s">
        <v>35</v>
      </c>
      <c r="D1554" s="3" t="s">
        <v>17</v>
      </c>
      <c r="E1554" s="3" t="s">
        <v>54</v>
      </c>
      <c r="F1554" s="4">
        <v>44892</v>
      </c>
      <c r="G1554" s="3" t="s">
        <v>4678</v>
      </c>
      <c r="H1554" s="3" t="s">
        <v>4679</v>
      </c>
      <c r="I1554" s="3" t="s">
        <v>39</v>
      </c>
      <c r="J1554" s="5">
        <v>36000.702340057898</v>
      </c>
      <c r="K1554" s="3">
        <v>360</v>
      </c>
      <c r="L1554" s="3" t="s">
        <v>46</v>
      </c>
      <c r="M1554" s="4">
        <v>44913</v>
      </c>
      <c r="N1554" s="3" t="s">
        <v>23</v>
      </c>
      <c r="O1554" s="3" t="s">
        <v>47</v>
      </c>
      <c r="P1554" s="3" t="str">
        <f>IF(Table1[[#This Row],[Billing Amount]]&lt;5000,"Low",IF(Table1[[#This Row],[Billing Amount]]&lt;=15000,"Medium","High"))</f>
        <v>High</v>
      </c>
      <c r="Q1554" s="3" t="str">
        <f>IF(Table1[[#This Row],[Discharge Date]]="Yes","Discharged","Under Treatment")</f>
        <v>Under Treatment</v>
      </c>
      <c r="R1554" s="3" t="str">
        <f>IF(Table1[[#This Row],[Test Results]]&gt;120,"High Risk","Normal")</f>
        <v>High Risk</v>
      </c>
      <c r="S1554" s="3" t="str">
        <f>IF(Table1[[#This Row],[Age]]&lt;=18,"0-18",IF(Table1[[#This Row],[Age]]&lt;=35,"19-35",IF(Table1[[#This Row],[Age]]&lt;=50,"36-50",IF(Table1[[#This Row],[Age]]&lt;=65,"51-65","65+"))))</f>
        <v>51-65</v>
      </c>
    </row>
    <row r="1555" spans="1:19" x14ac:dyDescent="0.3">
      <c r="A1555" s="3" t="s">
        <v>4680</v>
      </c>
      <c r="B1555" s="3">
        <v>28</v>
      </c>
      <c r="C1555" s="3" t="s">
        <v>16</v>
      </c>
      <c r="D1555" s="3" t="s">
        <v>36</v>
      </c>
      <c r="E1555" s="3" t="s">
        <v>54</v>
      </c>
      <c r="F1555" s="4">
        <v>43887</v>
      </c>
      <c r="G1555" s="3" t="s">
        <v>3734</v>
      </c>
      <c r="H1555" s="3" t="s">
        <v>4681</v>
      </c>
      <c r="I1555" s="3" t="s">
        <v>39</v>
      </c>
      <c r="J1555" s="5">
        <v>15688.363993962301</v>
      </c>
      <c r="K1555" s="3">
        <v>422</v>
      </c>
      <c r="L1555" s="3" t="s">
        <v>46</v>
      </c>
      <c r="M1555" s="4">
        <v>43906</v>
      </c>
      <c r="N1555" s="3" t="s">
        <v>52</v>
      </c>
      <c r="O1555" s="3" t="s">
        <v>47</v>
      </c>
      <c r="P1555" s="3" t="str">
        <f>IF(Table1[[#This Row],[Billing Amount]]&lt;5000,"Low",IF(Table1[[#This Row],[Billing Amount]]&lt;=15000,"Medium","High"))</f>
        <v>High</v>
      </c>
      <c r="Q1555" s="3" t="str">
        <f>IF(Table1[[#This Row],[Discharge Date]]="Yes","Discharged","Under Treatment")</f>
        <v>Under Treatment</v>
      </c>
      <c r="R1555" s="3" t="str">
        <f>IF(Table1[[#This Row],[Test Results]]&gt;120,"High Risk","Normal")</f>
        <v>High Risk</v>
      </c>
      <c r="S1555" s="3" t="str">
        <f>IF(Table1[[#This Row],[Age]]&lt;=18,"0-18",IF(Table1[[#This Row],[Age]]&lt;=35,"19-35",IF(Table1[[#This Row],[Age]]&lt;=50,"36-50",IF(Table1[[#This Row],[Age]]&lt;=65,"51-65","65+"))))</f>
        <v>19-35</v>
      </c>
    </row>
    <row r="1556" spans="1:19" x14ac:dyDescent="0.3">
      <c r="A1556" s="3" t="s">
        <v>4682</v>
      </c>
      <c r="B1556" s="3">
        <v>76</v>
      </c>
      <c r="C1556" s="3" t="s">
        <v>35</v>
      </c>
      <c r="D1556" s="3" t="s">
        <v>36</v>
      </c>
      <c r="E1556" s="3" t="s">
        <v>18</v>
      </c>
      <c r="F1556" s="4">
        <v>45133</v>
      </c>
      <c r="G1556" s="3" t="s">
        <v>4683</v>
      </c>
      <c r="H1556" s="3" t="s">
        <v>4684</v>
      </c>
      <c r="I1556" s="3" t="s">
        <v>30</v>
      </c>
      <c r="J1556" s="5">
        <v>31948.2694877059</v>
      </c>
      <c r="K1556" s="3">
        <v>164</v>
      </c>
      <c r="L1556" s="3" t="s">
        <v>22</v>
      </c>
      <c r="M1556" s="4">
        <v>45152</v>
      </c>
      <c r="N1556" s="3" t="s">
        <v>23</v>
      </c>
      <c r="O1556" s="3" t="s">
        <v>47</v>
      </c>
      <c r="P1556" s="3" t="str">
        <f>IF(Table1[[#This Row],[Billing Amount]]&lt;5000,"Low",IF(Table1[[#This Row],[Billing Amount]]&lt;=15000,"Medium","High"))</f>
        <v>High</v>
      </c>
      <c r="Q1556" s="3" t="str">
        <f>IF(Table1[[#This Row],[Discharge Date]]="Yes","Discharged","Under Treatment")</f>
        <v>Under Treatment</v>
      </c>
      <c r="R1556" s="3" t="str">
        <f>IF(Table1[[#This Row],[Test Results]]&gt;120,"High Risk","Normal")</f>
        <v>High Risk</v>
      </c>
      <c r="S1556" s="3" t="str">
        <f>IF(Table1[[#This Row],[Age]]&lt;=18,"0-18",IF(Table1[[#This Row],[Age]]&lt;=35,"19-35",IF(Table1[[#This Row],[Age]]&lt;=50,"36-50",IF(Table1[[#This Row],[Age]]&lt;=65,"51-65","65+"))))</f>
        <v>65+</v>
      </c>
    </row>
    <row r="1557" spans="1:19" x14ac:dyDescent="0.3">
      <c r="A1557" s="3" t="s">
        <v>4685</v>
      </c>
      <c r="B1557" s="3">
        <v>57</v>
      </c>
      <c r="C1557" s="3" t="s">
        <v>16</v>
      </c>
      <c r="D1557" s="3" t="s">
        <v>103</v>
      </c>
      <c r="E1557" s="3" t="s">
        <v>27</v>
      </c>
      <c r="F1557" s="4">
        <v>45244</v>
      </c>
      <c r="G1557" s="3" t="s">
        <v>4686</v>
      </c>
      <c r="H1557" s="3" t="s">
        <v>4099</v>
      </c>
      <c r="I1557" s="3" t="s">
        <v>65</v>
      </c>
      <c r="J1557" s="5">
        <v>7040.68578523818</v>
      </c>
      <c r="K1557" s="3">
        <v>379</v>
      </c>
      <c r="L1557" s="3" t="s">
        <v>22</v>
      </c>
      <c r="M1557" s="4">
        <v>45248</v>
      </c>
      <c r="N1557" s="3" t="s">
        <v>40</v>
      </c>
      <c r="O1557" s="3" t="s">
        <v>47</v>
      </c>
      <c r="P1557" s="3" t="str">
        <f>IF(Table1[[#This Row],[Billing Amount]]&lt;5000,"Low",IF(Table1[[#This Row],[Billing Amount]]&lt;=15000,"Medium","High"))</f>
        <v>Medium</v>
      </c>
      <c r="Q1557" s="3" t="str">
        <f>IF(Table1[[#This Row],[Discharge Date]]="Yes","Discharged","Under Treatment")</f>
        <v>Under Treatment</v>
      </c>
      <c r="R1557" s="3" t="str">
        <f>IF(Table1[[#This Row],[Test Results]]&gt;120,"High Risk","Normal")</f>
        <v>High Risk</v>
      </c>
      <c r="S1557" s="3" t="str">
        <f>IF(Table1[[#This Row],[Age]]&lt;=18,"0-18",IF(Table1[[#This Row],[Age]]&lt;=35,"19-35",IF(Table1[[#This Row],[Age]]&lt;=50,"36-50",IF(Table1[[#This Row],[Age]]&lt;=65,"51-65","65+"))))</f>
        <v>51-65</v>
      </c>
    </row>
    <row r="1558" spans="1:19" x14ac:dyDescent="0.3">
      <c r="A1558" s="3" t="s">
        <v>4687</v>
      </c>
      <c r="B1558" s="3">
        <v>65</v>
      </c>
      <c r="C1558" s="3" t="s">
        <v>35</v>
      </c>
      <c r="D1558" s="3" t="s">
        <v>36</v>
      </c>
      <c r="E1558" s="3" t="s">
        <v>76</v>
      </c>
      <c r="F1558" s="4">
        <v>45405</v>
      </c>
      <c r="G1558" s="3" t="s">
        <v>4688</v>
      </c>
      <c r="H1558" s="3" t="s">
        <v>4689</v>
      </c>
      <c r="I1558" s="3" t="s">
        <v>39</v>
      </c>
      <c r="J1558" s="5">
        <v>39524.108624984998</v>
      </c>
      <c r="K1558" s="3">
        <v>302</v>
      </c>
      <c r="L1558" s="3" t="s">
        <v>31</v>
      </c>
      <c r="M1558" s="4">
        <v>45427</v>
      </c>
      <c r="N1558" s="3" t="s">
        <v>79</v>
      </c>
      <c r="O1558" s="3" t="s">
        <v>24</v>
      </c>
      <c r="P1558" s="3" t="str">
        <f>IF(Table1[[#This Row],[Billing Amount]]&lt;5000,"Low",IF(Table1[[#This Row],[Billing Amount]]&lt;=15000,"Medium","High"))</f>
        <v>High</v>
      </c>
      <c r="Q1558" s="3" t="str">
        <f>IF(Table1[[#This Row],[Discharge Date]]="Yes","Discharged","Under Treatment")</f>
        <v>Under Treatment</v>
      </c>
      <c r="R1558" s="3" t="str">
        <f>IF(Table1[[#This Row],[Test Results]]&gt;120,"High Risk","Normal")</f>
        <v>High Risk</v>
      </c>
      <c r="S1558" s="3" t="str">
        <f>IF(Table1[[#This Row],[Age]]&lt;=18,"0-18",IF(Table1[[#This Row],[Age]]&lt;=35,"19-35",IF(Table1[[#This Row],[Age]]&lt;=50,"36-50",IF(Table1[[#This Row],[Age]]&lt;=65,"51-65","65+"))))</f>
        <v>51-65</v>
      </c>
    </row>
    <row r="1559" spans="1:19" x14ac:dyDescent="0.3">
      <c r="A1559" s="3" t="s">
        <v>4690</v>
      </c>
      <c r="B1559" s="3">
        <v>65</v>
      </c>
      <c r="C1559" s="3" t="s">
        <v>16</v>
      </c>
      <c r="D1559" s="3" t="s">
        <v>122</v>
      </c>
      <c r="E1559" s="3" t="s">
        <v>54</v>
      </c>
      <c r="F1559" s="4">
        <v>44318</v>
      </c>
      <c r="G1559" s="3" t="s">
        <v>4691</v>
      </c>
      <c r="H1559" s="3" t="s">
        <v>4692</v>
      </c>
      <c r="I1559" s="3" t="s">
        <v>30</v>
      </c>
      <c r="J1559" s="5">
        <v>30459.3791289898</v>
      </c>
      <c r="K1559" s="3">
        <v>418</v>
      </c>
      <c r="L1559" s="3" t="s">
        <v>22</v>
      </c>
      <c r="M1559" s="4">
        <v>44340</v>
      </c>
      <c r="N1559" s="3" t="s">
        <v>40</v>
      </c>
      <c r="O1559" s="3" t="s">
        <v>24</v>
      </c>
      <c r="P1559" s="3" t="str">
        <f>IF(Table1[[#This Row],[Billing Amount]]&lt;5000,"Low",IF(Table1[[#This Row],[Billing Amount]]&lt;=15000,"Medium","High"))</f>
        <v>High</v>
      </c>
      <c r="Q1559" s="3" t="str">
        <f>IF(Table1[[#This Row],[Discharge Date]]="Yes","Discharged","Under Treatment")</f>
        <v>Under Treatment</v>
      </c>
      <c r="R1559" s="3" t="str">
        <f>IF(Table1[[#This Row],[Test Results]]&gt;120,"High Risk","Normal")</f>
        <v>High Risk</v>
      </c>
      <c r="S1559" s="3" t="str">
        <f>IF(Table1[[#This Row],[Age]]&lt;=18,"0-18",IF(Table1[[#This Row],[Age]]&lt;=35,"19-35",IF(Table1[[#This Row],[Age]]&lt;=50,"36-50",IF(Table1[[#This Row],[Age]]&lt;=65,"51-65","65+"))))</f>
        <v>51-65</v>
      </c>
    </row>
    <row r="1560" spans="1:19" x14ac:dyDescent="0.3">
      <c r="A1560" s="3" t="s">
        <v>4693</v>
      </c>
      <c r="B1560" s="3">
        <v>33</v>
      </c>
      <c r="C1560" s="3" t="s">
        <v>16</v>
      </c>
      <c r="D1560" s="3" t="s">
        <v>36</v>
      </c>
      <c r="E1560" s="3" t="s">
        <v>54</v>
      </c>
      <c r="F1560" s="4">
        <v>44437</v>
      </c>
      <c r="G1560" s="3" t="s">
        <v>4694</v>
      </c>
      <c r="H1560" s="3" t="s">
        <v>2497</v>
      </c>
      <c r="I1560" s="3" t="s">
        <v>21</v>
      </c>
      <c r="J1560" s="5">
        <v>19828.202760812899</v>
      </c>
      <c r="K1560" s="3">
        <v>287</v>
      </c>
      <c r="L1560" s="3" t="s">
        <v>31</v>
      </c>
      <c r="M1560" s="4">
        <v>44444</v>
      </c>
      <c r="N1560" s="3" t="s">
        <v>79</v>
      </c>
      <c r="O1560" s="3" t="s">
        <v>47</v>
      </c>
      <c r="P1560" s="3" t="str">
        <f>IF(Table1[[#This Row],[Billing Amount]]&lt;5000,"Low",IF(Table1[[#This Row],[Billing Amount]]&lt;=15000,"Medium","High"))</f>
        <v>High</v>
      </c>
      <c r="Q1560" s="3" t="str">
        <f>IF(Table1[[#This Row],[Discharge Date]]="Yes","Discharged","Under Treatment")</f>
        <v>Under Treatment</v>
      </c>
      <c r="R1560" s="3" t="str">
        <f>IF(Table1[[#This Row],[Test Results]]&gt;120,"High Risk","Normal")</f>
        <v>High Risk</v>
      </c>
      <c r="S1560" s="3" t="str">
        <f>IF(Table1[[#This Row],[Age]]&lt;=18,"0-18",IF(Table1[[#This Row],[Age]]&lt;=35,"19-35",IF(Table1[[#This Row],[Age]]&lt;=50,"36-50",IF(Table1[[#This Row],[Age]]&lt;=65,"51-65","65+"))))</f>
        <v>19-35</v>
      </c>
    </row>
    <row r="1561" spans="1:19" x14ac:dyDescent="0.3">
      <c r="A1561" s="3" t="s">
        <v>4695</v>
      </c>
      <c r="B1561" s="3">
        <v>71</v>
      </c>
      <c r="C1561" s="3" t="s">
        <v>16</v>
      </c>
      <c r="D1561" s="3" t="s">
        <v>59</v>
      </c>
      <c r="E1561" s="3" t="s">
        <v>76</v>
      </c>
      <c r="F1561" s="4">
        <v>44189</v>
      </c>
      <c r="G1561" s="3" t="s">
        <v>4696</v>
      </c>
      <c r="H1561" s="3" t="s">
        <v>4697</v>
      </c>
      <c r="I1561" s="3" t="s">
        <v>39</v>
      </c>
      <c r="J1561" s="5">
        <v>15644.578162601099</v>
      </c>
      <c r="K1561" s="3">
        <v>327</v>
      </c>
      <c r="L1561" s="3" t="s">
        <v>46</v>
      </c>
      <c r="M1561" s="4">
        <v>44206</v>
      </c>
      <c r="N1561" s="3" t="s">
        <v>79</v>
      </c>
      <c r="O1561" s="3" t="s">
        <v>33</v>
      </c>
      <c r="P1561" s="3" t="str">
        <f>IF(Table1[[#This Row],[Billing Amount]]&lt;5000,"Low",IF(Table1[[#This Row],[Billing Amount]]&lt;=15000,"Medium","High"))</f>
        <v>High</v>
      </c>
      <c r="Q1561" s="3" t="str">
        <f>IF(Table1[[#This Row],[Discharge Date]]="Yes","Discharged","Under Treatment")</f>
        <v>Under Treatment</v>
      </c>
      <c r="R1561" s="3" t="str">
        <f>IF(Table1[[#This Row],[Test Results]]&gt;120,"High Risk","Normal")</f>
        <v>High Risk</v>
      </c>
      <c r="S1561" s="3" t="str">
        <f>IF(Table1[[#This Row],[Age]]&lt;=18,"0-18",IF(Table1[[#This Row],[Age]]&lt;=35,"19-35",IF(Table1[[#This Row],[Age]]&lt;=50,"36-50",IF(Table1[[#This Row],[Age]]&lt;=65,"51-65","65+"))))</f>
        <v>65+</v>
      </c>
    </row>
    <row r="1562" spans="1:19" x14ac:dyDescent="0.3">
      <c r="A1562" s="3" t="s">
        <v>4698</v>
      </c>
      <c r="B1562" s="3">
        <v>75</v>
      </c>
      <c r="C1562" s="3" t="s">
        <v>35</v>
      </c>
      <c r="D1562" s="3" t="s">
        <v>49</v>
      </c>
      <c r="E1562" s="3" t="s">
        <v>18</v>
      </c>
      <c r="F1562" s="4">
        <v>44909</v>
      </c>
      <c r="G1562" s="3" t="s">
        <v>4699</v>
      </c>
      <c r="H1562" s="3" t="s">
        <v>4700</v>
      </c>
      <c r="I1562" s="3" t="s">
        <v>39</v>
      </c>
      <c r="J1562" s="5">
        <v>19406.3582183156</v>
      </c>
      <c r="K1562" s="3">
        <v>103</v>
      </c>
      <c r="L1562" s="3" t="s">
        <v>22</v>
      </c>
      <c r="M1562" s="4">
        <v>44915</v>
      </c>
      <c r="N1562" s="3" t="s">
        <v>32</v>
      </c>
      <c r="O1562" s="3" t="s">
        <v>33</v>
      </c>
      <c r="P1562" s="3" t="str">
        <f>IF(Table1[[#This Row],[Billing Amount]]&lt;5000,"Low",IF(Table1[[#This Row],[Billing Amount]]&lt;=15000,"Medium","High"))</f>
        <v>High</v>
      </c>
      <c r="Q1562" s="3" t="str">
        <f>IF(Table1[[#This Row],[Discharge Date]]="Yes","Discharged","Under Treatment")</f>
        <v>Under Treatment</v>
      </c>
      <c r="R1562" s="3" t="str">
        <f>IF(Table1[[#This Row],[Test Results]]&gt;120,"High Risk","Normal")</f>
        <v>High Risk</v>
      </c>
      <c r="S1562" s="3" t="str">
        <f>IF(Table1[[#This Row],[Age]]&lt;=18,"0-18",IF(Table1[[#This Row],[Age]]&lt;=35,"19-35",IF(Table1[[#This Row],[Age]]&lt;=50,"36-50",IF(Table1[[#This Row],[Age]]&lt;=65,"51-65","65+"))))</f>
        <v>65+</v>
      </c>
    </row>
    <row r="1563" spans="1:19" x14ac:dyDescent="0.3">
      <c r="A1563" s="3" t="s">
        <v>4701</v>
      </c>
      <c r="B1563" s="3">
        <v>31</v>
      </c>
      <c r="C1563" s="3" t="s">
        <v>35</v>
      </c>
      <c r="D1563" s="3" t="s">
        <v>36</v>
      </c>
      <c r="E1563" s="3" t="s">
        <v>54</v>
      </c>
      <c r="F1563" s="4">
        <v>44523</v>
      </c>
      <c r="G1563" s="3" t="s">
        <v>4702</v>
      </c>
      <c r="H1563" s="3" t="s">
        <v>4703</v>
      </c>
      <c r="I1563" s="3" t="s">
        <v>21</v>
      </c>
      <c r="J1563" s="5">
        <v>23602.765606777899</v>
      </c>
      <c r="K1563" s="3">
        <v>333</v>
      </c>
      <c r="L1563" s="3" t="s">
        <v>22</v>
      </c>
      <c r="M1563" s="4">
        <v>44536</v>
      </c>
      <c r="N1563" s="3" t="s">
        <v>40</v>
      </c>
      <c r="O1563" s="3" t="s">
        <v>24</v>
      </c>
      <c r="P1563" s="3" t="str">
        <f>IF(Table1[[#This Row],[Billing Amount]]&lt;5000,"Low",IF(Table1[[#This Row],[Billing Amount]]&lt;=15000,"Medium","High"))</f>
        <v>High</v>
      </c>
      <c r="Q1563" s="3" t="str">
        <f>IF(Table1[[#This Row],[Discharge Date]]="Yes","Discharged","Under Treatment")</f>
        <v>Under Treatment</v>
      </c>
      <c r="R1563" s="3" t="str">
        <f>IF(Table1[[#This Row],[Test Results]]&gt;120,"High Risk","Normal")</f>
        <v>High Risk</v>
      </c>
      <c r="S1563" s="3" t="str">
        <f>IF(Table1[[#This Row],[Age]]&lt;=18,"0-18",IF(Table1[[#This Row],[Age]]&lt;=35,"19-35",IF(Table1[[#This Row],[Age]]&lt;=50,"36-50",IF(Table1[[#This Row],[Age]]&lt;=65,"51-65","65+"))))</f>
        <v>19-35</v>
      </c>
    </row>
    <row r="1564" spans="1:19" x14ac:dyDescent="0.3">
      <c r="A1564" s="3" t="s">
        <v>4704</v>
      </c>
      <c r="B1564" s="3">
        <v>76</v>
      </c>
      <c r="C1564" s="3" t="s">
        <v>35</v>
      </c>
      <c r="D1564" s="3" t="s">
        <v>26</v>
      </c>
      <c r="E1564" s="3" t="s">
        <v>76</v>
      </c>
      <c r="F1564" s="4">
        <v>44101</v>
      </c>
      <c r="G1564" s="3" t="s">
        <v>4705</v>
      </c>
      <c r="H1564" s="3" t="s">
        <v>4706</v>
      </c>
      <c r="I1564" s="3" t="s">
        <v>65</v>
      </c>
      <c r="J1564" s="5">
        <v>48263.391430971002</v>
      </c>
      <c r="K1564" s="3">
        <v>316</v>
      </c>
      <c r="L1564" s="3" t="s">
        <v>31</v>
      </c>
      <c r="M1564" s="4">
        <v>44124</v>
      </c>
      <c r="N1564" s="3" t="s">
        <v>79</v>
      </c>
      <c r="O1564" s="3" t="s">
        <v>33</v>
      </c>
      <c r="P1564" s="3" t="str">
        <f>IF(Table1[[#This Row],[Billing Amount]]&lt;5000,"Low",IF(Table1[[#This Row],[Billing Amount]]&lt;=15000,"Medium","High"))</f>
        <v>High</v>
      </c>
      <c r="Q1564" s="3" t="str">
        <f>IF(Table1[[#This Row],[Discharge Date]]="Yes","Discharged","Under Treatment")</f>
        <v>Under Treatment</v>
      </c>
      <c r="R1564" s="3" t="str">
        <f>IF(Table1[[#This Row],[Test Results]]&gt;120,"High Risk","Normal")</f>
        <v>High Risk</v>
      </c>
      <c r="S1564" s="3" t="str">
        <f>IF(Table1[[#This Row],[Age]]&lt;=18,"0-18",IF(Table1[[#This Row],[Age]]&lt;=35,"19-35",IF(Table1[[#This Row],[Age]]&lt;=50,"36-50",IF(Table1[[#This Row],[Age]]&lt;=65,"51-65","65+"))))</f>
        <v>65+</v>
      </c>
    </row>
    <row r="1565" spans="1:19" x14ac:dyDescent="0.3">
      <c r="A1565" s="3" t="s">
        <v>4707</v>
      </c>
      <c r="B1565" s="3">
        <v>83</v>
      </c>
      <c r="C1565" s="3" t="s">
        <v>16</v>
      </c>
      <c r="D1565" s="3" t="s">
        <v>36</v>
      </c>
      <c r="E1565" s="3" t="s">
        <v>76</v>
      </c>
      <c r="F1565" s="4">
        <v>43671</v>
      </c>
      <c r="G1565" s="3" t="s">
        <v>4708</v>
      </c>
      <c r="H1565" s="3" t="s">
        <v>108</v>
      </c>
      <c r="I1565" s="3" t="s">
        <v>21</v>
      </c>
      <c r="J1565" s="5">
        <v>1456.26186052957</v>
      </c>
      <c r="K1565" s="3">
        <v>470</v>
      </c>
      <c r="L1565" s="3" t="s">
        <v>31</v>
      </c>
      <c r="M1565" s="4">
        <v>43690</v>
      </c>
      <c r="N1565" s="3" t="s">
        <v>40</v>
      </c>
      <c r="O1565" s="3" t="s">
        <v>47</v>
      </c>
      <c r="P1565" s="3" t="str">
        <f>IF(Table1[[#This Row],[Billing Amount]]&lt;5000,"Low",IF(Table1[[#This Row],[Billing Amount]]&lt;=15000,"Medium","High"))</f>
        <v>Low</v>
      </c>
      <c r="Q1565" s="3" t="str">
        <f>IF(Table1[[#This Row],[Discharge Date]]="Yes","Discharged","Under Treatment")</f>
        <v>Under Treatment</v>
      </c>
      <c r="R1565" s="3" t="str">
        <f>IF(Table1[[#This Row],[Test Results]]&gt;120,"High Risk","Normal")</f>
        <v>High Risk</v>
      </c>
      <c r="S1565" s="3" t="str">
        <f>IF(Table1[[#This Row],[Age]]&lt;=18,"0-18",IF(Table1[[#This Row],[Age]]&lt;=35,"19-35",IF(Table1[[#This Row],[Age]]&lt;=50,"36-50",IF(Table1[[#This Row],[Age]]&lt;=65,"51-65","65+"))))</f>
        <v>65+</v>
      </c>
    </row>
    <row r="1566" spans="1:19" x14ac:dyDescent="0.3">
      <c r="A1566" s="3" t="s">
        <v>4709</v>
      </c>
      <c r="B1566" s="3">
        <v>28</v>
      </c>
      <c r="C1566" s="3" t="s">
        <v>35</v>
      </c>
      <c r="D1566" s="3" t="s">
        <v>17</v>
      </c>
      <c r="E1566" s="3" t="s">
        <v>54</v>
      </c>
      <c r="F1566" s="4">
        <v>43950</v>
      </c>
      <c r="G1566" s="3" t="s">
        <v>4710</v>
      </c>
      <c r="H1566" s="3" t="s">
        <v>4711</v>
      </c>
      <c r="I1566" s="3" t="s">
        <v>30</v>
      </c>
      <c r="J1566" s="5">
        <v>9727.2859848276403</v>
      </c>
      <c r="K1566" s="3">
        <v>208</v>
      </c>
      <c r="L1566" s="3" t="s">
        <v>46</v>
      </c>
      <c r="M1566" s="4">
        <v>43962</v>
      </c>
      <c r="N1566" s="3" t="s">
        <v>40</v>
      </c>
      <c r="O1566" s="3" t="s">
        <v>47</v>
      </c>
      <c r="P1566" s="3" t="str">
        <f>IF(Table1[[#This Row],[Billing Amount]]&lt;5000,"Low",IF(Table1[[#This Row],[Billing Amount]]&lt;=15000,"Medium","High"))</f>
        <v>Medium</v>
      </c>
      <c r="Q1566" s="3" t="str">
        <f>IF(Table1[[#This Row],[Discharge Date]]="Yes","Discharged","Under Treatment")</f>
        <v>Under Treatment</v>
      </c>
      <c r="R1566" s="3" t="str">
        <f>IF(Table1[[#This Row],[Test Results]]&gt;120,"High Risk","Normal")</f>
        <v>High Risk</v>
      </c>
      <c r="S1566" s="3" t="str">
        <f>IF(Table1[[#This Row],[Age]]&lt;=18,"0-18",IF(Table1[[#This Row],[Age]]&lt;=35,"19-35",IF(Table1[[#This Row],[Age]]&lt;=50,"36-50",IF(Table1[[#This Row],[Age]]&lt;=65,"51-65","65+"))))</f>
        <v>19-35</v>
      </c>
    </row>
    <row r="1567" spans="1:19" x14ac:dyDescent="0.3">
      <c r="A1567" s="3" t="s">
        <v>4712</v>
      </c>
      <c r="B1567" s="3">
        <v>44</v>
      </c>
      <c r="C1567" s="3" t="s">
        <v>35</v>
      </c>
      <c r="D1567" s="3" t="s">
        <v>42</v>
      </c>
      <c r="E1567" s="3" t="s">
        <v>54</v>
      </c>
      <c r="F1567" s="4">
        <v>44284</v>
      </c>
      <c r="G1567" s="3" t="s">
        <v>4713</v>
      </c>
      <c r="H1567" s="3" t="s">
        <v>4714</v>
      </c>
      <c r="I1567" s="3" t="s">
        <v>65</v>
      </c>
      <c r="J1567" s="5">
        <v>3419.169850282</v>
      </c>
      <c r="K1567" s="3">
        <v>129</v>
      </c>
      <c r="L1567" s="3" t="s">
        <v>31</v>
      </c>
      <c r="M1567" s="4">
        <v>44298</v>
      </c>
      <c r="N1567" s="3" t="s">
        <v>32</v>
      </c>
      <c r="O1567" s="3" t="s">
        <v>47</v>
      </c>
      <c r="P1567" s="3" t="str">
        <f>IF(Table1[[#This Row],[Billing Amount]]&lt;5000,"Low",IF(Table1[[#This Row],[Billing Amount]]&lt;=15000,"Medium","High"))</f>
        <v>Low</v>
      </c>
      <c r="Q1567" s="3" t="str">
        <f>IF(Table1[[#This Row],[Discharge Date]]="Yes","Discharged","Under Treatment")</f>
        <v>Under Treatment</v>
      </c>
      <c r="R1567" s="3" t="str">
        <f>IF(Table1[[#This Row],[Test Results]]&gt;120,"High Risk","Normal")</f>
        <v>High Risk</v>
      </c>
      <c r="S1567" s="3" t="str">
        <f>IF(Table1[[#This Row],[Age]]&lt;=18,"0-18",IF(Table1[[#This Row],[Age]]&lt;=35,"19-35",IF(Table1[[#This Row],[Age]]&lt;=50,"36-50",IF(Table1[[#This Row],[Age]]&lt;=65,"51-65","65+"))))</f>
        <v>36-50</v>
      </c>
    </row>
    <row r="1568" spans="1:19" x14ac:dyDescent="0.3">
      <c r="A1568" s="3" t="s">
        <v>4715</v>
      </c>
      <c r="B1568" s="3">
        <v>20</v>
      </c>
      <c r="C1568" s="3" t="s">
        <v>35</v>
      </c>
      <c r="D1568" s="3" t="s">
        <v>59</v>
      </c>
      <c r="E1568" s="3" t="s">
        <v>54</v>
      </c>
      <c r="F1568" s="4">
        <v>44178</v>
      </c>
      <c r="G1568" s="3" t="s">
        <v>4716</v>
      </c>
      <c r="H1568" s="3" t="s">
        <v>4717</v>
      </c>
      <c r="I1568" s="3" t="s">
        <v>39</v>
      </c>
      <c r="J1568" s="5">
        <v>12132.8276982814</v>
      </c>
      <c r="K1568" s="3">
        <v>393</v>
      </c>
      <c r="L1568" s="3" t="s">
        <v>46</v>
      </c>
      <c r="M1568" s="4">
        <v>44183</v>
      </c>
      <c r="N1568" s="3" t="s">
        <v>52</v>
      </c>
      <c r="O1568" s="3" t="s">
        <v>47</v>
      </c>
      <c r="P1568" s="3" t="str">
        <f>IF(Table1[[#This Row],[Billing Amount]]&lt;5000,"Low",IF(Table1[[#This Row],[Billing Amount]]&lt;=15000,"Medium","High"))</f>
        <v>Medium</v>
      </c>
      <c r="Q1568" s="3" t="str">
        <f>IF(Table1[[#This Row],[Discharge Date]]="Yes","Discharged","Under Treatment")</f>
        <v>Under Treatment</v>
      </c>
      <c r="R1568" s="3" t="str">
        <f>IF(Table1[[#This Row],[Test Results]]&gt;120,"High Risk","Normal")</f>
        <v>High Risk</v>
      </c>
      <c r="S1568" s="3" t="str">
        <f>IF(Table1[[#This Row],[Age]]&lt;=18,"0-18",IF(Table1[[#This Row],[Age]]&lt;=35,"19-35",IF(Table1[[#This Row],[Age]]&lt;=50,"36-50",IF(Table1[[#This Row],[Age]]&lt;=65,"51-65","65+"))))</f>
        <v>19-35</v>
      </c>
    </row>
    <row r="1569" spans="1:19" x14ac:dyDescent="0.3">
      <c r="A1569" s="3" t="s">
        <v>4718</v>
      </c>
      <c r="B1569" s="3">
        <v>66</v>
      </c>
      <c r="C1569" s="3" t="s">
        <v>16</v>
      </c>
      <c r="D1569" s="3" t="s">
        <v>36</v>
      </c>
      <c r="E1569" s="3" t="s">
        <v>27</v>
      </c>
      <c r="F1569" s="4">
        <v>44006</v>
      </c>
      <c r="G1569" s="3" t="s">
        <v>4719</v>
      </c>
      <c r="H1569" s="3" t="s">
        <v>4720</v>
      </c>
      <c r="I1569" s="3" t="s">
        <v>30</v>
      </c>
      <c r="J1569" s="5">
        <v>20763.578313283699</v>
      </c>
      <c r="K1569" s="3">
        <v>280</v>
      </c>
      <c r="L1569" s="3" t="s">
        <v>22</v>
      </c>
      <c r="M1569" s="4">
        <v>44013</v>
      </c>
      <c r="N1569" s="3" t="s">
        <v>79</v>
      </c>
      <c r="O1569" s="3" t="s">
        <v>33</v>
      </c>
      <c r="P1569" s="3" t="str">
        <f>IF(Table1[[#This Row],[Billing Amount]]&lt;5000,"Low",IF(Table1[[#This Row],[Billing Amount]]&lt;=15000,"Medium","High"))</f>
        <v>High</v>
      </c>
      <c r="Q1569" s="3" t="str">
        <f>IF(Table1[[#This Row],[Discharge Date]]="Yes","Discharged","Under Treatment")</f>
        <v>Under Treatment</v>
      </c>
      <c r="R1569" s="3" t="str">
        <f>IF(Table1[[#This Row],[Test Results]]&gt;120,"High Risk","Normal")</f>
        <v>High Risk</v>
      </c>
      <c r="S1569" s="3" t="str">
        <f>IF(Table1[[#This Row],[Age]]&lt;=18,"0-18",IF(Table1[[#This Row],[Age]]&lt;=35,"19-35",IF(Table1[[#This Row],[Age]]&lt;=50,"36-50",IF(Table1[[#This Row],[Age]]&lt;=65,"51-65","65+"))))</f>
        <v>65+</v>
      </c>
    </row>
    <row r="1570" spans="1:19" x14ac:dyDescent="0.3">
      <c r="A1570" s="3" t="s">
        <v>4721</v>
      </c>
      <c r="B1570" s="3">
        <v>43</v>
      </c>
      <c r="C1570" s="3" t="s">
        <v>16</v>
      </c>
      <c r="D1570" s="3" t="s">
        <v>42</v>
      </c>
      <c r="E1570" s="3" t="s">
        <v>27</v>
      </c>
      <c r="F1570" s="4">
        <v>43859</v>
      </c>
      <c r="G1570" s="3" t="s">
        <v>4722</v>
      </c>
      <c r="H1570" s="3" t="s">
        <v>1625</v>
      </c>
      <c r="I1570" s="3" t="s">
        <v>30</v>
      </c>
      <c r="J1570" s="5">
        <v>39598.871930128</v>
      </c>
      <c r="K1570" s="3">
        <v>370</v>
      </c>
      <c r="L1570" s="3" t="s">
        <v>46</v>
      </c>
      <c r="M1570" s="4">
        <v>43872</v>
      </c>
      <c r="N1570" s="3" t="s">
        <v>79</v>
      </c>
      <c r="O1570" s="3" t="s">
        <v>47</v>
      </c>
      <c r="P1570" s="3" t="str">
        <f>IF(Table1[[#This Row],[Billing Amount]]&lt;5000,"Low",IF(Table1[[#This Row],[Billing Amount]]&lt;=15000,"Medium","High"))</f>
        <v>High</v>
      </c>
      <c r="Q1570" s="3" t="str">
        <f>IF(Table1[[#This Row],[Discharge Date]]="Yes","Discharged","Under Treatment")</f>
        <v>Under Treatment</v>
      </c>
      <c r="R1570" s="3" t="str">
        <f>IF(Table1[[#This Row],[Test Results]]&gt;120,"High Risk","Normal")</f>
        <v>High Risk</v>
      </c>
      <c r="S1570" s="3" t="str">
        <f>IF(Table1[[#This Row],[Age]]&lt;=18,"0-18",IF(Table1[[#This Row],[Age]]&lt;=35,"19-35",IF(Table1[[#This Row],[Age]]&lt;=50,"36-50",IF(Table1[[#This Row],[Age]]&lt;=65,"51-65","65+"))))</f>
        <v>36-50</v>
      </c>
    </row>
    <row r="1571" spans="1:19" x14ac:dyDescent="0.3">
      <c r="A1571" s="3" t="s">
        <v>4723</v>
      </c>
      <c r="B1571" s="3">
        <v>56</v>
      </c>
      <c r="C1571" s="3" t="s">
        <v>35</v>
      </c>
      <c r="D1571" s="3" t="s">
        <v>26</v>
      </c>
      <c r="E1571" s="3" t="s">
        <v>43</v>
      </c>
      <c r="F1571" s="4">
        <v>44797</v>
      </c>
      <c r="G1571" s="3" t="s">
        <v>4724</v>
      </c>
      <c r="H1571" s="3" t="s">
        <v>4725</v>
      </c>
      <c r="I1571" s="3" t="s">
        <v>57</v>
      </c>
      <c r="J1571" s="5">
        <v>33115.8155498817</v>
      </c>
      <c r="K1571" s="3">
        <v>471</v>
      </c>
      <c r="L1571" s="3" t="s">
        <v>46</v>
      </c>
      <c r="M1571" s="4">
        <v>44807</v>
      </c>
      <c r="N1571" s="3" t="s">
        <v>32</v>
      </c>
      <c r="O1571" s="3" t="s">
        <v>33</v>
      </c>
      <c r="P1571" s="3" t="str">
        <f>IF(Table1[[#This Row],[Billing Amount]]&lt;5000,"Low",IF(Table1[[#This Row],[Billing Amount]]&lt;=15000,"Medium","High"))</f>
        <v>High</v>
      </c>
      <c r="Q1571" s="3" t="str">
        <f>IF(Table1[[#This Row],[Discharge Date]]="Yes","Discharged","Under Treatment")</f>
        <v>Under Treatment</v>
      </c>
      <c r="R1571" s="3" t="str">
        <f>IF(Table1[[#This Row],[Test Results]]&gt;120,"High Risk","Normal")</f>
        <v>High Risk</v>
      </c>
      <c r="S1571" s="3" t="str">
        <f>IF(Table1[[#This Row],[Age]]&lt;=18,"0-18",IF(Table1[[#This Row],[Age]]&lt;=35,"19-35",IF(Table1[[#This Row],[Age]]&lt;=50,"36-50",IF(Table1[[#This Row],[Age]]&lt;=65,"51-65","65+"))))</f>
        <v>51-65</v>
      </c>
    </row>
    <row r="1572" spans="1:19" x14ac:dyDescent="0.3">
      <c r="A1572" s="3" t="s">
        <v>4726</v>
      </c>
      <c r="B1572" s="3">
        <v>55</v>
      </c>
      <c r="C1572" s="3" t="s">
        <v>16</v>
      </c>
      <c r="D1572" s="3" t="s">
        <v>42</v>
      </c>
      <c r="E1572" s="3" t="s">
        <v>54</v>
      </c>
      <c r="F1572" s="4">
        <v>43838</v>
      </c>
      <c r="G1572" s="3" t="s">
        <v>4727</v>
      </c>
      <c r="H1572" s="3" t="s">
        <v>4728</v>
      </c>
      <c r="I1572" s="3" t="s">
        <v>21</v>
      </c>
      <c r="J1572" s="5">
        <v>19523.853571694799</v>
      </c>
      <c r="K1572" s="3">
        <v>362</v>
      </c>
      <c r="L1572" s="3" t="s">
        <v>46</v>
      </c>
      <c r="M1572" s="4">
        <v>43865</v>
      </c>
      <c r="N1572" s="3" t="s">
        <v>32</v>
      </c>
      <c r="O1572" s="3" t="s">
        <v>33</v>
      </c>
      <c r="P1572" s="3" t="str">
        <f>IF(Table1[[#This Row],[Billing Amount]]&lt;5000,"Low",IF(Table1[[#This Row],[Billing Amount]]&lt;=15000,"Medium","High"))</f>
        <v>High</v>
      </c>
      <c r="Q1572" s="3" t="str">
        <f>IF(Table1[[#This Row],[Discharge Date]]="Yes","Discharged","Under Treatment")</f>
        <v>Under Treatment</v>
      </c>
      <c r="R1572" s="3" t="str">
        <f>IF(Table1[[#This Row],[Test Results]]&gt;120,"High Risk","Normal")</f>
        <v>High Risk</v>
      </c>
      <c r="S1572" s="3" t="str">
        <f>IF(Table1[[#This Row],[Age]]&lt;=18,"0-18",IF(Table1[[#This Row],[Age]]&lt;=35,"19-35",IF(Table1[[#This Row],[Age]]&lt;=50,"36-50",IF(Table1[[#This Row],[Age]]&lt;=65,"51-65","65+"))))</f>
        <v>51-65</v>
      </c>
    </row>
    <row r="1573" spans="1:19" x14ac:dyDescent="0.3">
      <c r="A1573" s="3" t="s">
        <v>4731</v>
      </c>
      <c r="B1573" s="3">
        <v>38</v>
      </c>
      <c r="C1573" s="3" t="s">
        <v>35</v>
      </c>
      <c r="D1573" s="3" t="s">
        <v>122</v>
      </c>
      <c r="E1573" s="3" t="s">
        <v>93</v>
      </c>
      <c r="F1573" s="4">
        <v>45259</v>
      </c>
      <c r="G1573" s="3" t="s">
        <v>4732</v>
      </c>
      <c r="H1573" s="3" t="s">
        <v>4733</v>
      </c>
      <c r="I1573" s="3" t="s">
        <v>57</v>
      </c>
      <c r="J1573" s="5">
        <v>44105.966075750097</v>
      </c>
      <c r="K1573" s="3">
        <v>268</v>
      </c>
      <c r="L1573" s="3" t="s">
        <v>46</v>
      </c>
      <c r="M1573" s="4">
        <v>45265</v>
      </c>
      <c r="N1573" s="3" t="s">
        <v>79</v>
      </c>
      <c r="O1573" s="3" t="s">
        <v>24</v>
      </c>
      <c r="P1573" s="3" t="str">
        <f>IF(Table1[[#This Row],[Billing Amount]]&lt;5000,"Low",IF(Table1[[#This Row],[Billing Amount]]&lt;=15000,"Medium","High"))</f>
        <v>High</v>
      </c>
      <c r="Q1573" s="3" t="str">
        <f>IF(Table1[[#This Row],[Discharge Date]]="Yes","Discharged","Under Treatment")</f>
        <v>Under Treatment</v>
      </c>
      <c r="R1573" s="3" t="str">
        <f>IF(Table1[[#This Row],[Test Results]]&gt;120,"High Risk","Normal")</f>
        <v>High Risk</v>
      </c>
      <c r="S1573" s="3" t="str">
        <f>IF(Table1[[#This Row],[Age]]&lt;=18,"0-18",IF(Table1[[#This Row],[Age]]&lt;=35,"19-35",IF(Table1[[#This Row],[Age]]&lt;=50,"36-50",IF(Table1[[#This Row],[Age]]&lt;=65,"51-65","65+"))))</f>
        <v>36-50</v>
      </c>
    </row>
    <row r="1574" spans="1:19" x14ac:dyDescent="0.3">
      <c r="A1574" s="3" t="s">
        <v>4734</v>
      </c>
      <c r="B1574" s="3">
        <v>22</v>
      </c>
      <c r="C1574" s="3" t="s">
        <v>16</v>
      </c>
      <c r="D1574" s="3" t="s">
        <v>59</v>
      </c>
      <c r="E1574" s="3" t="s">
        <v>93</v>
      </c>
      <c r="F1574" s="4">
        <v>44245</v>
      </c>
      <c r="G1574" s="3" t="s">
        <v>4735</v>
      </c>
      <c r="H1574" s="3" t="s">
        <v>4736</v>
      </c>
      <c r="I1574" s="3" t="s">
        <v>39</v>
      </c>
      <c r="J1574" s="5">
        <v>43879.060722524096</v>
      </c>
      <c r="K1574" s="3">
        <v>463</v>
      </c>
      <c r="L1574" s="3" t="s">
        <v>22</v>
      </c>
      <c r="M1574" s="4">
        <v>44254</v>
      </c>
      <c r="N1574" s="3" t="s">
        <v>79</v>
      </c>
      <c r="O1574" s="3" t="s">
        <v>47</v>
      </c>
      <c r="P1574" s="3" t="str">
        <f>IF(Table1[[#This Row],[Billing Amount]]&lt;5000,"Low",IF(Table1[[#This Row],[Billing Amount]]&lt;=15000,"Medium","High"))</f>
        <v>High</v>
      </c>
      <c r="Q1574" s="3" t="str">
        <f>IF(Table1[[#This Row],[Discharge Date]]="Yes","Discharged","Under Treatment")</f>
        <v>Under Treatment</v>
      </c>
      <c r="R1574" s="3" t="str">
        <f>IF(Table1[[#This Row],[Test Results]]&gt;120,"High Risk","Normal")</f>
        <v>High Risk</v>
      </c>
      <c r="S1574" s="3" t="str">
        <f>IF(Table1[[#This Row],[Age]]&lt;=18,"0-18",IF(Table1[[#This Row],[Age]]&lt;=35,"19-35",IF(Table1[[#This Row],[Age]]&lt;=50,"36-50",IF(Table1[[#This Row],[Age]]&lt;=65,"51-65","65+"))))</f>
        <v>19-35</v>
      </c>
    </row>
    <row r="1575" spans="1:19" x14ac:dyDescent="0.3">
      <c r="A1575" s="3" t="s">
        <v>4737</v>
      </c>
      <c r="B1575" s="3">
        <v>29</v>
      </c>
      <c r="C1575" s="3" t="s">
        <v>35</v>
      </c>
      <c r="D1575" s="3" t="s">
        <v>42</v>
      </c>
      <c r="E1575" s="3" t="s">
        <v>18</v>
      </c>
      <c r="F1575" s="4">
        <v>45053</v>
      </c>
      <c r="G1575" s="3" t="s">
        <v>4738</v>
      </c>
      <c r="H1575" s="3" t="s">
        <v>4739</v>
      </c>
      <c r="I1575" s="3" t="s">
        <v>39</v>
      </c>
      <c r="J1575" s="5">
        <v>2176.1181459631298</v>
      </c>
      <c r="K1575" s="3">
        <v>259</v>
      </c>
      <c r="L1575" s="3" t="s">
        <v>31</v>
      </c>
      <c r="M1575" s="4">
        <v>45057</v>
      </c>
      <c r="N1575" s="3" t="s">
        <v>32</v>
      </c>
      <c r="O1575" s="3" t="s">
        <v>33</v>
      </c>
      <c r="P1575" s="3" t="str">
        <f>IF(Table1[[#This Row],[Billing Amount]]&lt;5000,"Low",IF(Table1[[#This Row],[Billing Amount]]&lt;=15000,"Medium","High"))</f>
        <v>Low</v>
      </c>
      <c r="Q1575" s="3" t="str">
        <f>IF(Table1[[#This Row],[Discharge Date]]="Yes","Discharged","Under Treatment")</f>
        <v>Under Treatment</v>
      </c>
      <c r="R1575" s="3" t="str">
        <f>IF(Table1[[#This Row],[Test Results]]&gt;120,"High Risk","Normal")</f>
        <v>High Risk</v>
      </c>
      <c r="S1575" s="3" t="str">
        <f>IF(Table1[[#This Row],[Age]]&lt;=18,"0-18",IF(Table1[[#This Row],[Age]]&lt;=35,"19-35",IF(Table1[[#This Row],[Age]]&lt;=50,"36-50",IF(Table1[[#This Row],[Age]]&lt;=65,"51-65","65+"))))</f>
        <v>19-35</v>
      </c>
    </row>
    <row r="1576" spans="1:19" x14ac:dyDescent="0.3">
      <c r="A1576" s="3" t="s">
        <v>4740</v>
      </c>
      <c r="B1576" s="3">
        <v>45</v>
      </c>
      <c r="C1576" s="3" t="s">
        <v>16</v>
      </c>
      <c r="D1576" s="3" t="s">
        <v>103</v>
      </c>
      <c r="E1576" s="3" t="s">
        <v>27</v>
      </c>
      <c r="F1576" s="4">
        <v>44311</v>
      </c>
      <c r="G1576" s="3" t="s">
        <v>4741</v>
      </c>
      <c r="H1576" s="3" t="s">
        <v>4742</v>
      </c>
      <c r="I1576" s="3" t="s">
        <v>30</v>
      </c>
      <c r="J1576" s="5">
        <v>23188.920429630001</v>
      </c>
      <c r="K1576" s="3">
        <v>260</v>
      </c>
      <c r="L1576" s="3" t="s">
        <v>46</v>
      </c>
      <c r="M1576" s="4">
        <v>44325</v>
      </c>
      <c r="N1576" s="3" t="s">
        <v>40</v>
      </c>
      <c r="O1576" s="3" t="s">
        <v>24</v>
      </c>
      <c r="P1576" s="3" t="str">
        <f>IF(Table1[[#This Row],[Billing Amount]]&lt;5000,"Low",IF(Table1[[#This Row],[Billing Amount]]&lt;=15000,"Medium","High"))</f>
        <v>High</v>
      </c>
      <c r="Q1576" s="3" t="str">
        <f>IF(Table1[[#This Row],[Discharge Date]]="Yes","Discharged","Under Treatment")</f>
        <v>Under Treatment</v>
      </c>
      <c r="R1576" s="3" t="str">
        <f>IF(Table1[[#This Row],[Test Results]]&gt;120,"High Risk","Normal")</f>
        <v>High Risk</v>
      </c>
      <c r="S1576" s="3" t="str">
        <f>IF(Table1[[#This Row],[Age]]&lt;=18,"0-18",IF(Table1[[#This Row],[Age]]&lt;=35,"19-35",IF(Table1[[#This Row],[Age]]&lt;=50,"36-50",IF(Table1[[#This Row],[Age]]&lt;=65,"51-65","65+"))))</f>
        <v>36-50</v>
      </c>
    </row>
    <row r="1577" spans="1:19" x14ac:dyDescent="0.3">
      <c r="A1577" s="3" t="s">
        <v>4743</v>
      </c>
      <c r="B1577" s="3">
        <v>65</v>
      </c>
      <c r="C1577" s="3" t="s">
        <v>35</v>
      </c>
      <c r="D1577" s="3" t="s">
        <v>49</v>
      </c>
      <c r="E1577" s="3" t="s">
        <v>76</v>
      </c>
      <c r="F1577" s="4">
        <v>44975</v>
      </c>
      <c r="G1577" s="3" t="s">
        <v>4744</v>
      </c>
      <c r="H1577" s="3" t="s">
        <v>4745</v>
      </c>
      <c r="I1577" s="3" t="s">
        <v>57</v>
      </c>
      <c r="J1577" s="5">
        <v>35096.873609564696</v>
      </c>
      <c r="K1577" s="3">
        <v>102</v>
      </c>
      <c r="L1577" s="3" t="s">
        <v>22</v>
      </c>
      <c r="M1577" s="4">
        <v>44985</v>
      </c>
      <c r="N1577" s="3" t="s">
        <v>79</v>
      </c>
      <c r="O1577" s="3" t="s">
        <v>33</v>
      </c>
      <c r="P1577" s="3" t="str">
        <f>IF(Table1[[#This Row],[Billing Amount]]&lt;5000,"Low",IF(Table1[[#This Row],[Billing Amount]]&lt;=15000,"Medium","High"))</f>
        <v>High</v>
      </c>
      <c r="Q1577" s="3" t="str">
        <f>IF(Table1[[#This Row],[Discharge Date]]="Yes","Discharged","Under Treatment")</f>
        <v>Under Treatment</v>
      </c>
      <c r="R1577" s="3" t="str">
        <f>IF(Table1[[#This Row],[Test Results]]&gt;120,"High Risk","Normal")</f>
        <v>High Risk</v>
      </c>
      <c r="S1577" s="3" t="str">
        <f>IF(Table1[[#This Row],[Age]]&lt;=18,"0-18",IF(Table1[[#This Row],[Age]]&lt;=35,"19-35",IF(Table1[[#This Row],[Age]]&lt;=50,"36-50",IF(Table1[[#This Row],[Age]]&lt;=65,"51-65","65+"))))</f>
        <v>51-65</v>
      </c>
    </row>
    <row r="1578" spans="1:19" x14ac:dyDescent="0.3">
      <c r="A1578" s="3" t="s">
        <v>4746</v>
      </c>
      <c r="B1578" s="3">
        <v>69</v>
      </c>
      <c r="C1578" s="3" t="s">
        <v>16</v>
      </c>
      <c r="D1578" s="3" t="s">
        <v>26</v>
      </c>
      <c r="E1578" s="3" t="s">
        <v>76</v>
      </c>
      <c r="F1578" s="4">
        <v>45233</v>
      </c>
      <c r="G1578" s="3" t="s">
        <v>4747</v>
      </c>
      <c r="H1578" s="3" t="s">
        <v>4748</v>
      </c>
      <c r="I1578" s="3" t="s">
        <v>30</v>
      </c>
      <c r="J1578" s="5">
        <v>37863.276747212003</v>
      </c>
      <c r="K1578" s="3">
        <v>219</v>
      </c>
      <c r="L1578" s="3" t="s">
        <v>31</v>
      </c>
      <c r="M1578" s="4">
        <v>45259</v>
      </c>
      <c r="N1578" s="3" t="s">
        <v>79</v>
      </c>
      <c r="O1578" s="3" t="s">
        <v>24</v>
      </c>
      <c r="P1578" s="3" t="str">
        <f>IF(Table1[[#This Row],[Billing Amount]]&lt;5000,"Low",IF(Table1[[#This Row],[Billing Amount]]&lt;=15000,"Medium","High"))</f>
        <v>High</v>
      </c>
      <c r="Q1578" s="3" t="str">
        <f>IF(Table1[[#This Row],[Discharge Date]]="Yes","Discharged","Under Treatment")</f>
        <v>Under Treatment</v>
      </c>
      <c r="R1578" s="3" t="str">
        <f>IF(Table1[[#This Row],[Test Results]]&gt;120,"High Risk","Normal")</f>
        <v>High Risk</v>
      </c>
      <c r="S1578" s="3" t="str">
        <f>IF(Table1[[#This Row],[Age]]&lt;=18,"0-18",IF(Table1[[#This Row],[Age]]&lt;=35,"19-35",IF(Table1[[#This Row],[Age]]&lt;=50,"36-50",IF(Table1[[#This Row],[Age]]&lt;=65,"51-65","65+"))))</f>
        <v>65+</v>
      </c>
    </row>
    <row r="1579" spans="1:19" x14ac:dyDescent="0.3">
      <c r="A1579" s="3" t="s">
        <v>4749</v>
      </c>
      <c r="B1579" s="3">
        <v>43</v>
      </c>
      <c r="C1579" s="3" t="s">
        <v>16</v>
      </c>
      <c r="D1579" s="3" t="s">
        <v>59</v>
      </c>
      <c r="E1579" s="3" t="s">
        <v>18</v>
      </c>
      <c r="F1579" s="4">
        <v>44602</v>
      </c>
      <c r="G1579" s="3" t="s">
        <v>4750</v>
      </c>
      <c r="H1579" s="3" t="s">
        <v>4751</v>
      </c>
      <c r="I1579" s="3" t="s">
        <v>65</v>
      </c>
      <c r="J1579" s="5">
        <v>16928.966212910698</v>
      </c>
      <c r="K1579" s="3">
        <v>418</v>
      </c>
      <c r="L1579" s="3" t="s">
        <v>46</v>
      </c>
      <c r="M1579" s="4">
        <v>44617</v>
      </c>
      <c r="N1579" s="3" t="s">
        <v>40</v>
      </c>
      <c r="O1579" s="3" t="s">
        <v>47</v>
      </c>
      <c r="P1579" s="3" t="str">
        <f>IF(Table1[[#This Row],[Billing Amount]]&lt;5000,"Low",IF(Table1[[#This Row],[Billing Amount]]&lt;=15000,"Medium","High"))</f>
        <v>High</v>
      </c>
      <c r="Q1579" s="3" t="str">
        <f>IF(Table1[[#This Row],[Discharge Date]]="Yes","Discharged","Under Treatment")</f>
        <v>Under Treatment</v>
      </c>
      <c r="R1579" s="3" t="str">
        <f>IF(Table1[[#This Row],[Test Results]]&gt;120,"High Risk","Normal")</f>
        <v>High Risk</v>
      </c>
      <c r="S1579" s="3" t="str">
        <f>IF(Table1[[#This Row],[Age]]&lt;=18,"0-18",IF(Table1[[#This Row],[Age]]&lt;=35,"19-35",IF(Table1[[#This Row],[Age]]&lt;=50,"36-50",IF(Table1[[#This Row],[Age]]&lt;=65,"51-65","65+"))))</f>
        <v>36-50</v>
      </c>
    </row>
    <row r="1580" spans="1:19" x14ac:dyDescent="0.3">
      <c r="A1580" s="3" t="s">
        <v>4752</v>
      </c>
      <c r="B1580" s="3">
        <v>32</v>
      </c>
      <c r="C1580" s="3" t="s">
        <v>35</v>
      </c>
      <c r="D1580" s="3" t="s">
        <v>17</v>
      </c>
      <c r="E1580" s="3" t="s">
        <v>93</v>
      </c>
      <c r="F1580" s="4">
        <v>44285</v>
      </c>
      <c r="G1580" s="3" t="s">
        <v>1948</v>
      </c>
      <c r="H1580" s="3" t="s">
        <v>4753</v>
      </c>
      <c r="I1580" s="3" t="s">
        <v>65</v>
      </c>
      <c r="J1580" s="5">
        <v>33422.960797070999</v>
      </c>
      <c r="K1580" s="3">
        <v>225</v>
      </c>
      <c r="L1580" s="3" t="s">
        <v>31</v>
      </c>
      <c r="M1580" s="4">
        <v>44290</v>
      </c>
      <c r="N1580" s="3" t="s">
        <v>40</v>
      </c>
      <c r="O1580" s="3" t="s">
        <v>47</v>
      </c>
      <c r="P1580" s="3" t="str">
        <f>IF(Table1[[#This Row],[Billing Amount]]&lt;5000,"Low",IF(Table1[[#This Row],[Billing Amount]]&lt;=15000,"Medium","High"))</f>
        <v>High</v>
      </c>
      <c r="Q1580" s="3" t="str">
        <f>IF(Table1[[#This Row],[Discharge Date]]="Yes","Discharged","Under Treatment")</f>
        <v>Under Treatment</v>
      </c>
      <c r="R1580" s="3" t="str">
        <f>IF(Table1[[#This Row],[Test Results]]&gt;120,"High Risk","Normal")</f>
        <v>High Risk</v>
      </c>
      <c r="S1580" s="3" t="str">
        <f>IF(Table1[[#This Row],[Age]]&lt;=18,"0-18",IF(Table1[[#This Row],[Age]]&lt;=35,"19-35",IF(Table1[[#This Row],[Age]]&lt;=50,"36-50",IF(Table1[[#This Row],[Age]]&lt;=65,"51-65","65+"))))</f>
        <v>19-35</v>
      </c>
    </row>
    <row r="1581" spans="1:19" x14ac:dyDescent="0.3">
      <c r="A1581" s="3" t="s">
        <v>4754</v>
      </c>
      <c r="B1581" s="3">
        <v>20</v>
      </c>
      <c r="C1581" s="3" t="s">
        <v>16</v>
      </c>
      <c r="D1581" s="3" t="s">
        <v>49</v>
      </c>
      <c r="E1581" s="3" t="s">
        <v>27</v>
      </c>
      <c r="F1581" s="4">
        <v>43669</v>
      </c>
      <c r="G1581" s="3" t="s">
        <v>4755</v>
      </c>
      <c r="H1581" s="3" t="s">
        <v>4756</v>
      </c>
      <c r="I1581" s="3" t="s">
        <v>65</v>
      </c>
      <c r="J1581" s="5">
        <v>17678.3619375044</v>
      </c>
      <c r="K1581" s="3">
        <v>208</v>
      </c>
      <c r="L1581" s="3" t="s">
        <v>46</v>
      </c>
      <c r="M1581" s="4">
        <v>43675</v>
      </c>
      <c r="N1581" s="3" t="s">
        <v>40</v>
      </c>
      <c r="O1581" s="3" t="s">
        <v>24</v>
      </c>
      <c r="P1581" s="3" t="str">
        <f>IF(Table1[[#This Row],[Billing Amount]]&lt;5000,"Low",IF(Table1[[#This Row],[Billing Amount]]&lt;=15000,"Medium","High"))</f>
        <v>High</v>
      </c>
      <c r="Q1581" s="3" t="str">
        <f>IF(Table1[[#This Row],[Discharge Date]]="Yes","Discharged","Under Treatment")</f>
        <v>Under Treatment</v>
      </c>
      <c r="R1581" s="3" t="str">
        <f>IF(Table1[[#This Row],[Test Results]]&gt;120,"High Risk","Normal")</f>
        <v>High Risk</v>
      </c>
      <c r="S1581" s="3" t="str">
        <f>IF(Table1[[#This Row],[Age]]&lt;=18,"0-18",IF(Table1[[#This Row],[Age]]&lt;=35,"19-35",IF(Table1[[#This Row],[Age]]&lt;=50,"36-50",IF(Table1[[#This Row],[Age]]&lt;=65,"51-65","65+"))))</f>
        <v>19-35</v>
      </c>
    </row>
    <row r="1582" spans="1:19" x14ac:dyDescent="0.3">
      <c r="A1582" s="3" t="s">
        <v>4757</v>
      </c>
      <c r="B1582" s="3">
        <v>76</v>
      </c>
      <c r="C1582" s="3" t="s">
        <v>35</v>
      </c>
      <c r="D1582" s="3" t="s">
        <v>103</v>
      </c>
      <c r="E1582" s="3" t="s">
        <v>27</v>
      </c>
      <c r="F1582" s="4">
        <v>44030</v>
      </c>
      <c r="G1582" s="3" t="s">
        <v>4758</v>
      </c>
      <c r="H1582" s="3" t="s">
        <v>4759</v>
      </c>
      <c r="I1582" s="3" t="s">
        <v>65</v>
      </c>
      <c r="J1582" s="5">
        <v>28222.728924578802</v>
      </c>
      <c r="K1582" s="3">
        <v>222</v>
      </c>
      <c r="L1582" s="3" t="s">
        <v>22</v>
      </c>
      <c r="M1582" s="4">
        <v>44051</v>
      </c>
      <c r="N1582" s="3" t="s">
        <v>52</v>
      </c>
      <c r="O1582" s="3" t="s">
        <v>24</v>
      </c>
      <c r="P1582" s="3" t="str">
        <f>IF(Table1[[#This Row],[Billing Amount]]&lt;5000,"Low",IF(Table1[[#This Row],[Billing Amount]]&lt;=15000,"Medium","High"))</f>
        <v>High</v>
      </c>
      <c r="Q1582" s="3" t="str">
        <f>IF(Table1[[#This Row],[Discharge Date]]="Yes","Discharged","Under Treatment")</f>
        <v>Under Treatment</v>
      </c>
      <c r="R1582" s="3" t="str">
        <f>IF(Table1[[#This Row],[Test Results]]&gt;120,"High Risk","Normal")</f>
        <v>High Risk</v>
      </c>
      <c r="S1582" s="3" t="str">
        <f>IF(Table1[[#This Row],[Age]]&lt;=18,"0-18",IF(Table1[[#This Row],[Age]]&lt;=35,"19-35",IF(Table1[[#This Row],[Age]]&lt;=50,"36-50",IF(Table1[[#This Row],[Age]]&lt;=65,"51-65","65+"))))</f>
        <v>65+</v>
      </c>
    </row>
    <row r="1583" spans="1:19" x14ac:dyDescent="0.3">
      <c r="A1583" s="3" t="s">
        <v>4760</v>
      </c>
      <c r="B1583" s="3">
        <v>56</v>
      </c>
      <c r="C1583" s="3" t="s">
        <v>35</v>
      </c>
      <c r="D1583" s="3" t="s">
        <v>103</v>
      </c>
      <c r="E1583" s="3" t="s">
        <v>54</v>
      </c>
      <c r="F1583" s="4">
        <v>44791</v>
      </c>
      <c r="G1583" s="3" t="s">
        <v>4761</v>
      </c>
      <c r="H1583" s="3" t="s">
        <v>4762</v>
      </c>
      <c r="I1583" s="3" t="s">
        <v>21</v>
      </c>
      <c r="J1583" s="5">
        <v>21736.1708239658</v>
      </c>
      <c r="K1583" s="3">
        <v>345</v>
      </c>
      <c r="L1583" s="3" t="s">
        <v>46</v>
      </c>
      <c r="M1583" s="4">
        <v>44796</v>
      </c>
      <c r="N1583" s="3" t="s">
        <v>40</v>
      </c>
      <c r="O1583" s="3" t="s">
        <v>33</v>
      </c>
      <c r="P1583" s="3" t="str">
        <f>IF(Table1[[#This Row],[Billing Amount]]&lt;5000,"Low",IF(Table1[[#This Row],[Billing Amount]]&lt;=15000,"Medium","High"))</f>
        <v>High</v>
      </c>
      <c r="Q1583" s="3" t="str">
        <f>IF(Table1[[#This Row],[Discharge Date]]="Yes","Discharged","Under Treatment")</f>
        <v>Under Treatment</v>
      </c>
      <c r="R1583" s="3" t="str">
        <f>IF(Table1[[#This Row],[Test Results]]&gt;120,"High Risk","Normal")</f>
        <v>High Risk</v>
      </c>
      <c r="S1583" s="3" t="str">
        <f>IF(Table1[[#This Row],[Age]]&lt;=18,"0-18",IF(Table1[[#This Row],[Age]]&lt;=35,"19-35",IF(Table1[[#This Row],[Age]]&lt;=50,"36-50",IF(Table1[[#This Row],[Age]]&lt;=65,"51-65","65+"))))</f>
        <v>51-65</v>
      </c>
    </row>
    <row r="1584" spans="1:19" x14ac:dyDescent="0.3">
      <c r="A1584" s="3" t="s">
        <v>4763</v>
      </c>
      <c r="B1584" s="3">
        <v>56</v>
      </c>
      <c r="C1584" s="3" t="s">
        <v>35</v>
      </c>
      <c r="D1584" s="3" t="s">
        <v>49</v>
      </c>
      <c r="E1584" s="3" t="s">
        <v>76</v>
      </c>
      <c r="F1584" s="4">
        <v>44159</v>
      </c>
      <c r="G1584" s="3" t="s">
        <v>4764</v>
      </c>
      <c r="H1584" s="3" t="s">
        <v>4765</v>
      </c>
      <c r="I1584" s="3" t="s">
        <v>65</v>
      </c>
      <c r="J1584" s="5">
        <v>19410.964441424399</v>
      </c>
      <c r="K1584" s="3">
        <v>195</v>
      </c>
      <c r="L1584" s="3" t="s">
        <v>46</v>
      </c>
      <c r="M1584" s="4">
        <v>44169</v>
      </c>
      <c r="N1584" s="3" t="s">
        <v>32</v>
      </c>
      <c r="O1584" s="3" t="s">
        <v>24</v>
      </c>
      <c r="P1584" s="3" t="str">
        <f>IF(Table1[[#This Row],[Billing Amount]]&lt;5000,"Low",IF(Table1[[#This Row],[Billing Amount]]&lt;=15000,"Medium","High"))</f>
        <v>High</v>
      </c>
      <c r="Q1584" s="3" t="str">
        <f>IF(Table1[[#This Row],[Discharge Date]]="Yes","Discharged","Under Treatment")</f>
        <v>Under Treatment</v>
      </c>
      <c r="R1584" s="3" t="str">
        <f>IF(Table1[[#This Row],[Test Results]]&gt;120,"High Risk","Normal")</f>
        <v>High Risk</v>
      </c>
      <c r="S1584" s="3" t="str">
        <f>IF(Table1[[#This Row],[Age]]&lt;=18,"0-18",IF(Table1[[#This Row],[Age]]&lt;=35,"19-35",IF(Table1[[#This Row],[Age]]&lt;=50,"36-50",IF(Table1[[#This Row],[Age]]&lt;=65,"51-65","65+"))))</f>
        <v>51-65</v>
      </c>
    </row>
    <row r="1585" spans="1:19" x14ac:dyDescent="0.3">
      <c r="A1585" s="3" t="s">
        <v>4766</v>
      </c>
      <c r="B1585" s="3">
        <v>18</v>
      </c>
      <c r="C1585" s="3" t="s">
        <v>35</v>
      </c>
      <c r="D1585" s="3" t="s">
        <v>42</v>
      </c>
      <c r="E1585" s="3" t="s">
        <v>93</v>
      </c>
      <c r="F1585" s="4">
        <v>45416</v>
      </c>
      <c r="G1585" s="3" t="s">
        <v>4767</v>
      </c>
      <c r="H1585" s="3" t="s">
        <v>4768</v>
      </c>
      <c r="I1585" s="3" t="s">
        <v>39</v>
      </c>
      <c r="J1585" s="5">
        <v>41167.105417891697</v>
      </c>
      <c r="K1585" s="3">
        <v>435</v>
      </c>
      <c r="L1585" s="3" t="s">
        <v>46</v>
      </c>
      <c r="M1585" s="4">
        <v>45421</v>
      </c>
      <c r="N1585" s="3" t="s">
        <v>52</v>
      </c>
      <c r="O1585" s="3" t="s">
        <v>24</v>
      </c>
      <c r="P1585" s="3" t="str">
        <f>IF(Table1[[#This Row],[Billing Amount]]&lt;5000,"Low",IF(Table1[[#This Row],[Billing Amount]]&lt;=15000,"Medium","High"))</f>
        <v>High</v>
      </c>
      <c r="Q1585" s="3" t="str">
        <f>IF(Table1[[#This Row],[Discharge Date]]="Yes","Discharged","Under Treatment")</f>
        <v>Under Treatment</v>
      </c>
      <c r="R1585" s="3" t="str">
        <f>IF(Table1[[#This Row],[Test Results]]&gt;120,"High Risk","Normal")</f>
        <v>High Risk</v>
      </c>
      <c r="S1585" s="3" t="str">
        <f>IF(Table1[[#This Row],[Age]]&lt;=18,"0-18",IF(Table1[[#This Row],[Age]]&lt;=35,"19-35",IF(Table1[[#This Row],[Age]]&lt;=50,"36-50",IF(Table1[[#This Row],[Age]]&lt;=65,"51-65","65+"))))</f>
        <v>0-18</v>
      </c>
    </row>
    <row r="1586" spans="1:19" x14ac:dyDescent="0.3">
      <c r="A1586" s="3" t="s">
        <v>4769</v>
      </c>
      <c r="B1586" s="3">
        <v>31</v>
      </c>
      <c r="C1586" s="3" t="s">
        <v>16</v>
      </c>
      <c r="D1586" s="3" t="s">
        <v>103</v>
      </c>
      <c r="E1586" s="3" t="s">
        <v>54</v>
      </c>
      <c r="F1586" s="4">
        <v>44997</v>
      </c>
      <c r="G1586" s="3" t="s">
        <v>1138</v>
      </c>
      <c r="H1586" s="3" t="s">
        <v>2652</v>
      </c>
      <c r="I1586" s="3" t="s">
        <v>39</v>
      </c>
      <c r="J1586" s="5">
        <v>37912.244036017699</v>
      </c>
      <c r="K1586" s="3">
        <v>264</v>
      </c>
      <c r="L1586" s="3" t="s">
        <v>46</v>
      </c>
      <c r="M1586" s="4">
        <v>45008</v>
      </c>
      <c r="N1586" s="3" t="s">
        <v>23</v>
      </c>
      <c r="O1586" s="3" t="s">
        <v>33</v>
      </c>
      <c r="P1586" s="3" t="str">
        <f>IF(Table1[[#This Row],[Billing Amount]]&lt;5000,"Low",IF(Table1[[#This Row],[Billing Amount]]&lt;=15000,"Medium","High"))</f>
        <v>High</v>
      </c>
      <c r="Q1586" s="3" t="str">
        <f>IF(Table1[[#This Row],[Discharge Date]]="Yes","Discharged","Under Treatment")</f>
        <v>Under Treatment</v>
      </c>
      <c r="R1586" s="3" t="str">
        <f>IF(Table1[[#This Row],[Test Results]]&gt;120,"High Risk","Normal")</f>
        <v>High Risk</v>
      </c>
      <c r="S1586" s="3" t="str">
        <f>IF(Table1[[#This Row],[Age]]&lt;=18,"0-18",IF(Table1[[#This Row],[Age]]&lt;=35,"19-35",IF(Table1[[#This Row],[Age]]&lt;=50,"36-50",IF(Table1[[#This Row],[Age]]&lt;=65,"51-65","65+"))))</f>
        <v>19-35</v>
      </c>
    </row>
    <row r="1587" spans="1:19" x14ac:dyDescent="0.3">
      <c r="A1587" s="3" t="s">
        <v>4770</v>
      </c>
      <c r="B1587" s="3">
        <v>30</v>
      </c>
      <c r="C1587" s="3" t="s">
        <v>35</v>
      </c>
      <c r="D1587" s="3" t="s">
        <v>59</v>
      </c>
      <c r="E1587" s="3" t="s">
        <v>18</v>
      </c>
      <c r="F1587" s="4">
        <v>44095</v>
      </c>
      <c r="G1587" s="3" t="s">
        <v>4771</v>
      </c>
      <c r="H1587" s="3" t="s">
        <v>4772</v>
      </c>
      <c r="I1587" s="3" t="s">
        <v>57</v>
      </c>
      <c r="J1587" s="5">
        <v>4434.1380976789096</v>
      </c>
      <c r="K1587" s="3">
        <v>250</v>
      </c>
      <c r="L1587" s="3" t="s">
        <v>46</v>
      </c>
      <c r="M1587" s="4">
        <v>44101</v>
      </c>
      <c r="N1587" s="3" t="s">
        <v>52</v>
      </c>
      <c r="O1587" s="3" t="s">
        <v>24</v>
      </c>
      <c r="P1587" s="3" t="str">
        <f>IF(Table1[[#This Row],[Billing Amount]]&lt;5000,"Low",IF(Table1[[#This Row],[Billing Amount]]&lt;=15000,"Medium","High"))</f>
        <v>Low</v>
      </c>
      <c r="Q1587" s="3" t="str">
        <f>IF(Table1[[#This Row],[Discharge Date]]="Yes","Discharged","Under Treatment")</f>
        <v>Under Treatment</v>
      </c>
      <c r="R1587" s="3" t="str">
        <f>IF(Table1[[#This Row],[Test Results]]&gt;120,"High Risk","Normal")</f>
        <v>High Risk</v>
      </c>
      <c r="S1587" s="3" t="str">
        <f>IF(Table1[[#This Row],[Age]]&lt;=18,"0-18",IF(Table1[[#This Row],[Age]]&lt;=35,"19-35",IF(Table1[[#This Row],[Age]]&lt;=50,"36-50",IF(Table1[[#This Row],[Age]]&lt;=65,"51-65","65+"))))</f>
        <v>19-35</v>
      </c>
    </row>
    <row r="1588" spans="1:19" x14ac:dyDescent="0.3">
      <c r="A1588" s="3" t="s">
        <v>4773</v>
      </c>
      <c r="B1588" s="3">
        <v>31</v>
      </c>
      <c r="C1588" s="3" t="s">
        <v>35</v>
      </c>
      <c r="D1588" s="3" t="s">
        <v>26</v>
      </c>
      <c r="E1588" s="3" t="s">
        <v>27</v>
      </c>
      <c r="F1588" s="4">
        <v>44040</v>
      </c>
      <c r="G1588" s="3" t="s">
        <v>4774</v>
      </c>
      <c r="H1588" s="3" t="s">
        <v>4775</v>
      </c>
      <c r="I1588" s="3" t="s">
        <v>57</v>
      </c>
      <c r="J1588" s="5">
        <v>38479.560037346397</v>
      </c>
      <c r="K1588" s="3">
        <v>250</v>
      </c>
      <c r="L1588" s="3" t="s">
        <v>46</v>
      </c>
      <c r="M1588" s="4">
        <v>44044</v>
      </c>
      <c r="N1588" s="3" t="s">
        <v>52</v>
      </c>
      <c r="O1588" s="3" t="s">
        <v>33</v>
      </c>
      <c r="P1588" s="3" t="str">
        <f>IF(Table1[[#This Row],[Billing Amount]]&lt;5000,"Low",IF(Table1[[#This Row],[Billing Amount]]&lt;=15000,"Medium","High"))</f>
        <v>High</v>
      </c>
      <c r="Q1588" s="3" t="str">
        <f>IF(Table1[[#This Row],[Discharge Date]]="Yes","Discharged","Under Treatment")</f>
        <v>Under Treatment</v>
      </c>
      <c r="R1588" s="3" t="str">
        <f>IF(Table1[[#This Row],[Test Results]]&gt;120,"High Risk","Normal")</f>
        <v>High Risk</v>
      </c>
      <c r="S1588" s="3" t="str">
        <f>IF(Table1[[#This Row],[Age]]&lt;=18,"0-18",IF(Table1[[#This Row],[Age]]&lt;=35,"19-35",IF(Table1[[#This Row],[Age]]&lt;=50,"36-50",IF(Table1[[#This Row],[Age]]&lt;=65,"51-65","65+"))))</f>
        <v>19-35</v>
      </c>
    </row>
    <row r="1589" spans="1:19" x14ac:dyDescent="0.3">
      <c r="A1589" s="3" t="s">
        <v>4776</v>
      </c>
      <c r="B1589" s="3">
        <v>72</v>
      </c>
      <c r="C1589" s="3" t="s">
        <v>16</v>
      </c>
      <c r="D1589" s="3" t="s">
        <v>42</v>
      </c>
      <c r="E1589" s="3" t="s">
        <v>27</v>
      </c>
      <c r="F1589" s="4">
        <v>44751</v>
      </c>
      <c r="G1589" s="3" t="s">
        <v>4777</v>
      </c>
      <c r="H1589" s="3" t="s">
        <v>4778</v>
      </c>
      <c r="I1589" s="3" t="s">
        <v>65</v>
      </c>
      <c r="J1589" s="5">
        <v>6034.2950120948399</v>
      </c>
      <c r="K1589" s="3">
        <v>352</v>
      </c>
      <c r="L1589" s="3" t="s">
        <v>22</v>
      </c>
      <c r="M1589" s="4">
        <v>44758</v>
      </c>
      <c r="N1589" s="3" t="s">
        <v>79</v>
      </c>
      <c r="O1589" s="3" t="s">
        <v>47</v>
      </c>
      <c r="P1589" s="3" t="str">
        <f>IF(Table1[[#This Row],[Billing Amount]]&lt;5000,"Low",IF(Table1[[#This Row],[Billing Amount]]&lt;=15000,"Medium","High"))</f>
        <v>Medium</v>
      </c>
      <c r="Q1589" s="3" t="str">
        <f>IF(Table1[[#This Row],[Discharge Date]]="Yes","Discharged","Under Treatment")</f>
        <v>Under Treatment</v>
      </c>
      <c r="R1589" s="3" t="str">
        <f>IF(Table1[[#This Row],[Test Results]]&gt;120,"High Risk","Normal")</f>
        <v>High Risk</v>
      </c>
      <c r="S1589" s="3" t="str">
        <f>IF(Table1[[#This Row],[Age]]&lt;=18,"0-18",IF(Table1[[#This Row],[Age]]&lt;=35,"19-35",IF(Table1[[#This Row],[Age]]&lt;=50,"36-50",IF(Table1[[#This Row],[Age]]&lt;=65,"51-65","65+"))))</f>
        <v>65+</v>
      </c>
    </row>
    <row r="1590" spans="1:19" x14ac:dyDescent="0.3">
      <c r="A1590" s="3" t="s">
        <v>4779</v>
      </c>
      <c r="B1590" s="3">
        <v>83</v>
      </c>
      <c r="C1590" s="3" t="s">
        <v>35</v>
      </c>
      <c r="D1590" s="3" t="s">
        <v>49</v>
      </c>
      <c r="E1590" s="3" t="s">
        <v>76</v>
      </c>
      <c r="F1590" s="4">
        <v>45075</v>
      </c>
      <c r="G1590" s="3" t="s">
        <v>4780</v>
      </c>
      <c r="H1590" s="3" t="s">
        <v>4781</v>
      </c>
      <c r="I1590" s="3" t="s">
        <v>21</v>
      </c>
      <c r="J1590" s="5">
        <v>25223.471741565299</v>
      </c>
      <c r="K1590" s="3">
        <v>266</v>
      </c>
      <c r="L1590" s="3" t="s">
        <v>22</v>
      </c>
      <c r="M1590" s="4">
        <v>45086</v>
      </c>
      <c r="N1590" s="3" t="s">
        <v>52</v>
      </c>
      <c r="O1590" s="3" t="s">
        <v>24</v>
      </c>
      <c r="P1590" s="3" t="str">
        <f>IF(Table1[[#This Row],[Billing Amount]]&lt;5000,"Low",IF(Table1[[#This Row],[Billing Amount]]&lt;=15000,"Medium","High"))</f>
        <v>High</v>
      </c>
      <c r="Q1590" s="3" t="str">
        <f>IF(Table1[[#This Row],[Discharge Date]]="Yes","Discharged","Under Treatment")</f>
        <v>Under Treatment</v>
      </c>
      <c r="R1590" s="3" t="str">
        <f>IF(Table1[[#This Row],[Test Results]]&gt;120,"High Risk","Normal")</f>
        <v>High Risk</v>
      </c>
      <c r="S1590" s="3" t="str">
        <f>IF(Table1[[#This Row],[Age]]&lt;=18,"0-18",IF(Table1[[#This Row],[Age]]&lt;=35,"19-35",IF(Table1[[#This Row],[Age]]&lt;=50,"36-50",IF(Table1[[#This Row],[Age]]&lt;=65,"51-65","65+"))))</f>
        <v>65+</v>
      </c>
    </row>
    <row r="1591" spans="1:19" x14ac:dyDescent="0.3">
      <c r="A1591" s="3" t="s">
        <v>4782</v>
      </c>
      <c r="B1591" s="3">
        <v>24</v>
      </c>
      <c r="C1591" s="3" t="s">
        <v>16</v>
      </c>
      <c r="D1591" s="3" t="s">
        <v>42</v>
      </c>
      <c r="E1591" s="3" t="s">
        <v>18</v>
      </c>
      <c r="F1591" s="4">
        <v>44136</v>
      </c>
      <c r="G1591" s="3" t="s">
        <v>4783</v>
      </c>
      <c r="H1591" s="3" t="s">
        <v>4784</v>
      </c>
      <c r="I1591" s="3" t="s">
        <v>30</v>
      </c>
      <c r="J1591" s="5">
        <v>7343.5873560876398</v>
      </c>
      <c r="K1591" s="3">
        <v>303</v>
      </c>
      <c r="L1591" s="3" t="s">
        <v>46</v>
      </c>
      <c r="M1591" s="4">
        <v>44162</v>
      </c>
      <c r="N1591" s="3" t="s">
        <v>52</v>
      </c>
      <c r="O1591" s="3" t="s">
        <v>47</v>
      </c>
      <c r="P1591" s="3" t="str">
        <f>IF(Table1[[#This Row],[Billing Amount]]&lt;5000,"Low",IF(Table1[[#This Row],[Billing Amount]]&lt;=15000,"Medium","High"))</f>
        <v>Medium</v>
      </c>
      <c r="Q1591" s="3" t="str">
        <f>IF(Table1[[#This Row],[Discharge Date]]="Yes","Discharged","Under Treatment")</f>
        <v>Under Treatment</v>
      </c>
      <c r="R1591" s="3" t="str">
        <f>IF(Table1[[#This Row],[Test Results]]&gt;120,"High Risk","Normal")</f>
        <v>High Risk</v>
      </c>
      <c r="S1591" s="3" t="str">
        <f>IF(Table1[[#This Row],[Age]]&lt;=18,"0-18",IF(Table1[[#This Row],[Age]]&lt;=35,"19-35",IF(Table1[[#This Row],[Age]]&lt;=50,"36-50",IF(Table1[[#This Row],[Age]]&lt;=65,"51-65","65+"))))</f>
        <v>19-35</v>
      </c>
    </row>
    <row r="1592" spans="1:19" x14ac:dyDescent="0.3">
      <c r="A1592" s="3" t="s">
        <v>4785</v>
      </c>
      <c r="B1592" s="3">
        <v>18</v>
      </c>
      <c r="C1592" s="3" t="s">
        <v>35</v>
      </c>
      <c r="D1592" s="3" t="s">
        <v>103</v>
      </c>
      <c r="E1592" s="3" t="s">
        <v>76</v>
      </c>
      <c r="F1592" s="4">
        <v>45158</v>
      </c>
      <c r="G1592" s="3" t="s">
        <v>4786</v>
      </c>
      <c r="H1592" s="3" t="s">
        <v>4787</v>
      </c>
      <c r="I1592" s="3" t="s">
        <v>57</v>
      </c>
      <c r="J1592" s="5">
        <v>43278.396993048198</v>
      </c>
      <c r="K1592" s="3">
        <v>379</v>
      </c>
      <c r="L1592" s="3" t="s">
        <v>22</v>
      </c>
      <c r="M1592" s="4">
        <v>45179</v>
      </c>
      <c r="N1592" s="3" t="s">
        <v>52</v>
      </c>
      <c r="O1592" s="3" t="s">
        <v>24</v>
      </c>
      <c r="P1592" s="3" t="str">
        <f>IF(Table1[[#This Row],[Billing Amount]]&lt;5000,"Low",IF(Table1[[#This Row],[Billing Amount]]&lt;=15000,"Medium","High"))</f>
        <v>High</v>
      </c>
      <c r="Q1592" s="3" t="str">
        <f>IF(Table1[[#This Row],[Discharge Date]]="Yes","Discharged","Under Treatment")</f>
        <v>Under Treatment</v>
      </c>
      <c r="R1592" s="3" t="str">
        <f>IF(Table1[[#This Row],[Test Results]]&gt;120,"High Risk","Normal")</f>
        <v>High Risk</v>
      </c>
      <c r="S1592" s="3" t="str">
        <f>IF(Table1[[#This Row],[Age]]&lt;=18,"0-18",IF(Table1[[#This Row],[Age]]&lt;=35,"19-35",IF(Table1[[#This Row],[Age]]&lt;=50,"36-50",IF(Table1[[#This Row],[Age]]&lt;=65,"51-65","65+"))))</f>
        <v>0-18</v>
      </c>
    </row>
    <row r="1593" spans="1:19" x14ac:dyDescent="0.3">
      <c r="A1593" s="3" t="s">
        <v>4788</v>
      </c>
      <c r="B1593" s="3">
        <v>76</v>
      </c>
      <c r="C1593" s="3" t="s">
        <v>35</v>
      </c>
      <c r="D1593" s="3" t="s">
        <v>59</v>
      </c>
      <c r="E1593" s="3" t="s">
        <v>18</v>
      </c>
      <c r="F1593" s="4">
        <v>43979</v>
      </c>
      <c r="G1593" s="3" t="s">
        <v>4789</v>
      </c>
      <c r="H1593" s="3" t="s">
        <v>4790</v>
      </c>
      <c r="I1593" s="3" t="s">
        <v>21</v>
      </c>
      <c r="J1593" s="5">
        <v>48823.585393152003</v>
      </c>
      <c r="K1593" s="3">
        <v>195</v>
      </c>
      <c r="L1593" s="3" t="s">
        <v>31</v>
      </c>
      <c r="M1593" s="4">
        <v>44002</v>
      </c>
      <c r="N1593" s="3" t="s">
        <v>79</v>
      </c>
      <c r="O1593" s="3" t="s">
        <v>33</v>
      </c>
      <c r="P1593" s="3" t="str">
        <f>IF(Table1[[#This Row],[Billing Amount]]&lt;5000,"Low",IF(Table1[[#This Row],[Billing Amount]]&lt;=15000,"Medium","High"))</f>
        <v>High</v>
      </c>
      <c r="Q1593" s="3" t="str">
        <f>IF(Table1[[#This Row],[Discharge Date]]="Yes","Discharged","Under Treatment")</f>
        <v>Under Treatment</v>
      </c>
      <c r="R1593" s="3" t="str">
        <f>IF(Table1[[#This Row],[Test Results]]&gt;120,"High Risk","Normal")</f>
        <v>High Risk</v>
      </c>
      <c r="S1593" s="3" t="str">
        <f>IF(Table1[[#This Row],[Age]]&lt;=18,"0-18",IF(Table1[[#This Row],[Age]]&lt;=35,"19-35",IF(Table1[[#This Row],[Age]]&lt;=50,"36-50",IF(Table1[[#This Row],[Age]]&lt;=65,"51-65","65+"))))</f>
        <v>65+</v>
      </c>
    </row>
    <row r="1594" spans="1:19" x14ac:dyDescent="0.3">
      <c r="A1594" s="3" t="s">
        <v>4791</v>
      </c>
      <c r="B1594" s="3">
        <v>41</v>
      </c>
      <c r="C1594" s="3" t="s">
        <v>16</v>
      </c>
      <c r="D1594" s="3" t="s">
        <v>36</v>
      </c>
      <c r="E1594" s="3" t="s">
        <v>18</v>
      </c>
      <c r="F1594" s="4">
        <v>45410</v>
      </c>
      <c r="G1594" s="3" t="s">
        <v>4792</v>
      </c>
      <c r="H1594" s="3" t="s">
        <v>4793</v>
      </c>
      <c r="I1594" s="3" t="s">
        <v>57</v>
      </c>
      <c r="J1594" s="5">
        <v>38205.084909237499</v>
      </c>
      <c r="K1594" s="3">
        <v>265</v>
      </c>
      <c r="L1594" s="3" t="s">
        <v>46</v>
      </c>
      <c r="M1594" s="4">
        <v>45413</v>
      </c>
      <c r="N1594" s="3" t="s">
        <v>32</v>
      </c>
      <c r="O1594" s="3" t="s">
        <v>47</v>
      </c>
      <c r="P1594" s="3" t="str">
        <f>IF(Table1[[#This Row],[Billing Amount]]&lt;5000,"Low",IF(Table1[[#This Row],[Billing Amount]]&lt;=15000,"Medium","High"))</f>
        <v>High</v>
      </c>
      <c r="Q1594" s="3" t="str">
        <f>IF(Table1[[#This Row],[Discharge Date]]="Yes","Discharged","Under Treatment")</f>
        <v>Under Treatment</v>
      </c>
      <c r="R1594" s="3" t="str">
        <f>IF(Table1[[#This Row],[Test Results]]&gt;120,"High Risk","Normal")</f>
        <v>High Risk</v>
      </c>
      <c r="S1594" s="3" t="str">
        <f>IF(Table1[[#This Row],[Age]]&lt;=18,"0-18",IF(Table1[[#This Row],[Age]]&lt;=35,"19-35",IF(Table1[[#This Row],[Age]]&lt;=50,"36-50",IF(Table1[[#This Row],[Age]]&lt;=65,"51-65","65+"))))</f>
        <v>36-50</v>
      </c>
    </row>
    <row r="1595" spans="1:19" x14ac:dyDescent="0.3">
      <c r="A1595" s="3" t="s">
        <v>4794</v>
      </c>
      <c r="B1595" s="3">
        <v>37</v>
      </c>
      <c r="C1595" s="3" t="s">
        <v>35</v>
      </c>
      <c r="D1595" s="3" t="s">
        <v>49</v>
      </c>
      <c r="E1595" s="3" t="s">
        <v>93</v>
      </c>
      <c r="F1595" s="4">
        <v>45014</v>
      </c>
      <c r="G1595" s="3" t="s">
        <v>4795</v>
      </c>
      <c r="H1595" s="3" t="s">
        <v>4796</v>
      </c>
      <c r="I1595" s="3" t="s">
        <v>65</v>
      </c>
      <c r="J1595" s="5">
        <v>27898.605005564699</v>
      </c>
      <c r="K1595" s="3">
        <v>328</v>
      </c>
      <c r="L1595" s="3" t="s">
        <v>31</v>
      </c>
      <c r="M1595" s="4">
        <v>45032</v>
      </c>
      <c r="N1595" s="3" t="s">
        <v>52</v>
      </c>
      <c r="O1595" s="3" t="s">
        <v>33</v>
      </c>
      <c r="P1595" s="3" t="str">
        <f>IF(Table1[[#This Row],[Billing Amount]]&lt;5000,"Low",IF(Table1[[#This Row],[Billing Amount]]&lt;=15000,"Medium","High"))</f>
        <v>High</v>
      </c>
      <c r="Q1595" s="3" t="str">
        <f>IF(Table1[[#This Row],[Discharge Date]]="Yes","Discharged","Under Treatment")</f>
        <v>Under Treatment</v>
      </c>
      <c r="R1595" s="3" t="str">
        <f>IF(Table1[[#This Row],[Test Results]]&gt;120,"High Risk","Normal")</f>
        <v>High Risk</v>
      </c>
      <c r="S1595" s="3" t="str">
        <f>IF(Table1[[#This Row],[Age]]&lt;=18,"0-18",IF(Table1[[#This Row],[Age]]&lt;=35,"19-35",IF(Table1[[#This Row],[Age]]&lt;=50,"36-50",IF(Table1[[#This Row],[Age]]&lt;=65,"51-65","65+"))))</f>
        <v>36-50</v>
      </c>
    </row>
    <row r="1596" spans="1:19" x14ac:dyDescent="0.3">
      <c r="A1596" s="3" t="s">
        <v>4798</v>
      </c>
      <c r="B1596" s="3">
        <v>72</v>
      </c>
      <c r="C1596" s="3" t="s">
        <v>16</v>
      </c>
      <c r="D1596" s="3" t="s">
        <v>17</v>
      </c>
      <c r="E1596" s="3" t="s">
        <v>27</v>
      </c>
      <c r="F1596" s="4">
        <v>44615</v>
      </c>
      <c r="G1596" s="3" t="s">
        <v>4799</v>
      </c>
      <c r="H1596" s="3" t="s">
        <v>4800</v>
      </c>
      <c r="I1596" s="3" t="s">
        <v>21</v>
      </c>
      <c r="J1596" s="5">
        <v>41786.911732694003</v>
      </c>
      <c r="K1596" s="3">
        <v>359</v>
      </c>
      <c r="L1596" s="3" t="s">
        <v>22</v>
      </c>
      <c r="M1596" s="4">
        <v>44635</v>
      </c>
      <c r="N1596" s="3" t="s">
        <v>40</v>
      </c>
      <c r="O1596" s="3" t="s">
        <v>47</v>
      </c>
      <c r="P1596" s="3" t="str">
        <f>IF(Table1[[#This Row],[Billing Amount]]&lt;5000,"Low",IF(Table1[[#This Row],[Billing Amount]]&lt;=15000,"Medium","High"))</f>
        <v>High</v>
      </c>
      <c r="Q1596" s="3" t="str">
        <f>IF(Table1[[#This Row],[Discharge Date]]="Yes","Discharged","Under Treatment")</f>
        <v>Under Treatment</v>
      </c>
      <c r="R1596" s="3" t="str">
        <f>IF(Table1[[#This Row],[Test Results]]&gt;120,"High Risk","Normal")</f>
        <v>High Risk</v>
      </c>
      <c r="S1596" s="3" t="str">
        <f>IF(Table1[[#This Row],[Age]]&lt;=18,"0-18",IF(Table1[[#This Row],[Age]]&lt;=35,"19-35",IF(Table1[[#This Row],[Age]]&lt;=50,"36-50",IF(Table1[[#This Row],[Age]]&lt;=65,"51-65","65+"))))</f>
        <v>65+</v>
      </c>
    </row>
    <row r="1597" spans="1:19" x14ac:dyDescent="0.3">
      <c r="A1597" s="3" t="s">
        <v>4801</v>
      </c>
      <c r="B1597" s="3">
        <v>53</v>
      </c>
      <c r="C1597" s="3" t="s">
        <v>35</v>
      </c>
      <c r="D1597" s="3" t="s">
        <v>103</v>
      </c>
      <c r="E1597" s="3" t="s">
        <v>18</v>
      </c>
      <c r="F1597" s="4">
        <v>44520</v>
      </c>
      <c r="G1597" s="3" t="s">
        <v>4802</v>
      </c>
      <c r="H1597" s="3" t="s">
        <v>4803</v>
      </c>
      <c r="I1597" s="3" t="s">
        <v>21</v>
      </c>
      <c r="J1597" s="5">
        <v>28014.394118701999</v>
      </c>
      <c r="K1597" s="3">
        <v>111</v>
      </c>
      <c r="L1597" s="3" t="s">
        <v>46</v>
      </c>
      <c r="M1597" s="4">
        <v>44543</v>
      </c>
      <c r="N1597" s="3" t="s">
        <v>32</v>
      </c>
      <c r="O1597" s="3" t="s">
        <v>33</v>
      </c>
      <c r="P1597" s="3" t="str">
        <f>IF(Table1[[#This Row],[Billing Amount]]&lt;5000,"Low",IF(Table1[[#This Row],[Billing Amount]]&lt;=15000,"Medium","High"))</f>
        <v>High</v>
      </c>
      <c r="Q1597" s="3" t="str">
        <f>IF(Table1[[#This Row],[Discharge Date]]="Yes","Discharged","Under Treatment")</f>
        <v>Under Treatment</v>
      </c>
      <c r="R1597" s="3" t="str">
        <f>IF(Table1[[#This Row],[Test Results]]&gt;120,"High Risk","Normal")</f>
        <v>High Risk</v>
      </c>
      <c r="S1597" s="3" t="str">
        <f>IF(Table1[[#This Row],[Age]]&lt;=18,"0-18",IF(Table1[[#This Row],[Age]]&lt;=35,"19-35",IF(Table1[[#This Row],[Age]]&lt;=50,"36-50",IF(Table1[[#This Row],[Age]]&lt;=65,"51-65","65+"))))</f>
        <v>51-65</v>
      </c>
    </row>
    <row r="1598" spans="1:19" x14ac:dyDescent="0.3">
      <c r="A1598" s="3" t="s">
        <v>4804</v>
      </c>
      <c r="B1598" s="3">
        <v>76</v>
      </c>
      <c r="C1598" s="3" t="s">
        <v>35</v>
      </c>
      <c r="D1598" s="3" t="s">
        <v>42</v>
      </c>
      <c r="E1598" s="3" t="s">
        <v>43</v>
      </c>
      <c r="F1598" s="4">
        <v>45003</v>
      </c>
      <c r="G1598" s="3" t="s">
        <v>4255</v>
      </c>
      <c r="H1598" s="3" t="s">
        <v>4805</v>
      </c>
      <c r="I1598" s="3" t="s">
        <v>65</v>
      </c>
      <c r="J1598" s="5">
        <v>11857.5801329651</v>
      </c>
      <c r="K1598" s="3">
        <v>291</v>
      </c>
      <c r="L1598" s="3" t="s">
        <v>22</v>
      </c>
      <c r="M1598" s="4">
        <v>45022</v>
      </c>
      <c r="N1598" s="3" t="s">
        <v>32</v>
      </c>
      <c r="O1598" s="3" t="s">
        <v>33</v>
      </c>
      <c r="P1598" s="3" t="str">
        <f>IF(Table1[[#This Row],[Billing Amount]]&lt;5000,"Low",IF(Table1[[#This Row],[Billing Amount]]&lt;=15000,"Medium","High"))</f>
        <v>Medium</v>
      </c>
      <c r="Q1598" s="3" t="str">
        <f>IF(Table1[[#This Row],[Discharge Date]]="Yes","Discharged","Under Treatment")</f>
        <v>Under Treatment</v>
      </c>
      <c r="R1598" s="3" t="str">
        <f>IF(Table1[[#This Row],[Test Results]]&gt;120,"High Risk","Normal")</f>
        <v>High Risk</v>
      </c>
      <c r="S1598" s="3" t="str">
        <f>IF(Table1[[#This Row],[Age]]&lt;=18,"0-18",IF(Table1[[#This Row],[Age]]&lt;=35,"19-35",IF(Table1[[#This Row],[Age]]&lt;=50,"36-50",IF(Table1[[#This Row],[Age]]&lt;=65,"51-65","65+"))))</f>
        <v>65+</v>
      </c>
    </row>
    <row r="1599" spans="1:19" x14ac:dyDescent="0.3">
      <c r="A1599" s="3" t="s">
        <v>4806</v>
      </c>
      <c r="B1599" s="3">
        <v>84</v>
      </c>
      <c r="C1599" s="3" t="s">
        <v>16</v>
      </c>
      <c r="D1599" s="3" t="s">
        <v>26</v>
      </c>
      <c r="E1599" s="3" t="s">
        <v>27</v>
      </c>
      <c r="F1599" s="4">
        <v>45208</v>
      </c>
      <c r="G1599" s="3" t="s">
        <v>4807</v>
      </c>
      <c r="H1599" s="3" t="s">
        <v>4808</v>
      </c>
      <c r="I1599" s="3" t="s">
        <v>21</v>
      </c>
      <c r="J1599" s="5">
        <v>39038.248861168096</v>
      </c>
      <c r="K1599" s="3">
        <v>363</v>
      </c>
      <c r="L1599" s="3" t="s">
        <v>31</v>
      </c>
      <c r="M1599" s="4">
        <v>45238</v>
      </c>
      <c r="N1599" s="3" t="s">
        <v>32</v>
      </c>
      <c r="O1599" s="3" t="s">
        <v>33</v>
      </c>
      <c r="P1599" s="3" t="str">
        <f>IF(Table1[[#This Row],[Billing Amount]]&lt;5000,"Low",IF(Table1[[#This Row],[Billing Amount]]&lt;=15000,"Medium","High"))</f>
        <v>High</v>
      </c>
      <c r="Q1599" s="3" t="str">
        <f>IF(Table1[[#This Row],[Discharge Date]]="Yes","Discharged","Under Treatment")</f>
        <v>Under Treatment</v>
      </c>
      <c r="R1599" s="3" t="str">
        <f>IF(Table1[[#This Row],[Test Results]]&gt;120,"High Risk","Normal")</f>
        <v>High Risk</v>
      </c>
      <c r="S1599" s="3" t="str">
        <f>IF(Table1[[#This Row],[Age]]&lt;=18,"0-18",IF(Table1[[#This Row],[Age]]&lt;=35,"19-35",IF(Table1[[#This Row],[Age]]&lt;=50,"36-50",IF(Table1[[#This Row],[Age]]&lt;=65,"51-65","65+"))))</f>
        <v>65+</v>
      </c>
    </row>
    <row r="1600" spans="1:19" x14ac:dyDescent="0.3">
      <c r="A1600" s="3" t="s">
        <v>4809</v>
      </c>
      <c r="B1600" s="3">
        <v>18</v>
      </c>
      <c r="C1600" s="3" t="s">
        <v>35</v>
      </c>
      <c r="D1600" s="3" t="s">
        <v>59</v>
      </c>
      <c r="E1600" s="3" t="s">
        <v>43</v>
      </c>
      <c r="F1600" s="4">
        <v>44185</v>
      </c>
      <c r="G1600" s="3" t="s">
        <v>4810</v>
      </c>
      <c r="H1600" s="3" t="s">
        <v>4811</v>
      </c>
      <c r="I1600" s="3" t="s">
        <v>57</v>
      </c>
      <c r="J1600" s="5">
        <v>10896.1748362701</v>
      </c>
      <c r="K1600" s="3">
        <v>158</v>
      </c>
      <c r="L1600" s="3" t="s">
        <v>31</v>
      </c>
      <c r="M1600" s="4">
        <v>44200</v>
      </c>
      <c r="N1600" s="3" t="s">
        <v>79</v>
      </c>
      <c r="O1600" s="3" t="s">
        <v>33</v>
      </c>
      <c r="P1600" s="3" t="str">
        <f>IF(Table1[[#This Row],[Billing Amount]]&lt;5000,"Low",IF(Table1[[#This Row],[Billing Amount]]&lt;=15000,"Medium","High"))</f>
        <v>Medium</v>
      </c>
      <c r="Q1600" s="3" t="str">
        <f>IF(Table1[[#This Row],[Discharge Date]]="Yes","Discharged","Under Treatment")</f>
        <v>Under Treatment</v>
      </c>
      <c r="R1600" s="3" t="str">
        <f>IF(Table1[[#This Row],[Test Results]]&gt;120,"High Risk","Normal")</f>
        <v>High Risk</v>
      </c>
      <c r="S1600" s="3" t="str">
        <f>IF(Table1[[#This Row],[Age]]&lt;=18,"0-18",IF(Table1[[#This Row],[Age]]&lt;=35,"19-35",IF(Table1[[#This Row],[Age]]&lt;=50,"36-50",IF(Table1[[#This Row],[Age]]&lt;=65,"51-65","65+"))))</f>
        <v>0-18</v>
      </c>
    </row>
    <row r="1601" spans="1:19" x14ac:dyDescent="0.3">
      <c r="A1601" s="3" t="s">
        <v>4812</v>
      </c>
      <c r="B1601" s="3">
        <v>71</v>
      </c>
      <c r="C1601" s="3" t="s">
        <v>35</v>
      </c>
      <c r="D1601" s="3" t="s">
        <v>103</v>
      </c>
      <c r="E1601" s="3" t="s">
        <v>18</v>
      </c>
      <c r="F1601" s="4">
        <v>44334</v>
      </c>
      <c r="G1601" s="3" t="s">
        <v>4813</v>
      </c>
      <c r="H1601" s="3" t="s">
        <v>4814</v>
      </c>
      <c r="I1601" s="3" t="s">
        <v>21</v>
      </c>
      <c r="J1601" s="5">
        <v>45376.708852327203</v>
      </c>
      <c r="K1601" s="3">
        <v>325</v>
      </c>
      <c r="L1601" s="3" t="s">
        <v>46</v>
      </c>
      <c r="M1601" s="4">
        <v>44348</v>
      </c>
      <c r="N1601" s="3" t="s">
        <v>23</v>
      </c>
      <c r="O1601" s="3" t="s">
        <v>33</v>
      </c>
      <c r="P1601" s="3" t="str">
        <f>IF(Table1[[#This Row],[Billing Amount]]&lt;5000,"Low",IF(Table1[[#This Row],[Billing Amount]]&lt;=15000,"Medium","High"))</f>
        <v>High</v>
      </c>
      <c r="Q1601" s="3" t="str">
        <f>IF(Table1[[#This Row],[Discharge Date]]="Yes","Discharged","Under Treatment")</f>
        <v>Under Treatment</v>
      </c>
      <c r="R1601" s="3" t="str">
        <f>IF(Table1[[#This Row],[Test Results]]&gt;120,"High Risk","Normal")</f>
        <v>High Risk</v>
      </c>
      <c r="S1601" s="3" t="str">
        <f>IF(Table1[[#This Row],[Age]]&lt;=18,"0-18",IF(Table1[[#This Row],[Age]]&lt;=35,"19-35",IF(Table1[[#This Row],[Age]]&lt;=50,"36-50",IF(Table1[[#This Row],[Age]]&lt;=65,"51-65","65+"))))</f>
        <v>65+</v>
      </c>
    </row>
    <row r="1602" spans="1:19" x14ac:dyDescent="0.3">
      <c r="A1602" s="3" t="s">
        <v>4815</v>
      </c>
      <c r="B1602" s="3">
        <v>50</v>
      </c>
      <c r="C1602" s="3" t="s">
        <v>16</v>
      </c>
      <c r="D1602" s="3" t="s">
        <v>17</v>
      </c>
      <c r="E1602" s="3" t="s">
        <v>18</v>
      </c>
      <c r="F1602" s="4">
        <v>43739</v>
      </c>
      <c r="G1602" s="3" t="s">
        <v>4816</v>
      </c>
      <c r="H1602" s="3" t="s">
        <v>4817</v>
      </c>
      <c r="I1602" s="3" t="s">
        <v>65</v>
      </c>
      <c r="J1602" s="5">
        <v>32524.952658964601</v>
      </c>
      <c r="K1602" s="3">
        <v>496</v>
      </c>
      <c r="L1602" s="3" t="s">
        <v>46</v>
      </c>
      <c r="M1602" s="4">
        <v>43751</v>
      </c>
      <c r="N1602" s="3" t="s">
        <v>79</v>
      </c>
      <c r="O1602" s="3" t="s">
        <v>24</v>
      </c>
      <c r="P1602" s="3" t="str">
        <f>IF(Table1[[#This Row],[Billing Amount]]&lt;5000,"Low",IF(Table1[[#This Row],[Billing Amount]]&lt;=15000,"Medium","High"))</f>
        <v>High</v>
      </c>
      <c r="Q1602" s="3" t="str">
        <f>IF(Table1[[#This Row],[Discharge Date]]="Yes","Discharged","Under Treatment")</f>
        <v>Under Treatment</v>
      </c>
      <c r="R1602" s="3" t="str">
        <f>IF(Table1[[#This Row],[Test Results]]&gt;120,"High Risk","Normal")</f>
        <v>High Risk</v>
      </c>
      <c r="S1602" s="3" t="str">
        <f>IF(Table1[[#This Row],[Age]]&lt;=18,"0-18",IF(Table1[[#This Row],[Age]]&lt;=35,"19-35",IF(Table1[[#This Row],[Age]]&lt;=50,"36-50",IF(Table1[[#This Row],[Age]]&lt;=65,"51-65","65+"))))</f>
        <v>36-50</v>
      </c>
    </row>
    <row r="1603" spans="1:19" x14ac:dyDescent="0.3">
      <c r="A1603" s="3" t="s">
        <v>4818</v>
      </c>
      <c r="B1603" s="3">
        <v>63</v>
      </c>
      <c r="C1603" s="3" t="s">
        <v>35</v>
      </c>
      <c r="D1603" s="3" t="s">
        <v>122</v>
      </c>
      <c r="E1603" s="3" t="s">
        <v>43</v>
      </c>
      <c r="F1603" s="4">
        <v>43612</v>
      </c>
      <c r="G1603" s="3" t="s">
        <v>4819</v>
      </c>
      <c r="H1603" s="3" t="s">
        <v>4820</v>
      </c>
      <c r="I1603" s="3" t="s">
        <v>65</v>
      </c>
      <c r="J1603" s="5">
        <v>42564.761196594598</v>
      </c>
      <c r="K1603" s="3">
        <v>496</v>
      </c>
      <c r="L1603" s="3" t="s">
        <v>46</v>
      </c>
      <c r="M1603" s="4">
        <v>43628</v>
      </c>
      <c r="N1603" s="3" t="s">
        <v>32</v>
      </c>
      <c r="O1603" s="3" t="s">
        <v>24</v>
      </c>
      <c r="P1603" s="3" t="str">
        <f>IF(Table1[[#This Row],[Billing Amount]]&lt;5000,"Low",IF(Table1[[#This Row],[Billing Amount]]&lt;=15000,"Medium","High"))</f>
        <v>High</v>
      </c>
      <c r="Q1603" s="3" t="str">
        <f>IF(Table1[[#This Row],[Discharge Date]]="Yes","Discharged","Under Treatment")</f>
        <v>Under Treatment</v>
      </c>
      <c r="R1603" s="3" t="str">
        <f>IF(Table1[[#This Row],[Test Results]]&gt;120,"High Risk","Normal")</f>
        <v>High Risk</v>
      </c>
      <c r="S1603" s="3" t="str">
        <f>IF(Table1[[#This Row],[Age]]&lt;=18,"0-18",IF(Table1[[#This Row],[Age]]&lt;=35,"19-35",IF(Table1[[#This Row],[Age]]&lt;=50,"36-50",IF(Table1[[#This Row],[Age]]&lt;=65,"51-65","65+"))))</f>
        <v>51-65</v>
      </c>
    </row>
    <row r="1604" spans="1:19" x14ac:dyDescent="0.3">
      <c r="A1604" s="3" t="s">
        <v>4821</v>
      </c>
      <c r="B1604" s="3">
        <v>26</v>
      </c>
      <c r="C1604" s="3" t="s">
        <v>16</v>
      </c>
      <c r="D1604" s="3" t="s">
        <v>17</v>
      </c>
      <c r="E1604" s="3" t="s">
        <v>18</v>
      </c>
      <c r="F1604" s="4">
        <v>44999</v>
      </c>
      <c r="G1604" s="3" t="s">
        <v>4822</v>
      </c>
      <c r="H1604" s="3" t="s">
        <v>4823</v>
      </c>
      <c r="I1604" s="3" t="s">
        <v>21</v>
      </c>
      <c r="J1604" s="5">
        <v>25416.332602473802</v>
      </c>
      <c r="K1604" s="3">
        <v>401</v>
      </c>
      <c r="L1604" s="3" t="s">
        <v>46</v>
      </c>
      <c r="M1604" s="4">
        <v>45000</v>
      </c>
      <c r="N1604" s="3" t="s">
        <v>52</v>
      </c>
      <c r="O1604" s="3" t="s">
        <v>47</v>
      </c>
      <c r="P1604" s="3" t="str">
        <f>IF(Table1[[#This Row],[Billing Amount]]&lt;5000,"Low",IF(Table1[[#This Row],[Billing Amount]]&lt;=15000,"Medium","High"))</f>
        <v>High</v>
      </c>
      <c r="Q1604" s="3" t="str">
        <f>IF(Table1[[#This Row],[Discharge Date]]="Yes","Discharged","Under Treatment")</f>
        <v>Under Treatment</v>
      </c>
      <c r="R1604" s="3" t="str">
        <f>IF(Table1[[#This Row],[Test Results]]&gt;120,"High Risk","Normal")</f>
        <v>High Risk</v>
      </c>
      <c r="S1604" s="3" t="str">
        <f>IF(Table1[[#This Row],[Age]]&lt;=18,"0-18",IF(Table1[[#This Row],[Age]]&lt;=35,"19-35",IF(Table1[[#This Row],[Age]]&lt;=50,"36-50",IF(Table1[[#This Row],[Age]]&lt;=65,"51-65","65+"))))</f>
        <v>19-35</v>
      </c>
    </row>
    <row r="1605" spans="1:19" x14ac:dyDescent="0.3">
      <c r="A1605" s="3" t="s">
        <v>4824</v>
      </c>
      <c r="B1605" s="3">
        <v>38</v>
      </c>
      <c r="C1605" s="3" t="s">
        <v>16</v>
      </c>
      <c r="D1605" s="3" t="s">
        <v>42</v>
      </c>
      <c r="E1605" s="3" t="s">
        <v>54</v>
      </c>
      <c r="F1605" s="4">
        <v>43823</v>
      </c>
      <c r="G1605" s="3" t="s">
        <v>4825</v>
      </c>
      <c r="H1605" s="3" t="s">
        <v>4826</v>
      </c>
      <c r="I1605" s="3" t="s">
        <v>57</v>
      </c>
      <c r="J1605" s="5">
        <v>21098.866874322499</v>
      </c>
      <c r="K1605" s="3">
        <v>235</v>
      </c>
      <c r="L1605" s="3" t="s">
        <v>31</v>
      </c>
      <c r="M1605" s="4">
        <v>43831</v>
      </c>
      <c r="N1605" s="3" t="s">
        <v>79</v>
      </c>
      <c r="O1605" s="3" t="s">
        <v>47</v>
      </c>
      <c r="P1605" s="3" t="str">
        <f>IF(Table1[[#This Row],[Billing Amount]]&lt;5000,"Low",IF(Table1[[#This Row],[Billing Amount]]&lt;=15000,"Medium","High"))</f>
        <v>High</v>
      </c>
      <c r="Q1605" s="3" t="str">
        <f>IF(Table1[[#This Row],[Discharge Date]]="Yes","Discharged","Under Treatment")</f>
        <v>Under Treatment</v>
      </c>
      <c r="R1605" s="3" t="str">
        <f>IF(Table1[[#This Row],[Test Results]]&gt;120,"High Risk","Normal")</f>
        <v>High Risk</v>
      </c>
      <c r="S1605" s="3" t="str">
        <f>IF(Table1[[#This Row],[Age]]&lt;=18,"0-18",IF(Table1[[#This Row],[Age]]&lt;=35,"19-35",IF(Table1[[#This Row],[Age]]&lt;=50,"36-50",IF(Table1[[#This Row],[Age]]&lt;=65,"51-65","65+"))))</f>
        <v>36-50</v>
      </c>
    </row>
    <row r="1606" spans="1:19" x14ac:dyDescent="0.3">
      <c r="A1606" s="3" t="s">
        <v>4828</v>
      </c>
      <c r="B1606" s="3">
        <v>25</v>
      </c>
      <c r="C1606" s="3" t="s">
        <v>16</v>
      </c>
      <c r="D1606" s="3" t="s">
        <v>49</v>
      </c>
      <c r="E1606" s="3" t="s">
        <v>54</v>
      </c>
      <c r="F1606" s="4">
        <v>43681</v>
      </c>
      <c r="G1606" s="3" t="s">
        <v>4829</v>
      </c>
      <c r="H1606" s="3" t="s">
        <v>4830</v>
      </c>
      <c r="I1606" s="3" t="s">
        <v>21</v>
      </c>
      <c r="J1606" s="5">
        <v>15909.058669416099</v>
      </c>
      <c r="K1606" s="3">
        <v>101</v>
      </c>
      <c r="L1606" s="3" t="s">
        <v>31</v>
      </c>
      <c r="M1606" s="4">
        <v>43705</v>
      </c>
      <c r="N1606" s="3" t="s">
        <v>40</v>
      </c>
      <c r="O1606" s="3" t="s">
        <v>47</v>
      </c>
      <c r="P1606" s="3" t="str">
        <f>IF(Table1[[#This Row],[Billing Amount]]&lt;5000,"Low",IF(Table1[[#This Row],[Billing Amount]]&lt;=15000,"Medium","High"))</f>
        <v>High</v>
      </c>
      <c r="Q1606" s="3" t="str">
        <f>IF(Table1[[#This Row],[Discharge Date]]="Yes","Discharged","Under Treatment")</f>
        <v>Under Treatment</v>
      </c>
      <c r="R1606" s="3" t="str">
        <f>IF(Table1[[#This Row],[Test Results]]&gt;120,"High Risk","Normal")</f>
        <v>High Risk</v>
      </c>
      <c r="S1606" s="3" t="str">
        <f>IF(Table1[[#This Row],[Age]]&lt;=18,"0-18",IF(Table1[[#This Row],[Age]]&lt;=35,"19-35",IF(Table1[[#This Row],[Age]]&lt;=50,"36-50",IF(Table1[[#This Row],[Age]]&lt;=65,"51-65","65+"))))</f>
        <v>19-35</v>
      </c>
    </row>
    <row r="1607" spans="1:19" x14ac:dyDescent="0.3">
      <c r="A1607" s="3" t="s">
        <v>4832</v>
      </c>
      <c r="B1607" s="3">
        <v>71</v>
      </c>
      <c r="C1607" s="3" t="s">
        <v>35</v>
      </c>
      <c r="D1607" s="3" t="s">
        <v>59</v>
      </c>
      <c r="E1607" s="3" t="s">
        <v>27</v>
      </c>
      <c r="F1607" s="4">
        <v>44353</v>
      </c>
      <c r="G1607" s="3" t="s">
        <v>4833</v>
      </c>
      <c r="H1607" s="3" t="s">
        <v>4834</v>
      </c>
      <c r="I1607" s="3" t="s">
        <v>65</v>
      </c>
      <c r="J1607" s="5">
        <v>43526.016303054603</v>
      </c>
      <c r="K1607" s="3">
        <v>181</v>
      </c>
      <c r="L1607" s="3" t="s">
        <v>46</v>
      </c>
      <c r="M1607" s="4">
        <v>44366</v>
      </c>
      <c r="N1607" s="3" t="s">
        <v>40</v>
      </c>
      <c r="O1607" s="3" t="s">
        <v>33</v>
      </c>
      <c r="P1607" s="3" t="str">
        <f>IF(Table1[[#This Row],[Billing Amount]]&lt;5000,"Low",IF(Table1[[#This Row],[Billing Amount]]&lt;=15000,"Medium","High"))</f>
        <v>High</v>
      </c>
      <c r="Q1607" s="3" t="str">
        <f>IF(Table1[[#This Row],[Discharge Date]]="Yes","Discharged","Under Treatment")</f>
        <v>Under Treatment</v>
      </c>
      <c r="R1607" s="3" t="str">
        <f>IF(Table1[[#This Row],[Test Results]]&gt;120,"High Risk","Normal")</f>
        <v>High Risk</v>
      </c>
      <c r="S1607" s="3" t="str">
        <f>IF(Table1[[#This Row],[Age]]&lt;=18,"0-18",IF(Table1[[#This Row],[Age]]&lt;=35,"19-35",IF(Table1[[#This Row],[Age]]&lt;=50,"36-50",IF(Table1[[#This Row],[Age]]&lt;=65,"51-65","65+"))))</f>
        <v>65+</v>
      </c>
    </row>
    <row r="1608" spans="1:19" x14ac:dyDescent="0.3">
      <c r="A1608" s="3" t="s">
        <v>4835</v>
      </c>
      <c r="B1608" s="3">
        <v>21</v>
      </c>
      <c r="C1608" s="3" t="s">
        <v>16</v>
      </c>
      <c r="D1608" s="3" t="s">
        <v>17</v>
      </c>
      <c r="E1608" s="3" t="s">
        <v>43</v>
      </c>
      <c r="F1608" s="4">
        <v>45269</v>
      </c>
      <c r="G1608" s="3" t="s">
        <v>4836</v>
      </c>
      <c r="H1608" s="3" t="s">
        <v>4837</v>
      </c>
      <c r="I1608" s="3" t="s">
        <v>39</v>
      </c>
      <c r="J1608" s="5">
        <v>7067.2177202957</v>
      </c>
      <c r="K1608" s="3">
        <v>363</v>
      </c>
      <c r="L1608" s="3" t="s">
        <v>22</v>
      </c>
      <c r="M1608" s="4">
        <v>45271</v>
      </c>
      <c r="N1608" s="3" t="s">
        <v>23</v>
      </c>
      <c r="O1608" s="3" t="s">
        <v>24</v>
      </c>
      <c r="P1608" s="3" t="str">
        <f>IF(Table1[[#This Row],[Billing Amount]]&lt;5000,"Low",IF(Table1[[#This Row],[Billing Amount]]&lt;=15000,"Medium","High"))</f>
        <v>Medium</v>
      </c>
      <c r="Q1608" s="3" t="str">
        <f>IF(Table1[[#This Row],[Discharge Date]]="Yes","Discharged","Under Treatment")</f>
        <v>Under Treatment</v>
      </c>
      <c r="R1608" s="3" t="str">
        <f>IF(Table1[[#This Row],[Test Results]]&gt;120,"High Risk","Normal")</f>
        <v>High Risk</v>
      </c>
      <c r="S1608" s="3" t="str">
        <f>IF(Table1[[#This Row],[Age]]&lt;=18,"0-18",IF(Table1[[#This Row],[Age]]&lt;=35,"19-35",IF(Table1[[#This Row],[Age]]&lt;=50,"36-50",IF(Table1[[#This Row],[Age]]&lt;=65,"51-65","65+"))))</f>
        <v>19-35</v>
      </c>
    </row>
    <row r="1609" spans="1:19" x14ac:dyDescent="0.3">
      <c r="A1609" s="3" t="s">
        <v>4838</v>
      </c>
      <c r="B1609" s="3">
        <v>28</v>
      </c>
      <c r="C1609" s="3" t="s">
        <v>16</v>
      </c>
      <c r="D1609" s="3" t="s">
        <v>26</v>
      </c>
      <c r="E1609" s="3" t="s">
        <v>76</v>
      </c>
      <c r="F1609" s="4">
        <v>43806</v>
      </c>
      <c r="G1609" s="3" t="s">
        <v>4839</v>
      </c>
      <c r="H1609" s="3" t="s">
        <v>4840</v>
      </c>
      <c r="I1609" s="3" t="s">
        <v>21</v>
      </c>
      <c r="J1609" s="5">
        <v>7081.8473437647599</v>
      </c>
      <c r="K1609" s="3">
        <v>388</v>
      </c>
      <c r="L1609" s="3" t="s">
        <v>22</v>
      </c>
      <c r="M1609" s="4">
        <v>43808</v>
      </c>
      <c r="N1609" s="3" t="s">
        <v>52</v>
      </c>
      <c r="O1609" s="3" t="s">
        <v>24</v>
      </c>
      <c r="P1609" s="3" t="str">
        <f>IF(Table1[[#This Row],[Billing Amount]]&lt;5000,"Low",IF(Table1[[#This Row],[Billing Amount]]&lt;=15000,"Medium","High"))</f>
        <v>Medium</v>
      </c>
      <c r="Q1609" s="3" t="str">
        <f>IF(Table1[[#This Row],[Discharge Date]]="Yes","Discharged","Under Treatment")</f>
        <v>Under Treatment</v>
      </c>
      <c r="R1609" s="3" t="str">
        <f>IF(Table1[[#This Row],[Test Results]]&gt;120,"High Risk","Normal")</f>
        <v>High Risk</v>
      </c>
      <c r="S1609" s="3" t="str">
        <f>IF(Table1[[#This Row],[Age]]&lt;=18,"0-18",IF(Table1[[#This Row],[Age]]&lt;=35,"19-35",IF(Table1[[#This Row],[Age]]&lt;=50,"36-50",IF(Table1[[#This Row],[Age]]&lt;=65,"51-65","65+"))))</f>
        <v>19-35</v>
      </c>
    </row>
    <row r="1610" spans="1:19" x14ac:dyDescent="0.3">
      <c r="A1610" s="3" t="s">
        <v>4841</v>
      </c>
      <c r="B1610" s="3">
        <v>76</v>
      </c>
      <c r="C1610" s="3" t="s">
        <v>16</v>
      </c>
      <c r="D1610" s="3" t="s">
        <v>49</v>
      </c>
      <c r="E1610" s="3" t="s">
        <v>54</v>
      </c>
      <c r="F1610" s="4">
        <v>44379</v>
      </c>
      <c r="G1610" s="3" t="s">
        <v>4842</v>
      </c>
      <c r="H1610" s="3" t="s">
        <v>4843</v>
      </c>
      <c r="I1610" s="3" t="s">
        <v>65</v>
      </c>
      <c r="J1610" s="5">
        <v>34231.593180765303</v>
      </c>
      <c r="K1610" s="3">
        <v>317</v>
      </c>
      <c r="L1610" s="3" t="s">
        <v>22</v>
      </c>
      <c r="M1610" s="4">
        <v>44393</v>
      </c>
      <c r="N1610" s="3" t="s">
        <v>32</v>
      </c>
      <c r="O1610" s="3" t="s">
        <v>47</v>
      </c>
      <c r="P1610" s="3" t="str">
        <f>IF(Table1[[#This Row],[Billing Amount]]&lt;5000,"Low",IF(Table1[[#This Row],[Billing Amount]]&lt;=15000,"Medium","High"))</f>
        <v>High</v>
      </c>
      <c r="Q1610" s="3" t="str">
        <f>IF(Table1[[#This Row],[Discharge Date]]="Yes","Discharged","Under Treatment")</f>
        <v>Under Treatment</v>
      </c>
      <c r="R1610" s="3" t="str">
        <f>IF(Table1[[#This Row],[Test Results]]&gt;120,"High Risk","Normal")</f>
        <v>High Risk</v>
      </c>
      <c r="S1610" s="3" t="str">
        <f>IF(Table1[[#This Row],[Age]]&lt;=18,"0-18",IF(Table1[[#This Row],[Age]]&lt;=35,"19-35",IF(Table1[[#This Row],[Age]]&lt;=50,"36-50",IF(Table1[[#This Row],[Age]]&lt;=65,"51-65","65+"))))</f>
        <v>65+</v>
      </c>
    </row>
    <row r="1611" spans="1:19" x14ac:dyDescent="0.3">
      <c r="A1611" s="3" t="s">
        <v>4844</v>
      </c>
      <c r="B1611" s="3">
        <v>80</v>
      </c>
      <c r="C1611" s="3" t="s">
        <v>35</v>
      </c>
      <c r="D1611" s="3" t="s">
        <v>59</v>
      </c>
      <c r="E1611" s="3" t="s">
        <v>43</v>
      </c>
      <c r="F1611" s="4">
        <v>43992</v>
      </c>
      <c r="G1611" s="3" t="s">
        <v>4845</v>
      </c>
      <c r="H1611" s="3" t="s">
        <v>4846</v>
      </c>
      <c r="I1611" s="3" t="s">
        <v>21</v>
      </c>
      <c r="J1611" s="5">
        <v>9418.0971989573009</v>
      </c>
      <c r="K1611" s="3">
        <v>291</v>
      </c>
      <c r="L1611" s="3" t="s">
        <v>31</v>
      </c>
      <c r="M1611" s="4">
        <v>44001</v>
      </c>
      <c r="N1611" s="3" t="s">
        <v>23</v>
      </c>
      <c r="O1611" s="3" t="s">
        <v>24</v>
      </c>
      <c r="P1611" s="3" t="str">
        <f>IF(Table1[[#This Row],[Billing Amount]]&lt;5000,"Low",IF(Table1[[#This Row],[Billing Amount]]&lt;=15000,"Medium","High"))</f>
        <v>Medium</v>
      </c>
      <c r="Q1611" s="3" t="str">
        <f>IF(Table1[[#This Row],[Discharge Date]]="Yes","Discharged","Under Treatment")</f>
        <v>Under Treatment</v>
      </c>
      <c r="R1611" s="3" t="str">
        <f>IF(Table1[[#This Row],[Test Results]]&gt;120,"High Risk","Normal")</f>
        <v>High Risk</v>
      </c>
      <c r="S1611" s="3" t="str">
        <f>IF(Table1[[#This Row],[Age]]&lt;=18,"0-18",IF(Table1[[#This Row],[Age]]&lt;=35,"19-35",IF(Table1[[#This Row],[Age]]&lt;=50,"36-50",IF(Table1[[#This Row],[Age]]&lt;=65,"51-65","65+"))))</f>
        <v>65+</v>
      </c>
    </row>
    <row r="1612" spans="1:19" x14ac:dyDescent="0.3">
      <c r="A1612" s="3" t="s">
        <v>4847</v>
      </c>
      <c r="B1612" s="3">
        <v>70</v>
      </c>
      <c r="C1612" s="3" t="s">
        <v>35</v>
      </c>
      <c r="D1612" s="3" t="s">
        <v>42</v>
      </c>
      <c r="E1612" s="3" t="s">
        <v>54</v>
      </c>
      <c r="F1612" s="4">
        <v>43776</v>
      </c>
      <c r="G1612" s="3" t="s">
        <v>4848</v>
      </c>
      <c r="H1612" s="3" t="s">
        <v>4849</v>
      </c>
      <c r="I1612" s="3" t="s">
        <v>39</v>
      </c>
      <c r="J1612" s="5">
        <v>31884.5197203553</v>
      </c>
      <c r="K1612" s="3">
        <v>489</v>
      </c>
      <c r="L1612" s="3" t="s">
        <v>31</v>
      </c>
      <c r="M1612" s="4">
        <v>43793</v>
      </c>
      <c r="N1612" s="3" t="s">
        <v>52</v>
      </c>
      <c r="O1612" s="3" t="s">
        <v>24</v>
      </c>
      <c r="P1612" s="3" t="str">
        <f>IF(Table1[[#This Row],[Billing Amount]]&lt;5000,"Low",IF(Table1[[#This Row],[Billing Amount]]&lt;=15000,"Medium","High"))</f>
        <v>High</v>
      </c>
      <c r="Q1612" s="3" t="str">
        <f>IF(Table1[[#This Row],[Discharge Date]]="Yes","Discharged","Under Treatment")</f>
        <v>Under Treatment</v>
      </c>
      <c r="R1612" s="3" t="str">
        <f>IF(Table1[[#This Row],[Test Results]]&gt;120,"High Risk","Normal")</f>
        <v>High Risk</v>
      </c>
      <c r="S1612" s="3" t="str">
        <f>IF(Table1[[#This Row],[Age]]&lt;=18,"0-18",IF(Table1[[#This Row],[Age]]&lt;=35,"19-35",IF(Table1[[#This Row],[Age]]&lt;=50,"36-50",IF(Table1[[#This Row],[Age]]&lt;=65,"51-65","65+"))))</f>
        <v>65+</v>
      </c>
    </row>
    <row r="1613" spans="1:19" x14ac:dyDescent="0.3">
      <c r="A1613" s="3" t="s">
        <v>4850</v>
      </c>
      <c r="B1613" s="3">
        <v>54</v>
      </c>
      <c r="C1613" s="3" t="s">
        <v>35</v>
      </c>
      <c r="D1613" s="3" t="s">
        <v>59</v>
      </c>
      <c r="E1613" s="3" t="s">
        <v>93</v>
      </c>
      <c r="F1613" s="4">
        <v>43753</v>
      </c>
      <c r="G1613" s="3" t="s">
        <v>4851</v>
      </c>
      <c r="H1613" s="3" t="s">
        <v>4852</v>
      </c>
      <c r="I1613" s="3" t="s">
        <v>39</v>
      </c>
      <c r="J1613" s="5">
        <v>35071.944148943803</v>
      </c>
      <c r="K1613" s="3">
        <v>370</v>
      </c>
      <c r="L1613" s="3" t="s">
        <v>31</v>
      </c>
      <c r="M1613" s="4">
        <v>43774</v>
      </c>
      <c r="N1613" s="3" t="s">
        <v>32</v>
      </c>
      <c r="O1613" s="3" t="s">
        <v>47</v>
      </c>
      <c r="P1613" s="3" t="str">
        <f>IF(Table1[[#This Row],[Billing Amount]]&lt;5000,"Low",IF(Table1[[#This Row],[Billing Amount]]&lt;=15000,"Medium","High"))</f>
        <v>High</v>
      </c>
      <c r="Q1613" s="3" t="str">
        <f>IF(Table1[[#This Row],[Discharge Date]]="Yes","Discharged","Under Treatment")</f>
        <v>Under Treatment</v>
      </c>
      <c r="R1613" s="3" t="str">
        <f>IF(Table1[[#This Row],[Test Results]]&gt;120,"High Risk","Normal")</f>
        <v>High Risk</v>
      </c>
      <c r="S1613" s="3" t="str">
        <f>IF(Table1[[#This Row],[Age]]&lt;=18,"0-18",IF(Table1[[#This Row],[Age]]&lt;=35,"19-35",IF(Table1[[#This Row],[Age]]&lt;=50,"36-50",IF(Table1[[#This Row],[Age]]&lt;=65,"51-65","65+"))))</f>
        <v>51-65</v>
      </c>
    </row>
    <row r="1614" spans="1:19" x14ac:dyDescent="0.3">
      <c r="A1614" s="3" t="s">
        <v>4853</v>
      </c>
      <c r="B1614" s="3">
        <v>43</v>
      </c>
      <c r="C1614" s="3" t="s">
        <v>35</v>
      </c>
      <c r="D1614" s="3" t="s">
        <v>103</v>
      </c>
      <c r="E1614" s="3" t="s">
        <v>27</v>
      </c>
      <c r="F1614" s="4">
        <v>45274</v>
      </c>
      <c r="G1614" s="3" t="s">
        <v>4854</v>
      </c>
      <c r="H1614" s="3" t="s">
        <v>4855</v>
      </c>
      <c r="I1614" s="3" t="s">
        <v>30</v>
      </c>
      <c r="J1614" s="5">
        <v>44951.979600430503</v>
      </c>
      <c r="K1614" s="3">
        <v>469</v>
      </c>
      <c r="L1614" s="3" t="s">
        <v>31</v>
      </c>
      <c r="M1614" s="4">
        <v>45277</v>
      </c>
      <c r="N1614" s="3" t="s">
        <v>32</v>
      </c>
      <c r="O1614" s="3" t="s">
        <v>24</v>
      </c>
      <c r="P1614" s="3" t="str">
        <f>IF(Table1[[#This Row],[Billing Amount]]&lt;5000,"Low",IF(Table1[[#This Row],[Billing Amount]]&lt;=15000,"Medium","High"))</f>
        <v>High</v>
      </c>
      <c r="Q1614" s="3" t="str">
        <f>IF(Table1[[#This Row],[Discharge Date]]="Yes","Discharged","Under Treatment")</f>
        <v>Under Treatment</v>
      </c>
      <c r="R1614" s="3" t="str">
        <f>IF(Table1[[#This Row],[Test Results]]&gt;120,"High Risk","Normal")</f>
        <v>High Risk</v>
      </c>
      <c r="S1614" s="3" t="str">
        <f>IF(Table1[[#This Row],[Age]]&lt;=18,"0-18",IF(Table1[[#This Row],[Age]]&lt;=35,"19-35",IF(Table1[[#This Row],[Age]]&lt;=50,"36-50",IF(Table1[[#This Row],[Age]]&lt;=65,"51-65","65+"))))</f>
        <v>36-50</v>
      </c>
    </row>
    <row r="1615" spans="1:19" x14ac:dyDescent="0.3">
      <c r="A1615" s="3" t="s">
        <v>4856</v>
      </c>
      <c r="B1615" s="3">
        <v>44</v>
      </c>
      <c r="C1615" s="3" t="s">
        <v>16</v>
      </c>
      <c r="D1615" s="3" t="s">
        <v>36</v>
      </c>
      <c r="E1615" s="3" t="s">
        <v>93</v>
      </c>
      <c r="F1615" s="4">
        <v>44125</v>
      </c>
      <c r="G1615" s="3" t="s">
        <v>4857</v>
      </c>
      <c r="H1615" s="3" t="s">
        <v>4858</v>
      </c>
      <c r="I1615" s="3" t="s">
        <v>57</v>
      </c>
      <c r="J1615" s="5">
        <v>42220.857304228302</v>
      </c>
      <c r="K1615" s="3">
        <v>223</v>
      </c>
      <c r="L1615" s="3" t="s">
        <v>22</v>
      </c>
      <c r="M1615" s="4">
        <v>44152</v>
      </c>
      <c r="N1615" s="3" t="s">
        <v>52</v>
      </c>
      <c r="O1615" s="3" t="s">
        <v>47</v>
      </c>
      <c r="P1615" s="3" t="str">
        <f>IF(Table1[[#This Row],[Billing Amount]]&lt;5000,"Low",IF(Table1[[#This Row],[Billing Amount]]&lt;=15000,"Medium","High"))</f>
        <v>High</v>
      </c>
      <c r="Q1615" s="3" t="str">
        <f>IF(Table1[[#This Row],[Discharge Date]]="Yes","Discharged","Under Treatment")</f>
        <v>Under Treatment</v>
      </c>
      <c r="R1615" s="3" t="str">
        <f>IF(Table1[[#This Row],[Test Results]]&gt;120,"High Risk","Normal")</f>
        <v>High Risk</v>
      </c>
      <c r="S1615" s="3" t="str">
        <f>IF(Table1[[#This Row],[Age]]&lt;=18,"0-18",IF(Table1[[#This Row],[Age]]&lt;=35,"19-35",IF(Table1[[#This Row],[Age]]&lt;=50,"36-50",IF(Table1[[#This Row],[Age]]&lt;=65,"51-65","65+"))))</f>
        <v>36-50</v>
      </c>
    </row>
    <row r="1616" spans="1:19" x14ac:dyDescent="0.3">
      <c r="A1616" s="3" t="s">
        <v>4859</v>
      </c>
      <c r="B1616" s="3">
        <v>24</v>
      </c>
      <c r="C1616" s="3" t="s">
        <v>35</v>
      </c>
      <c r="D1616" s="3" t="s">
        <v>49</v>
      </c>
      <c r="E1616" s="3" t="s">
        <v>93</v>
      </c>
      <c r="F1616" s="4">
        <v>43952</v>
      </c>
      <c r="G1616" s="3" t="s">
        <v>4860</v>
      </c>
      <c r="H1616" s="3" t="s">
        <v>4861</v>
      </c>
      <c r="I1616" s="3" t="s">
        <v>30</v>
      </c>
      <c r="J1616" s="5">
        <v>10417.2208174559</v>
      </c>
      <c r="K1616" s="3">
        <v>335</v>
      </c>
      <c r="L1616" s="3" t="s">
        <v>31</v>
      </c>
      <c r="M1616" s="4">
        <v>43965</v>
      </c>
      <c r="N1616" s="3" t="s">
        <v>32</v>
      </c>
      <c r="O1616" s="3" t="s">
        <v>24</v>
      </c>
      <c r="P1616" s="3" t="str">
        <f>IF(Table1[[#This Row],[Billing Amount]]&lt;5000,"Low",IF(Table1[[#This Row],[Billing Amount]]&lt;=15000,"Medium","High"))</f>
        <v>Medium</v>
      </c>
      <c r="Q1616" s="3" t="str">
        <f>IF(Table1[[#This Row],[Discharge Date]]="Yes","Discharged","Under Treatment")</f>
        <v>Under Treatment</v>
      </c>
      <c r="R1616" s="3" t="str">
        <f>IF(Table1[[#This Row],[Test Results]]&gt;120,"High Risk","Normal")</f>
        <v>High Risk</v>
      </c>
      <c r="S1616" s="3" t="str">
        <f>IF(Table1[[#This Row],[Age]]&lt;=18,"0-18",IF(Table1[[#This Row],[Age]]&lt;=35,"19-35",IF(Table1[[#This Row],[Age]]&lt;=50,"36-50",IF(Table1[[#This Row],[Age]]&lt;=65,"51-65","65+"))))</f>
        <v>19-35</v>
      </c>
    </row>
    <row r="1617" spans="1:19" x14ac:dyDescent="0.3">
      <c r="A1617" s="3" t="s">
        <v>4863</v>
      </c>
      <c r="B1617" s="3">
        <v>80</v>
      </c>
      <c r="C1617" s="3" t="s">
        <v>16</v>
      </c>
      <c r="D1617" s="3" t="s">
        <v>42</v>
      </c>
      <c r="E1617" s="3" t="s">
        <v>76</v>
      </c>
      <c r="F1617" s="4">
        <v>43960</v>
      </c>
      <c r="G1617" s="3" t="s">
        <v>4864</v>
      </c>
      <c r="H1617" s="3" t="s">
        <v>4865</v>
      </c>
      <c r="I1617" s="3" t="s">
        <v>57</v>
      </c>
      <c r="J1617" s="5">
        <v>41633.135590151498</v>
      </c>
      <c r="K1617" s="3">
        <v>304</v>
      </c>
      <c r="L1617" s="3" t="s">
        <v>31</v>
      </c>
      <c r="M1617" s="4">
        <v>43964</v>
      </c>
      <c r="N1617" s="3" t="s">
        <v>23</v>
      </c>
      <c r="O1617" s="3" t="s">
        <v>47</v>
      </c>
      <c r="P1617" s="3" t="str">
        <f>IF(Table1[[#This Row],[Billing Amount]]&lt;5000,"Low",IF(Table1[[#This Row],[Billing Amount]]&lt;=15000,"Medium","High"))</f>
        <v>High</v>
      </c>
      <c r="Q1617" s="3" t="str">
        <f>IF(Table1[[#This Row],[Discharge Date]]="Yes","Discharged","Under Treatment")</f>
        <v>Under Treatment</v>
      </c>
      <c r="R1617" s="3" t="str">
        <f>IF(Table1[[#This Row],[Test Results]]&gt;120,"High Risk","Normal")</f>
        <v>High Risk</v>
      </c>
      <c r="S1617" s="3" t="str">
        <f>IF(Table1[[#This Row],[Age]]&lt;=18,"0-18",IF(Table1[[#This Row],[Age]]&lt;=35,"19-35",IF(Table1[[#This Row],[Age]]&lt;=50,"36-50",IF(Table1[[#This Row],[Age]]&lt;=65,"51-65","65+"))))</f>
        <v>65+</v>
      </c>
    </row>
    <row r="1618" spans="1:19" x14ac:dyDescent="0.3">
      <c r="A1618" s="3" t="s">
        <v>4866</v>
      </c>
      <c r="B1618" s="3">
        <v>60</v>
      </c>
      <c r="C1618" s="3" t="s">
        <v>16</v>
      </c>
      <c r="D1618" s="3" t="s">
        <v>17</v>
      </c>
      <c r="E1618" s="3" t="s">
        <v>54</v>
      </c>
      <c r="F1618" s="4">
        <v>45224</v>
      </c>
      <c r="G1618" s="3" t="s">
        <v>4867</v>
      </c>
      <c r="H1618" s="3" t="s">
        <v>4868</v>
      </c>
      <c r="I1618" s="3" t="s">
        <v>57</v>
      </c>
      <c r="J1618" s="5">
        <v>29837.5930376096</v>
      </c>
      <c r="K1618" s="3">
        <v>364</v>
      </c>
      <c r="L1618" s="3" t="s">
        <v>22</v>
      </c>
      <c r="M1618" s="4">
        <v>45234</v>
      </c>
      <c r="N1618" s="3" t="s">
        <v>40</v>
      </c>
      <c r="O1618" s="3" t="s">
        <v>47</v>
      </c>
      <c r="P1618" s="3" t="str">
        <f>IF(Table1[[#This Row],[Billing Amount]]&lt;5000,"Low",IF(Table1[[#This Row],[Billing Amount]]&lt;=15000,"Medium","High"))</f>
        <v>High</v>
      </c>
      <c r="Q1618" s="3" t="str">
        <f>IF(Table1[[#This Row],[Discharge Date]]="Yes","Discharged","Under Treatment")</f>
        <v>Under Treatment</v>
      </c>
      <c r="R1618" s="3" t="str">
        <f>IF(Table1[[#This Row],[Test Results]]&gt;120,"High Risk","Normal")</f>
        <v>High Risk</v>
      </c>
      <c r="S1618" s="3" t="str">
        <f>IF(Table1[[#This Row],[Age]]&lt;=18,"0-18",IF(Table1[[#This Row],[Age]]&lt;=35,"19-35",IF(Table1[[#This Row],[Age]]&lt;=50,"36-50",IF(Table1[[#This Row],[Age]]&lt;=65,"51-65","65+"))))</f>
        <v>51-65</v>
      </c>
    </row>
    <row r="1619" spans="1:19" x14ac:dyDescent="0.3">
      <c r="A1619" s="3" t="s">
        <v>4869</v>
      </c>
      <c r="B1619" s="3">
        <v>55</v>
      </c>
      <c r="C1619" s="3" t="s">
        <v>35</v>
      </c>
      <c r="D1619" s="3" t="s">
        <v>103</v>
      </c>
      <c r="E1619" s="3" t="s">
        <v>18</v>
      </c>
      <c r="F1619" s="4">
        <v>45140</v>
      </c>
      <c r="G1619" s="3" t="s">
        <v>4870</v>
      </c>
      <c r="H1619" s="3" t="s">
        <v>4871</v>
      </c>
      <c r="I1619" s="3" t="s">
        <v>30</v>
      </c>
      <c r="J1619" s="5">
        <v>28425.919492977999</v>
      </c>
      <c r="K1619" s="3">
        <v>402</v>
      </c>
      <c r="L1619" s="3" t="s">
        <v>46</v>
      </c>
      <c r="M1619" s="4">
        <v>45161</v>
      </c>
      <c r="N1619" s="3" t="s">
        <v>79</v>
      </c>
      <c r="O1619" s="3" t="s">
        <v>33</v>
      </c>
      <c r="P1619" s="3" t="str">
        <f>IF(Table1[[#This Row],[Billing Amount]]&lt;5000,"Low",IF(Table1[[#This Row],[Billing Amount]]&lt;=15000,"Medium","High"))</f>
        <v>High</v>
      </c>
      <c r="Q1619" s="3" t="str">
        <f>IF(Table1[[#This Row],[Discharge Date]]="Yes","Discharged","Under Treatment")</f>
        <v>Under Treatment</v>
      </c>
      <c r="R1619" s="3" t="str">
        <f>IF(Table1[[#This Row],[Test Results]]&gt;120,"High Risk","Normal")</f>
        <v>High Risk</v>
      </c>
      <c r="S1619" s="3" t="str">
        <f>IF(Table1[[#This Row],[Age]]&lt;=18,"0-18",IF(Table1[[#This Row],[Age]]&lt;=35,"19-35",IF(Table1[[#This Row],[Age]]&lt;=50,"36-50",IF(Table1[[#This Row],[Age]]&lt;=65,"51-65","65+"))))</f>
        <v>51-65</v>
      </c>
    </row>
    <row r="1620" spans="1:19" x14ac:dyDescent="0.3">
      <c r="A1620" s="3" t="s">
        <v>4872</v>
      </c>
      <c r="B1620" s="3">
        <v>78</v>
      </c>
      <c r="C1620" s="3" t="s">
        <v>35</v>
      </c>
      <c r="D1620" s="3" t="s">
        <v>17</v>
      </c>
      <c r="E1620" s="3" t="s">
        <v>43</v>
      </c>
      <c r="F1620" s="4">
        <v>44598</v>
      </c>
      <c r="G1620" s="3" t="s">
        <v>4873</v>
      </c>
      <c r="H1620" s="3" t="s">
        <v>1845</v>
      </c>
      <c r="I1620" s="3" t="s">
        <v>65</v>
      </c>
      <c r="J1620" s="5">
        <v>35370.178194728403</v>
      </c>
      <c r="K1620" s="3">
        <v>393</v>
      </c>
      <c r="L1620" s="3" t="s">
        <v>22</v>
      </c>
      <c r="M1620" s="4">
        <v>44620</v>
      </c>
      <c r="N1620" s="3" t="s">
        <v>79</v>
      </c>
      <c r="O1620" s="3" t="s">
        <v>24</v>
      </c>
      <c r="P1620" s="3" t="str">
        <f>IF(Table1[[#This Row],[Billing Amount]]&lt;5000,"Low",IF(Table1[[#This Row],[Billing Amount]]&lt;=15000,"Medium","High"))</f>
        <v>High</v>
      </c>
      <c r="Q1620" s="3" t="str">
        <f>IF(Table1[[#This Row],[Discharge Date]]="Yes","Discharged","Under Treatment")</f>
        <v>Under Treatment</v>
      </c>
      <c r="R1620" s="3" t="str">
        <f>IF(Table1[[#This Row],[Test Results]]&gt;120,"High Risk","Normal")</f>
        <v>High Risk</v>
      </c>
      <c r="S1620" s="3" t="str">
        <f>IF(Table1[[#This Row],[Age]]&lt;=18,"0-18",IF(Table1[[#This Row],[Age]]&lt;=35,"19-35",IF(Table1[[#This Row],[Age]]&lt;=50,"36-50",IF(Table1[[#This Row],[Age]]&lt;=65,"51-65","65+"))))</f>
        <v>65+</v>
      </c>
    </row>
    <row r="1621" spans="1:19" x14ac:dyDescent="0.3">
      <c r="A1621" s="3" t="s">
        <v>4874</v>
      </c>
      <c r="B1621" s="3">
        <v>32</v>
      </c>
      <c r="C1621" s="3" t="s">
        <v>35</v>
      </c>
      <c r="D1621" s="3" t="s">
        <v>42</v>
      </c>
      <c r="E1621" s="3" t="s">
        <v>18</v>
      </c>
      <c r="F1621" s="4">
        <v>44634</v>
      </c>
      <c r="G1621" s="3" t="s">
        <v>4875</v>
      </c>
      <c r="H1621" s="3" t="s">
        <v>4876</v>
      </c>
      <c r="I1621" s="3" t="s">
        <v>65</v>
      </c>
      <c r="J1621" s="5">
        <v>48416.2033578314</v>
      </c>
      <c r="K1621" s="3">
        <v>323</v>
      </c>
      <c r="L1621" s="3" t="s">
        <v>22</v>
      </c>
      <c r="M1621" s="4">
        <v>44664</v>
      </c>
      <c r="N1621" s="3" t="s">
        <v>32</v>
      </c>
      <c r="O1621" s="3" t="s">
        <v>47</v>
      </c>
      <c r="P1621" s="3" t="str">
        <f>IF(Table1[[#This Row],[Billing Amount]]&lt;5000,"Low",IF(Table1[[#This Row],[Billing Amount]]&lt;=15000,"Medium","High"))</f>
        <v>High</v>
      </c>
      <c r="Q1621" s="3" t="str">
        <f>IF(Table1[[#This Row],[Discharge Date]]="Yes","Discharged","Under Treatment")</f>
        <v>Under Treatment</v>
      </c>
      <c r="R1621" s="3" t="str">
        <f>IF(Table1[[#This Row],[Test Results]]&gt;120,"High Risk","Normal")</f>
        <v>High Risk</v>
      </c>
      <c r="S1621" s="3" t="str">
        <f>IF(Table1[[#This Row],[Age]]&lt;=18,"0-18",IF(Table1[[#This Row],[Age]]&lt;=35,"19-35",IF(Table1[[#This Row],[Age]]&lt;=50,"36-50",IF(Table1[[#This Row],[Age]]&lt;=65,"51-65","65+"))))</f>
        <v>19-35</v>
      </c>
    </row>
    <row r="1622" spans="1:19" x14ac:dyDescent="0.3">
      <c r="A1622" s="3" t="s">
        <v>4877</v>
      </c>
      <c r="B1622" s="3">
        <v>68</v>
      </c>
      <c r="C1622" s="3" t="s">
        <v>35</v>
      </c>
      <c r="D1622" s="3" t="s">
        <v>122</v>
      </c>
      <c r="E1622" s="3" t="s">
        <v>93</v>
      </c>
      <c r="F1622" s="4">
        <v>44273</v>
      </c>
      <c r="G1622" s="3" t="s">
        <v>4878</v>
      </c>
      <c r="H1622" s="3" t="s">
        <v>4879</v>
      </c>
      <c r="I1622" s="3" t="s">
        <v>65</v>
      </c>
      <c r="J1622" s="5">
        <v>29414.686006225798</v>
      </c>
      <c r="K1622" s="3">
        <v>249</v>
      </c>
      <c r="L1622" s="3" t="s">
        <v>31</v>
      </c>
      <c r="M1622" s="4">
        <v>44280</v>
      </c>
      <c r="N1622" s="3" t="s">
        <v>79</v>
      </c>
      <c r="O1622" s="3" t="s">
        <v>24</v>
      </c>
      <c r="P1622" s="3" t="str">
        <f>IF(Table1[[#This Row],[Billing Amount]]&lt;5000,"Low",IF(Table1[[#This Row],[Billing Amount]]&lt;=15000,"Medium","High"))</f>
        <v>High</v>
      </c>
      <c r="Q1622" s="3" t="str">
        <f>IF(Table1[[#This Row],[Discharge Date]]="Yes","Discharged","Under Treatment")</f>
        <v>Under Treatment</v>
      </c>
      <c r="R1622" s="3" t="str">
        <f>IF(Table1[[#This Row],[Test Results]]&gt;120,"High Risk","Normal")</f>
        <v>High Risk</v>
      </c>
      <c r="S1622" s="3" t="str">
        <f>IF(Table1[[#This Row],[Age]]&lt;=18,"0-18",IF(Table1[[#This Row],[Age]]&lt;=35,"19-35",IF(Table1[[#This Row],[Age]]&lt;=50,"36-50",IF(Table1[[#This Row],[Age]]&lt;=65,"51-65","65+"))))</f>
        <v>65+</v>
      </c>
    </row>
    <row r="1623" spans="1:19" x14ac:dyDescent="0.3">
      <c r="A1623" s="3" t="s">
        <v>4880</v>
      </c>
      <c r="B1623" s="3">
        <v>32</v>
      </c>
      <c r="C1623" s="3" t="s">
        <v>35</v>
      </c>
      <c r="D1623" s="3" t="s">
        <v>42</v>
      </c>
      <c r="E1623" s="3" t="s">
        <v>43</v>
      </c>
      <c r="F1623" s="4">
        <v>44891</v>
      </c>
      <c r="G1623" s="3" t="s">
        <v>4881</v>
      </c>
      <c r="H1623" s="3" t="s">
        <v>4882</v>
      </c>
      <c r="I1623" s="3" t="s">
        <v>21</v>
      </c>
      <c r="J1623" s="5">
        <v>47683.116117700003</v>
      </c>
      <c r="K1623" s="3">
        <v>249</v>
      </c>
      <c r="L1623" s="3" t="s">
        <v>31</v>
      </c>
      <c r="M1623" s="4">
        <v>44910</v>
      </c>
      <c r="N1623" s="3" t="s">
        <v>32</v>
      </c>
      <c r="O1623" s="3" t="s">
        <v>33</v>
      </c>
      <c r="P1623" s="3" t="str">
        <f>IF(Table1[[#This Row],[Billing Amount]]&lt;5000,"Low",IF(Table1[[#This Row],[Billing Amount]]&lt;=15000,"Medium","High"))</f>
        <v>High</v>
      </c>
      <c r="Q1623" s="3" t="str">
        <f>IF(Table1[[#This Row],[Discharge Date]]="Yes","Discharged","Under Treatment")</f>
        <v>Under Treatment</v>
      </c>
      <c r="R1623" s="3" t="str">
        <f>IF(Table1[[#This Row],[Test Results]]&gt;120,"High Risk","Normal")</f>
        <v>High Risk</v>
      </c>
      <c r="S1623" s="3" t="str">
        <f>IF(Table1[[#This Row],[Age]]&lt;=18,"0-18",IF(Table1[[#This Row],[Age]]&lt;=35,"19-35",IF(Table1[[#This Row],[Age]]&lt;=50,"36-50",IF(Table1[[#This Row],[Age]]&lt;=65,"51-65","65+"))))</f>
        <v>19-35</v>
      </c>
    </row>
    <row r="1624" spans="1:19" x14ac:dyDescent="0.3">
      <c r="A1624" s="3" t="s">
        <v>4883</v>
      </c>
      <c r="B1624" s="3">
        <v>60</v>
      </c>
      <c r="C1624" s="3" t="s">
        <v>35</v>
      </c>
      <c r="D1624" s="3" t="s">
        <v>59</v>
      </c>
      <c r="E1624" s="3" t="s">
        <v>93</v>
      </c>
      <c r="F1624" s="4">
        <v>44369</v>
      </c>
      <c r="G1624" s="3" t="s">
        <v>4884</v>
      </c>
      <c r="H1624" s="3" t="s">
        <v>4885</v>
      </c>
      <c r="I1624" s="3" t="s">
        <v>39</v>
      </c>
      <c r="J1624" s="5">
        <v>50075.128541503902</v>
      </c>
      <c r="K1624" s="3">
        <v>349</v>
      </c>
      <c r="L1624" s="3" t="s">
        <v>22</v>
      </c>
      <c r="M1624" s="4">
        <v>44386</v>
      </c>
      <c r="N1624" s="3" t="s">
        <v>23</v>
      </c>
      <c r="O1624" s="3" t="s">
        <v>33</v>
      </c>
      <c r="P1624" s="3" t="str">
        <f>IF(Table1[[#This Row],[Billing Amount]]&lt;5000,"Low",IF(Table1[[#This Row],[Billing Amount]]&lt;=15000,"Medium","High"))</f>
        <v>High</v>
      </c>
      <c r="Q1624" s="3" t="str">
        <f>IF(Table1[[#This Row],[Discharge Date]]="Yes","Discharged","Under Treatment")</f>
        <v>Under Treatment</v>
      </c>
      <c r="R1624" s="3" t="str">
        <f>IF(Table1[[#This Row],[Test Results]]&gt;120,"High Risk","Normal")</f>
        <v>High Risk</v>
      </c>
      <c r="S1624" s="3" t="str">
        <f>IF(Table1[[#This Row],[Age]]&lt;=18,"0-18",IF(Table1[[#This Row],[Age]]&lt;=35,"19-35",IF(Table1[[#This Row],[Age]]&lt;=50,"36-50",IF(Table1[[#This Row],[Age]]&lt;=65,"51-65","65+"))))</f>
        <v>51-65</v>
      </c>
    </row>
    <row r="1625" spans="1:19" x14ac:dyDescent="0.3">
      <c r="A1625" s="3" t="s">
        <v>4886</v>
      </c>
      <c r="B1625" s="3">
        <v>71</v>
      </c>
      <c r="C1625" s="3" t="s">
        <v>16</v>
      </c>
      <c r="D1625" s="3" t="s">
        <v>36</v>
      </c>
      <c r="E1625" s="3" t="s">
        <v>76</v>
      </c>
      <c r="F1625" s="4">
        <v>44887</v>
      </c>
      <c r="G1625" s="3" t="s">
        <v>4887</v>
      </c>
      <c r="H1625" s="3" t="s">
        <v>4888</v>
      </c>
      <c r="I1625" s="3" t="s">
        <v>39</v>
      </c>
      <c r="J1625" s="5">
        <v>15614.8424422609</v>
      </c>
      <c r="K1625" s="3">
        <v>189</v>
      </c>
      <c r="L1625" s="3" t="s">
        <v>22</v>
      </c>
      <c r="M1625" s="4">
        <v>44909</v>
      </c>
      <c r="N1625" s="3" t="s">
        <v>23</v>
      </c>
      <c r="O1625" s="3" t="s">
        <v>24</v>
      </c>
      <c r="P1625" s="3" t="str">
        <f>IF(Table1[[#This Row],[Billing Amount]]&lt;5000,"Low",IF(Table1[[#This Row],[Billing Amount]]&lt;=15000,"Medium","High"))</f>
        <v>High</v>
      </c>
      <c r="Q1625" s="3" t="str">
        <f>IF(Table1[[#This Row],[Discharge Date]]="Yes","Discharged","Under Treatment")</f>
        <v>Under Treatment</v>
      </c>
      <c r="R1625" s="3" t="str">
        <f>IF(Table1[[#This Row],[Test Results]]&gt;120,"High Risk","Normal")</f>
        <v>High Risk</v>
      </c>
      <c r="S1625" s="3" t="str">
        <f>IF(Table1[[#This Row],[Age]]&lt;=18,"0-18",IF(Table1[[#This Row],[Age]]&lt;=35,"19-35",IF(Table1[[#This Row],[Age]]&lt;=50,"36-50",IF(Table1[[#This Row],[Age]]&lt;=65,"51-65","65+"))))</f>
        <v>65+</v>
      </c>
    </row>
    <row r="1626" spans="1:19" x14ac:dyDescent="0.3">
      <c r="A1626" s="3" t="s">
        <v>4889</v>
      </c>
      <c r="B1626" s="3">
        <v>55</v>
      </c>
      <c r="C1626" s="3" t="s">
        <v>35</v>
      </c>
      <c r="D1626" s="3" t="s">
        <v>26</v>
      </c>
      <c r="E1626" s="3" t="s">
        <v>27</v>
      </c>
      <c r="F1626" s="4">
        <v>44719</v>
      </c>
      <c r="G1626" s="3" t="s">
        <v>4890</v>
      </c>
      <c r="H1626" s="3" t="s">
        <v>4891</v>
      </c>
      <c r="I1626" s="3" t="s">
        <v>21</v>
      </c>
      <c r="J1626" s="5">
        <v>6889.2386582260497</v>
      </c>
      <c r="K1626" s="3">
        <v>467</v>
      </c>
      <c r="L1626" s="3" t="s">
        <v>46</v>
      </c>
      <c r="M1626" s="4">
        <v>44735</v>
      </c>
      <c r="N1626" s="3" t="s">
        <v>52</v>
      </c>
      <c r="O1626" s="3" t="s">
        <v>24</v>
      </c>
      <c r="P1626" s="3" t="str">
        <f>IF(Table1[[#This Row],[Billing Amount]]&lt;5000,"Low",IF(Table1[[#This Row],[Billing Amount]]&lt;=15000,"Medium","High"))</f>
        <v>Medium</v>
      </c>
      <c r="Q1626" s="3" t="str">
        <f>IF(Table1[[#This Row],[Discharge Date]]="Yes","Discharged","Under Treatment")</f>
        <v>Under Treatment</v>
      </c>
      <c r="R1626" s="3" t="str">
        <f>IF(Table1[[#This Row],[Test Results]]&gt;120,"High Risk","Normal")</f>
        <v>High Risk</v>
      </c>
      <c r="S1626" s="3" t="str">
        <f>IF(Table1[[#This Row],[Age]]&lt;=18,"0-18",IF(Table1[[#This Row],[Age]]&lt;=35,"19-35",IF(Table1[[#This Row],[Age]]&lt;=50,"36-50",IF(Table1[[#This Row],[Age]]&lt;=65,"51-65","65+"))))</f>
        <v>51-65</v>
      </c>
    </row>
    <row r="1627" spans="1:19" x14ac:dyDescent="0.3">
      <c r="A1627" s="3" t="s">
        <v>4892</v>
      </c>
      <c r="B1627" s="3">
        <v>76</v>
      </c>
      <c r="C1627" s="3" t="s">
        <v>35</v>
      </c>
      <c r="D1627" s="3" t="s">
        <v>36</v>
      </c>
      <c r="E1627" s="3" t="s">
        <v>93</v>
      </c>
      <c r="F1627" s="4">
        <v>45182</v>
      </c>
      <c r="G1627" s="3" t="s">
        <v>4893</v>
      </c>
      <c r="H1627" s="3" t="s">
        <v>4894</v>
      </c>
      <c r="I1627" s="3" t="s">
        <v>65</v>
      </c>
      <c r="J1627" s="5">
        <v>22105.212357935499</v>
      </c>
      <c r="K1627" s="3">
        <v>368</v>
      </c>
      <c r="L1627" s="3" t="s">
        <v>46</v>
      </c>
      <c r="M1627" s="4">
        <v>45183</v>
      </c>
      <c r="N1627" s="3" t="s">
        <v>79</v>
      </c>
      <c r="O1627" s="3" t="s">
        <v>47</v>
      </c>
      <c r="P1627" s="3" t="str">
        <f>IF(Table1[[#This Row],[Billing Amount]]&lt;5000,"Low",IF(Table1[[#This Row],[Billing Amount]]&lt;=15000,"Medium","High"))</f>
        <v>High</v>
      </c>
      <c r="Q1627" s="3" t="str">
        <f>IF(Table1[[#This Row],[Discharge Date]]="Yes","Discharged","Under Treatment")</f>
        <v>Under Treatment</v>
      </c>
      <c r="R1627" s="3" t="str">
        <f>IF(Table1[[#This Row],[Test Results]]&gt;120,"High Risk","Normal")</f>
        <v>High Risk</v>
      </c>
      <c r="S1627" s="3" t="str">
        <f>IF(Table1[[#This Row],[Age]]&lt;=18,"0-18",IF(Table1[[#This Row],[Age]]&lt;=35,"19-35",IF(Table1[[#This Row],[Age]]&lt;=50,"36-50",IF(Table1[[#This Row],[Age]]&lt;=65,"51-65","65+"))))</f>
        <v>65+</v>
      </c>
    </row>
    <row r="1628" spans="1:19" x14ac:dyDescent="0.3">
      <c r="A1628" s="3" t="s">
        <v>4895</v>
      </c>
      <c r="B1628" s="3">
        <v>29</v>
      </c>
      <c r="C1628" s="3" t="s">
        <v>16</v>
      </c>
      <c r="D1628" s="3" t="s">
        <v>103</v>
      </c>
      <c r="E1628" s="3" t="s">
        <v>18</v>
      </c>
      <c r="F1628" s="4">
        <v>44883</v>
      </c>
      <c r="G1628" s="3" t="s">
        <v>4896</v>
      </c>
      <c r="H1628" s="3" t="s">
        <v>4897</v>
      </c>
      <c r="I1628" s="3" t="s">
        <v>30</v>
      </c>
      <c r="J1628" s="5">
        <v>33579.411506016899</v>
      </c>
      <c r="K1628" s="3">
        <v>360</v>
      </c>
      <c r="L1628" s="3" t="s">
        <v>22</v>
      </c>
      <c r="M1628" s="4">
        <v>44892</v>
      </c>
      <c r="N1628" s="3" t="s">
        <v>52</v>
      </c>
      <c r="O1628" s="3" t="s">
        <v>24</v>
      </c>
      <c r="P1628" s="3" t="str">
        <f>IF(Table1[[#This Row],[Billing Amount]]&lt;5000,"Low",IF(Table1[[#This Row],[Billing Amount]]&lt;=15000,"Medium","High"))</f>
        <v>High</v>
      </c>
      <c r="Q1628" s="3" t="str">
        <f>IF(Table1[[#This Row],[Discharge Date]]="Yes","Discharged","Under Treatment")</f>
        <v>Under Treatment</v>
      </c>
      <c r="R1628" s="3" t="str">
        <f>IF(Table1[[#This Row],[Test Results]]&gt;120,"High Risk","Normal")</f>
        <v>High Risk</v>
      </c>
      <c r="S1628" s="3" t="str">
        <f>IF(Table1[[#This Row],[Age]]&lt;=18,"0-18",IF(Table1[[#This Row],[Age]]&lt;=35,"19-35",IF(Table1[[#This Row],[Age]]&lt;=50,"36-50",IF(Table1[[#This Row],[Age]]&lt;=65,"51-65","65+"))))</f>
        <v>19-35</v>
      </c>
    </row>
    <row r="1629" spans="1:19" x14ac:dyDescent="0.3">
      <c r="A1629" s="3" t="s">
        <v>4898</v>
      </c>
      <c r="B1629" s="3">
        <v>78</v>
      </c>
      <c r="C1629" s="3" t="s">
        <v>35</v>
      </c>
      <c r="D1629" s="3" t="s">
        <v>59</v>
      </c>
      <c r="E1629" s="3" t="s">
        <v>76</v>
      </c>
      <c r="F1629" s="4">
        <v>44627</v>
      </c>
      <c r="G1629" s="3" t="s">
        <v>4899</v>
      </c>
      <c r="H1629" s="3" t="s">
        <v>4900</v>
      </c>
      <c r="I1629" s="3" t="s">
        <v>57</v>
      </c>
      <c r="J1629" s="5">
        <v>25157.2829544571</v>
      </c>
      <c r="K1629" s="3">
        <v>416</v>
      </c>
      <c r="L1629" s="3" t="s">
        <v>46</v>
      </c>
      <c r="M1629" s="4">
        <v>44641</v>
      </c>
      <c r="N1629" s="3" t="s">
        <v>40</v>
      </c>
      <c r="O1629" s="3" t="s">
        <v>24</v>
      </c>
      <c r="P1629" s="3" t="str">
        <f>IF(Table1[[#This Row],[Billing Amount]]&lt;5000,"Low",IF(Table1[[#This Row],[Billing Amount]]&lt;=15000,"Medium","High"))</f>
        <v>High</v>
      </c>
      <c r="Q1629" s="3" t="str">
        <f>IF(Table1[[#This Row],[Discharge Date]]="Yes","Discharged","Under Treatment")</f>
        <v>Under Treatment</v>
      </c>
      <c r="R1629" s="3" t="str">
        <f>IF(Table1[[#This Row],[Test Results]]&gt;120,"High Risk","Normal")</f>
        <v>High Risk</v>
      </c>
      <c r="S1629" s="3" t="str">
        <f>IF(Table1[[#This Row],[Age]]&lt;=18,"0-18",IF(Table1[[#This Row],[Age]]&lt;=35,"19-35",IF(Table1[[#This Row],[Age]]&lt;=50,"36-50",IF(Table1[[#This Row],[Age]]&lt;=65,"51-65","65+"))))</f>
        <v>65+</v>
      </c>
    </row>
    <row r="1630" spans="1:19" x14ac:dyDescent="0.3">
      <c r="A1630" s="3" t="s">
        <v>4901</v>
      </c>
      <c r="B1630" s="3">
        <v>32</v>
      </c>
      <c r="C1630" s="3" t="s">
        <v>16</v>
      </c>
      <c r="D1630" s="3" t="s">
        <v>59</v>
      </c>
      <c r="E1630" s="3" t="s">
        <v>54</v>
      </c>
      <c r="F1630" s="4">
        <v>45017</v>
      </c>
      <c r="G1630" s="3" t="s">
        <v>4902</v>
      </c>
      <c r="H1630" s="3" t="s">
        <v>4903</v>
      </c>
      <c r="I1630" s="3" t="s">
        <v>65</v>
      </c>
      <c r="J1630" s="5">
        <v>9157.7772963164207</v>
      </c>
      <c r="K1630" s="3">
        <v>250</v>
      </c>
      <c r="L1630" s="3" t="s">
        <v>22</v>
      </c>
      <c r="M1630" s="4">
        <v>45022</v>
      </c>
      <c r="N1630" s="3" t="s">
        <v>40</v>
      </c>
      <c r="O1630" s="3" t="s">
        <v>47</v>
      </c>
      <c r="P1630" s="3" t="str">
        <f>IF(Table1[[#This Row],[Billing Amount]]&lt;5000,"Low",IF(Table1[[#This Row],[Billing Amount]]&lt;=15000,"Medium","High"))</f>
        <v>Medium</v>
      </c>
      <c r="Q1630" s="3" t="str">
        <f>IF(Table1[[#This Row],[Discharge Date]]="Yes","Discharged","Under Treatment")</f>
        <v>Under Treatment</v>
      </c>
      <c r="R1630" s="3" t="str">
        <f>IF(Table1[[#This Row],[Test Results]]&gt;120,"High Risk","Normal")</f>
        <v>High Risk</v>
      </c>
      <c r="S1630" s="3" t="str">
        <f>IF(Table1[[#This Row],[Age]]&lt;=18,"0-18",IF(Table1[[#This Row],[Age]]&lt;=35,"19-35",IF(Table1[[#This Row],[Age]]&lt;=50,"36-50",IF(Table1[[#This Row],[Age]]&lt;=65,"51-65","65+"))))</f>
        <v>19-35</v>
      </c>
    </row>
    <row r="1631" spans="1:19" x14ac:dyDescent="0.3">
      <c r="A1631" s="3" t="s">
        <v>4904</v>
      </c>
      <c r="B1631" s="3">
        <v>28</v>
      </c>
      <c r="C1631" s="3" t="s">
        <v>16</v>
      </c>
      <c r="D1631" s="3" t="s">
        <v>122</v>
      </c>
      <c r="E1631" s="3" t="s">
        <v>76</v>
      </c>
      <c r="F1631" s="4">
        <v>45312</v>
      </c>
      <c r="G1631" s="3" t="s">
        <v>4905</v>
      </c>
      <c r="H1631" s="3" t="s">
        <v>4906</v>
      </c>
      <c r="I1631" s="3" t="s">
        <v>21</v>
      </c>
      <c r="J1631" s="5">
        <v>25268.9945021846</v>
      </c>
      <c r="K1631" s="3">
        <v>343</v>
      </c>
      <c r="L1631" s="3" t="s">
        <v>31</v>
      </c>
      <c r="M1631" s="4">
        <v>45334</v>
      </c>
      <c r="N1631" s="3" t="s">
        <v>23</v>
      </c>
      <c r="O1631" s="3" t="s">
        <v>33</v>
      </c>
      <c r="P1631" s="3" t="str">
        <f>IF(Table1[[#This Row],[Billing Amount]]&lt;5000,"Low",IF(Table1[[#This Row],[Billing Amount]]&lt;=15000,"Medium","High"))</f>
        <v>High</v>
      </c>
      <c r="Q1631" s="3" t="str">
        <f>IF(Table1[[#This Row],[Discharge Date]]="Yes","Discharged","Under Treatment")</f>
        <v>Under Treatment</v>
      </c>
      <c r="R1631" s="3" t="str">
        <f>IF(Table1[[#This Row],[Test Results]]&gt;120,"High Risk","Normal")</f>
        <v>High Risk</v>
      </c>
      <c r="S1631" s="3" t="str">
        <f>IF(Table1[[#This Row],[Age]]&lt;=18,"0-18",IF(Table1[[#This Row],[Age]]&lt;=35,"19-35",IF(Table1[[#This Row],[Age]]&lt;=50,"36-50",IF(Table1[[#This Row],[Age]]&lt;=65,"51-65","65+"))))</f>
        <v>19-35</v>
      </c>
    </row>
    <row r="1632" spans="1:19" x14ac:dyDescent="0.3">
      <c r="A1632" s="3" t="s">
        <v>4907</v>
      </c>
      <c r="B1632" s="3">
        <v>30</v>
      </c>
      <c r="C1632" s="3" t="s">
        <v>35</v>
      </c>
      <c r="D1632" s="3" t="s">
        <v>17</v>
      </c>
      <c r="E1632" s="3" t="s">
        <v>54</v>
      </c>
      <c r="F1632" s="4">
        <v>43824</v>
      </c>
      <c r="G1632" s="3" t="s">
        <v>4908</v>
      </c>
      <c r="H1632" s="3" t="s">
        <v>4909</v>
      </c>
      <c r="I1632" s="3" t="s">
        <v>21</v>
      </c>
      <c r="J1632" s="5">
        <v>16891.373144482899</v>
      </c>
      <c r="K1632" s="3">
        <v>488</v>
      </c>
      <c r="L1632" s="3" t="s">
        <v>46</v>
      </c>
      <c r="M1632" s="4">
        <v>43845</v>
      </c>
      <c r="N1632" s="3" t="s">
        <v>79</v>
      </c>
      <c r="O1632" s="3" t="s">
        <v>47</v>
      </c>
      <c r="P1632" s="3" t="str">
        <f>IF(Table1[[#This Row],[Billing Amount]]&lt;5000,"Low",IF(Table1[[#This Row],[Billing Amount]]&lt;=15000,"Medium","High"))</f>
        <v>High</v>
      </c>
      <c r="Q1632" s="3" t="str">
        <f>IF(Table1[[#This Row],[Discharge Date]]="Yes","Discharged","Under Treatment")</f>
        <v>Under Treatment</v>
      </c>
      <c r="R1632" s="3" t="str">
        <f>IF(Table1[[#This Row],[Test Results]]&gt;120,"High Risk","Normal")</f>
        <v>High Risk</v>
      </c>
      <c r="S1632" s="3" t="str">
        <f>IF(Table1[[#This Row],[Age]]&lt;=18,"0-18",IF(Table1[[#This Row],[Age]]&lt;=35,"19-35",IF(Table1[[#This Row],[Age]]&lt;=50,"36-50",IF(Table1[[#This Row],[Age]]&lt;=65,"51-65","65+"))))</f>
        <v>19-35</v>
      </c>
    </row>
    <row r="1633" spans="1:19" x14ac:dyDescent="0.3">
      <c r="A1633" s="3" t="s">
        <v>4910</v>
      </c>
      <c r="B1633" s="3">
        <v>36</v>
      </c>
      <c r="C1633" s="3" t="s">
        <v>35</v>
      </c>
      <c r="D1633" s="3" t="s">
        <v>103</v>
      </c>
      <c r="E1633" s="3" t="s">
        <v>27</v>
      </c>
      <c r="F1633" s="4">
        <v>44111</v>
      </c>
      <c r="G1633" s="3" t="s">
        <v>4911</v>
      </c>
      <c r="H1633" s="3" t="s">
        <v>4912</v>
      </c>
      <c r="I1633" s="3" t="s">
        <v>57</v>
      </c>
      <c r="J1633" s="5">
        <v>18353.813982586798</v>
      </c>
      <c r="K1633" s="3">
        <v>346</v>
      </c>
      <c r="L1633" s="3" t="s">
        <v>31</v>
      </c>
      <c r="M1633" s="4">
        <v>44136</v>
      </c>
      <c r="N1633" s="3" t="s">
        <v>32</v>
      </c>
      <c r="O1633" s="3" t="s">
        <v>24</v>
      </c>
      <c r="P1633" s="3" t="str">
        <f>IF(Table1[[#This Row],[Billing Amount]]&lt;5000,"Low",IF(Table1[[#This Row],[Billing Amount]]&lt;=15000,"Medium","High"))</f>
        <v>High</v>
      </c>
      <c r="Q1633" s="3" t="str">
        <f>IF(Table1[[#This Row],[Discharge Date]]="Yes","Discharged","Under Treatment")</f>
        <v>Under Treatment</v>
      </c>
      <c r="R1633" s="3" t="str">
        <f>IF(Table1[[#This Row],[Test Results]]&gt;120,"High Risk","Normal")</f>
        <v>High Risk</v>
      </c>
      <c r="S1633" s="3" t="str">
        <f>IF(Table1[[#This Row],[Age]]&lt;=18,"0-18",IF(Table1[[#This Row],[Age]]&lt;=35,"19-35",IF(Table1[[#This Row],[Age]]&lt;=50,"36-50",IF(Table1[[#This Row],[Age]]&lt;=65,"51-65","65+"))))</f>
        <v>36-50</v>
      </c>
    </row>
    <row r="1634" spans="1:19" x14ac:dyDescent="0.3">
      <c r="A1634" s="3" t="s">
        <v>4913</v>
      </c>
      <c r="B1634" s="3">
        <v>33</v>
      </c>
      <c r="C1634" s="3" t="s">
        <v>35</v>
      </c>
      <c r="D1634" s="3" t="s">
        <v>26</v>
      </c>
      <c r="E1634" s="3" t="s">
        <v>43</v>
      </c>
      <c r="F1634" s="4">
        <v>45381</v>
      </c>
      <c r="G1634" s="3" t="s">
        <v>2748</v>
      </c>
      <c r="H1634" s="3" t="s">
        <v>4914</v>
      </c>
      <c r="I1634" s="3" t="s">
        <v>65</v>
      </c>
      <c r="J1634" s="5">
        <v>30137.762501212401</v>
      </c>
      <c r="K1634" s="3">
        <v>393</v>
      </c>
      <c r="L1634" s="3" t="s">
        <v>22</v>
      </c>
      <c r="M1634" s="4">
        <v>45384</v>
      </c>
      <c r="N1634" s="3" t="s">
        <v>23</v>
      </c>
      <c r="O1634" s="3" t="s">
        <v>24</v>
      </c>
      <c r="P1634" s="3" t="str">
        <f>IF(Table1[[#This Row],[Billing Amount]]&lt;5000,"Low",IF(Table1[[#This Row],[Billing Amount]]&lt;=15000,"Medium","High"))</f>
        <v>High</v>
      </c>
      <c r="Q1634" s="3" t="str">
        <f>IF(Table1[[#This Row],[Discharge Date]]="Yes","Discharged","Under Treatment")</f>
        <v>Under Treatment</v>
      </c>
      <c r="R1634" s="3" t="str">
        <f>IF(Table1[[#This Row],[Test Results]]&gt;120,"High Risk","Normal")</f>
        <v>High Risk</v>
      </c>
      <c r="S1634" s="3" t="str">
        <f>IF(Table1[[#This Row],[Age]]&lt;=18,"0-18",IF(Table1[[#This Row],[Age]]&lt;=35,"19-35",IF(Table1[[#This Row],[Age]]&lt;=50,"36-50",IF(Table1[[#This Row],[Age]]&lt;=65,"51-65","65+"))))</f>
        <v>19-35</v>
      </c>
    </row>
    <row r="1635" spans="1:19" x14ac:dyDescent="0.3">
      <c r="A1635" s="3" t="s">
        <v>4915</v>
      </c>
      <c r="B1635" s="3">
        <v>54</v>
      </c>
      <c r="C1635" s="3" t="s">
        <v>35</v>
      </c>
      <c r="D1635" s="3" t="s">
        <v>59</v>
      </c>
      <c r="E1635" s="3" t="s">
        <v>18</v>
      </c>
      <c r="F1635" s="4">
        <v>43726</v>
      </c>
      <c r="G1635" s="3" t="s">
        <v>4916</v>
      </c>
      <c r="H1635" s="3" t="s">
        <v>4917</v>
      </c>
      <c r="I1635" s="3" t="s">
        <v>30</v>
      </c>
      <c r="J1635" s="5">
        <v>23645.5382934831</v>
      </c>
      <c r="K1635" s="3">
        <v>464</v>
      </c>
      <c r="L1635" s="3" t="s">
        <v>31</v>
      </c>
      <c r="M1635" s="4">
        <v>43730</v>
      </c>
      <c r="N1635" s="3" t="s">
        <v>79</v>
      </c>
      <c r="O1635" s="3" t="s">
        <v>47</v>
      </c>
      <c r="P1635" s="3" t="str">
        <f>IF(Table1[[#This Row],[Billing Amount]]&lt;5000,"Low",IF(Table1[[#This Row],[Billing Amount]]&lt;=15000,"Medium","High"))</f>
        <v>High</v>
      </c>
      <c r="Q1635" s="3" t="str">
        <f>IF(Table1[[#This Row],[Discharge Date]]="Yes","Discharged","Under Treatment")</f>
        <v>Under Treatment</v>
      </c>
      <c r="R1635" s="3" t="str">
        <f>IF(Table1[[#This Row],[Test Results]]&gt;120,"High Risk","Normal")</f>
        <v>High Risk</v>
      </c>
      <c r="S1635" s="3" t="str">
        <f>IF(Table1[[#This Row],[Age]]&lt;=18,"0-18",IF(Table1[[#This Row],[Age]]&lt;=35,"19-35",IF(Table1[[#This Row],[Age]]&lt;=50,"36-50",IF(Table1[[#This Row],[Age]]&lt;=65,"51-65","65+"))))</f>
        <v>51-65</v>
      </c>
    </row>
    <row r="1636" spans="1:19" x14ac:dyDescent="0.3">
      <c r="A1636" s="3" t="s">
        <v>4918</v>
      </c>
      <c r="B1636" s="3">
        <v>53</v>
      </c>
      <c r="C1636" s="3" t="s">
        <v>16</v>
      </c>
      <c r="D1636" s="3" t="s">
        <v>26</v>
      </c>
      <c r="E1636" s="3" t="s">
        <v>76</v>
      </c>
      <c r="F1636" s="4">
        <v>44328</v>
      </c>
      <c r="G1636" s="3" t="s">
        <v>4919</v>
      </c>
      <c r="H1636" s="3" t="s">
        <v>3937</v>
      </c>
      <c r="I1636" s="3" t="s">
        <v>21</v>
      </c>
      <c r="J1636" s="5">
        <v>10605.7279569775</v>
      </c>
      <c r="K1636" s="3">
        <v>115</v>
      </c>
      <c r="L1636" s="3" t="s">
        <v>22</v>
      </c>
      <c r="M1636" s="4">
        <v>44335</v>
      </c>
      <c r="N1636" s="3" t="s">
        <v>23</v>
      </c>
      <c r="O1636" s="3" t="s">
        <v>24</v>
      </c>
      <c r="P1636" s="3" t="str">
        <f>IF(Table1[[#This Row],[Billing Amount]]&lt;5000,"Low",IF(Table1[[#This Row],[Billing Amount]]&lt;=15000,"Medium","High"))</f>
        <v>Medium</v>
      </c>
      <c r="Q1636" s="3" t="str">
        <f>IF(Table1[[#This Row],[Discharge Date]]="Yes","Discharged","Under Treatment")</f>
        <v>Under Treatment</v>
      </c>
      <c r="R1636" s="3" t="str">
        <f>IF(Table1[[#This Row],[Test Results]]&gt;120,"High Risk","Normal")</f>
        <v>High Risk</v>
      </c>
      <c r="S1636" s="3" t="str">
        <f>IF(Table1[[#This Row],[Age]]&lt;=18,"0-18",IF(Table1[[#This Row],[Age]]&lt;=35,"19-35",IF(Table1[[#This Row],[Age]]&lt;=50,"36-50",IF(Table1[[#This Row],[Age]]&lt;=65,"51-65","65+"))))</f>
        <v>51-65</v>
      </c>
    </row>
    <row r="1637" spans="1:19" x14ac:dyDescent="0.3">
      <c r="A1637" s="3" t="s">
        <v>4920</v>
      </c>
      <c r="B1637" s="3">
        <v>21</v>
      </c>
      <c r="C1637" s="3" t="s">
        <v>35</v>
      </c>
      <c r="D1637" s="3" t="s">
        <v>17</v>
      </c>
      <c r="E1637" s="3" t="s">
        <v>93</v>
      </c>
      <c r="F1637" s="4">
        <v>45040</v>
      </c>
      <c r="G1637" s="3" t="s">
        <v>4921</v>
      </c>
      <c r="H1637" s="3" t="s">
        <v>4922</v>
      </c>
      <c r="I1637" s="3" t="s">
        <v>57</v>
      </c>
      <c r="J1637" s="5">
        <v>19017.645580705001</v>
      </c>
      <c r="K1637" s="3">
        <v>318</v>
      </c>
      <c r="L1637" s="3" t="s">
        <v>46</v>
      </c>
      <c r="M1637" s="4">
        <v>45045</v>
      </c>
      <c r="N1637" s="3" t="s">
        <v>40</v>
      </c>
      <c r="O1637" s="3" t="s">
        <v>47</v>
      </c>
      <c r="P1637" s="3" t="str">
        <f>IF(Table1[[#This Row],[Billing Amount]]&lt;5000,"Low",IF(Table1[[#This Row],[Billing Amount]]&lt;=15000,"Medium","High"))</f>
        <v>High</v>
      </c>
      <c r="Q1637" s="3" t="str">
        <f>IF(Table1[[#This Row],[Discharge Date]]="Yes","Discharged","Under Treatment")</f>
        <v>Under Treatment</v>
      </c>
      <c r="R1637" s="3" t="str">
        <f>IF(Table1[[#This Row],[Test Results]]&gt;120,"High Risk","Normal")</f>
        <v>High Risk</v>
      </c>
      <c r="S1637" s="3" t="str">
        <f>IF(Table1[[#This Row],[Age]]&lt;=18,"0-18",IF(Table1[[#This Row],[Age]]&lt;=35,"19-35",IF(Table1[[#This Row],[Age]]&lt;=50,"36-50",IF(Table1[[#This Row],[Age]]&lt;=65,"51-65","65+"))))</f>
        <v>19-35</v>
      </c>
    </row>
    <row r="1638" spans="1:19" x14ac:dyDescent="0.3">
      <c r="A1638" s="3" t="s">
        <v>4923</v>
      </c>
      <c r="B1638" s="3">
        <v>21</v>
      </c>
      <c r="C1638" s="3" t="s">
        <v>16</v>
      </c>
      <c r="D1638" s="3" t="s">
        <v>26</v>
      </c>
      <c r="E1638" s="3" t="s">
        <v>76</v>
      </c>
      <c r="F1638" s="4">
        <v>44017</v>
      </c>
      <c r="G1638" s="3" t="s">
        <v>4924</v>
      </c>
      <c r="H1638" s="3" t="s">
        <v>4925</v>
      </c>
      <c r="I1638" s="3" t="s">
        <v>39</v>
      </c>
      <c r="J1638" s="5">
        <v>10467.6468424635</v>
      </c>
      <c r="K1638" s="3">
        <v>309</v>
      </c>
      <c r="L1638" s="3" t="s">
        <v>31</v>
      </c>
      <c r="M1638" s="4">
        <v>44033</v>
      </c>
      <c r="N1638" s="3" t="s">
        <v>23</v>
      </c>
      <c r="O1638" s="3" t="s">
        <v>33</v>
      </c>
      <c r="P1638" s="3" t="str">
        <f>IF(Table1[[#This Row],[Billing Amount]]&lt;5000,"Low",IF(Table1[[#This Row],[Billing Amount]]&lt;=15000,"Medium","High"))</f>
        <v>Medium</v>
      </c>
      <c r="Q1638" s="3" t="str">
        <f>IF(Table1[[#This Row],[Discharge Date]]="Yes","Discharged","Under Treatment")</f>
        <v>Under Treatment</v>
      </c>
      <c r="R1638" s="3" t="str">
        <f>IF(Table1[[#This Row],[Test Results]]&gt;120,"High Risk","Normal")</f>
        <v>High Risk</v>
      </c>
      <c r="S1638" s="3" t="str">
        <f>IF(Table1[[#This Row],[Age]]&lt;=18,"0-18",IF(Table1[[#This Row],[Age]]&lt;=35,"19-35",IF(Table1[[#This Row],[Age]]&lt;=50,"36-50",IF(Table1[[#This Row],[Age]]&lt;=65,"51-65","65+"))))</f>
        <v>19-35</v>
      </c>
    </row>
    <row r="1639" spans="1:19" x14ac:dyDescent="0.3">
      <c r="A1639" s="3" t="s">
        <v>4926</v>
      </c>
      <c r="B1639" s="3">
        <v>46</v>
      </c>
      <c r="C1639" s="3" t="s">
        <v>35</v>
      </c>
      <c r="D1639" s="3" t="s">
        <v>49</v>
      </c>
      <c r="E1639" s="3" t="s">
        <v>76</v>
      </c>
      <c r="F1639" s="4">
        <v>44841</v>
      </c>
      <c r="G1639" s="3" t="s">
        <v>4927</v>
      </c>
      <c r="H1639" s="3" t="s">
        <v>4928</v>
      </c>
      <c r="I1639" s="3" t="s">
        <v>39</v>
      </c>
      <c r="J1639" s="5">
        <v>32885.077718321802</v>
      </c>
      <c r="K1639" s="3">
        <v>491</v>
      </c>
      <c r="L1639" s="3" t="s">
        <v>22</v>
      </c>
      <c r="M1639" s="4">
        <v>44843</v>
      </c>
      <c r="N1639" s="3" t="s">
        <v>32</v>
      </c>
      <c r="O1639" s="3" t="s">
        <v>47</v>
      </c>
      <c r="P1639" s="3" t="str">
        <f>IF(Table1[[#This Row],[Billing Amount]]&lt;5000,"Low",IF(Table1[[#This Row],[Billing Amount]]&lt;=15000,"Medium","High"))</f>
        <v>High</v>
      </c>
      <c r="Q1639" s="3" t="str">
        <f>IF(Table1[[#This Row],[Discharge Date]]="Yes","Discharged","Under Treatment")</f>
        <v>Under Treatment</v>
      </c>
      <c r="R1639" s="3" t="str">
        <f>IF(Table1[[#This Row],[Test Results]]&gt;120,"High Risk","Normal")</f>
        <v>High Risk</v>
      </c>
      <c r="S1639" s="3" t="str">
        <f>IF(Table1[[#This Row],[Age]]&lt;=18,"0-18",IF(Table1[[#This Row],[Age]]&lt;=35,"19-35",IF(Table1[[#This Row],[Age]]&lt;=50,"36-50",IF(Table1[[#This Row],[Age]]&lt;=65,"51-65","65+"))))</f>
        <v>36-50</v>
      </c>
    </row>
    <row r="1640" spans="1:19" x14ac:dyDescent="0.3">
      <c r="A1640" s="3" t="s">
        <v>4929</v>
      </c>
      <c r="B1640" s="3">
        <v>29</v>
      </c>
      <c r="C1640" s="3" t="s">
        <v>35</v>
      </c>
      <c r="D1640" s="3" t="s">
        <v>17</v>
      </c>
      <c r="E1640" s="3" t="s">
        <v>76</v>
      </c>
      <c r="F1640" s="4">
        <v>45156</v>
      </c>
      <c r="G1640" s="3" t="s">
        <v>4930</v>
      </c>
      <c r="H1640" s="3" t="s">
        <v>4931</v>
      </c>
      <c r="I1640" s="3" t="s">
        <v>21</v>
      </c>
      <c r="J1640" s="5">
        <v>36927.5555323218</v>
      </c>
      <c r="K1640" s="3">
        <v>205</v>
      </c>
      <c r="L1640" s="3" t="s">
        <v>22</v>
      </c>
      <c r="M1640" s="4">
        <v>45164</v>
      </c>
      <c r="N1640" s="3" t="s">
        <v>40</v>
      </c>
      <c r="O1640" s="3" t="s">
        <v>24</v>
      </c>
      <c r="P1640" s="3" t="str">
        <f>IF(Table1[[#This Row],[Billing Amount]]&lt;5000,"Low",IF(Table1[[#This Row],[Billing Amount]]&lt;=15000,"Medium","High"))</f>
        <v>High</v>
      </c>
      <c r="Q1640" s="3" t="str">
        <f>IF(Table1[[#This Row],[Discharge Date]]="Yes","Discharged","Under Treatment")</f>
        <v>Under Treatment</v>
      </c>
      <c r="R1640" s="3" t="str">
        <f>IF(Table1[[#This Row],[Test Results]]&gt;120,"High Risk","Normal")</f>
        <v>High Risk</v>
      </c>
      <c r="S1640" s="3" t="str">
        <f>IF(Table1[[#This Row],[Age]]&lt;=18,"0-18",IF(Table1[[#This Row],[Age]]&lt;=35,"19-35",IF(Table1[[#This Row],[Age]]&lt;=50,"36-50",IF(Table1[[#This Row],[Age]]&lt;=65,"51-65","65+"))))</f>
        <v>19-35</v>
      </c>
    </row>
    <row r="1641" spans="1:19" x14ac:dyDescent="0.3">
      <c r="A1641" s="3" t="s">
        <v>4932</v>
      </c>
      <c r="B1641" s="3">
        <v>80</v>
      </c>
      <c r="C1641" s="3" t="s">
        <v>35</v>
      </c>
      <c r="D1641" s="3" t="s">
        <v>122</v>
      </c>
      <c r="E1641" s="3" t="s">
        <v>54</v>
      </c>
      <c r="F1641" s="4">
        <v>44021</v>
      </c>
      <c r="G1641" s="3" t="s">
        <v>4933</v>
      </c>
      <c r="H1641" s="3" t="s">
        <v>2292</v>
      </c>
      <c r="I1641" s="3" t="s">
        <v>65</v>
      </c>
      <c r="J1641" s="5">
        <v>50554.3054353189</v>
      </c>
      <c r="K1641" s="3">
        <v>453</v>
      </c>
      <c r="L1641" s="3" t="s">
        <v>46</v>
      </c>
      <c r="M1641" s="4">
        <v>44050</v>
      </c>
      <c r="N1641" s="3" t="s">
        <v>23</v>
      </c>
      <c r="O1641" s="3" t="s">
        <v>24</v>
      </c>
      <c r="P1641" s="3" t="str">
        <f>IF(Table1[[#This Row],[Billing Amount]]&lt;5000,"Low",IF(Table1[[#This Row],[Billing Amount]]&lt;=15000,"Medium","High"))</f>
        <v>High</v>
      </c>
      <c r="Q1641" s="3" t="str">
        <f>IF(Table1[[#This Row],[Discharge Date]]="Yes","Discharged","Under Treatment")</f>
        <v>Under Treatment</v>
      </c>
      <c r="R1641" s="3" t="str">
        <f>IF(Table1[[#This Row],[Test Results]]&gt;120,"High Risk","Normal")</f>
        <v>High Risk</v>
      </c>
      <c r="S1641" s="3" t="str">
        <f>IF(Table1[[#This Row],[Age]]&lt;=18,"0-18",IF(Table1[[#This Row],[Age]]&lt;=35,"19-35",IF(Table1[[#This Row],[Age]]&lt;=50,"36-50",IF(Table1[[#This Row],[Age]]&lt;=65,"51-65","65+"))))</f>
        <v>65+</v>
      </c>
    </row>
    <row r="1642" spans="1:19" x14ac:dyDescent="0.3">
      <c r="A1642" s="3" t="s">
        <v>4934</v>
      </c>
      <c r="B1642" s="3">
        <v>63</v>
      </c>
      <c r="C1642" s="3" t="s">
        <v>35</v>
      </c>
      <c r="D1642" s="3" t="s">
        <v>36</v>
      </c>
      <c r="E1642" s="3" t="s">
        <v>27</v>
      </c>
      <c r="F1642" s="4">
        <v>43939</v>
      </c>
      <c r="G1642" s="3" t="s">
        <v>4935</v>
      </c>
      <c r="H1642" s="3" t="s">
        <v>4936</v>
      </c>
      <c r="I1642" s="3" t="s">
        <v>21</v>
      </c>
      <c r="J1642" s="5">
        <v>42048.4569282507</v>
      </c>
      <c r="K1642" s="3">
        <v>237</v>
      </c>
      <c r="L1642" s="3" t="s">
        <v>31</v>
      </c>
      <c r="M1642" s="4">
        <v>43964</v>
      </c>
      <c r="N1642" s="3" t="s">
        <v>23</v>
      </c>
      <c r="O1642" s="3" t="s">
        <v>33</v>
      </c>
      <c r="P1642" s="3" t="str">
        <f>IF(Table1[[#This Row],[Billing Amount]]&lt;5000,"Low",IF(Table1[[#This Row],[Billing Amount]]&lt;=15000,"Medium","High"))</f>
        <v>High</v>
      </c>
      <c r="Q1642" s="3" t="str">
        <f>IF(Table1[[#This Row],[Discharge Date]]="Yes","Discharged","Under Treatment")</f>
        <v>Under Treatment</v>
      </c>
      <c r="R1642" s="3" t="str">
        <f>IF(Table1[[#This Row],[Test Results]]&gt;120,"High Risk","Normal")</f>
        <v>High Risk</v>
      </c>
      <c r="S1642" s="3" t="str">
        <f>IF(Table1[[#This Row],[Age]]&lt;=18,"0-18",IF(Table1[[#This Row],[Age]]&lt;=35,"19-35",IF(Table1[[#This Row],[Age]]&lt;=50,"36-50",IF(Table1[[#This Row],[Age]]&lt;=65,"51-65","65+"))))</f>
        <v>51-65</v>
      </c>
    </row>
    <row r="1643" spans="1:19" x14ac:dyDescent="0.3">
      <c r="A1643" s="3" t="s">
        <v>4937</v>
      </c>
      <c r="B1643" s="3">
        <v>81</v>
      </c>
      <c r="C1643" s="3" t="s">
        <v>16</v>
      </c>
      <c r="D1643" s="3" t="s">
        <v>49</v>
      </c>
      <c r="E1643" s="3" t="s">
        <v>27</v>
      </c>
      <c r="F1643" s="4">
        <v>44907</v>
      </c>
      <c r="G1643" s="3" t="s">
        <v>4938</v>
      </c>
      <c r="H1643" s="3" t="s">
        <v>4939</v>
      </c>
      <c r="I1643" s="3" t="s">
        <v>30</v>
      </c>
      <c r="J1643" s="5">
        <v>33035.803388164502</v>
      </c>
      <c r="K1643" s="3">
        <v>434</v>
      </c>
      <c r="L1643" s="3" t="s">
        <v>46</v>
      </c>
      <c r="M1643" s="4">
        <v>44914</v>
      </c>
      <c r="N1643" s="3" t="s">
        <v>32</v>
      </c>
      <c r="O1643" s="3" t="s">
        <v>24</v>
      </c>
      <c r="P1643" s="3" t="str">
        <f>IF(Table1[[#This Row],[Billing Amount]]&lt;5000,"Low",IF(Table1[[#This Row],[Billing Amount]]&lt;=15000,"Medium","High"))</f>
        <v>High</v>
      </c>
      <c r="Q1643" s="3" t="str">
        <f>IF(Table1[[#This Row],[Discharge Date]]="Yes","Discharged","Under Treatment")</f>
        <v>Under Treatment</v>
      </c>
      <c r="R1643" s="3" t="str">
        <f>IF(Table1[[#This Row],[Test Results]]&gt;120,"High Risk","Normal")</f>
        <v>High Risk</v>
      </c>
      <c r="S1643" s="3" t="str">
        <f>IF(Table1[[#This Row],[Age]]&lt;=18,"0-18",IF(Table1[[#This Row],[Age]]&lt;=35,"19-35",IF(Table1[[#This Row],[Age]]&lt;=50,"36-50",IF(Table1[[#This Row],[Age]]&lt;=65,"51-65","65+"))))</f>
        <v>65+</v>
      </c>
    </row>
    <row r="1644" spans="1:19" x14ac:dyDescent="0.3">
      <c r="A1644" s="3" t="s">
        <v>4940</v>
      </c>
      <c r="B1644" s="3">
        <v>52</v>
      </c>
      <c r="C1644" s="3" t="s">
        <v>35</v>
      </c>
      <c r="D1644" s="3" t="s">
        <v>17</v>
      </c>
      <c r="E1644" s="3" t="s">
        <v>76</v>
      </c>
      <c r="F1644" s="4">
        <v>45078</v>
      </c>
      <c r="G1644" s="3" t="s">
        <v>4941</v>
      </c>
      <c r="H1644" s="3" t="s">
        <v>2064</v>
      </c>
      <c r="I1644" s="3" t="s">
        <v>57</v>
      </c>
      <c r="J1644" s="5">
        <v>2388.7673861491699</v>
      </c>
      <c r="K1644" s="3">
        <v>354</v>
      </c>
      <c r="L1644" s="3" t="s">
        <v>22</v>
      </c>
      <c r="M1644" s="4">
        <v>45090</v>
      </c>
      <c r="N1644" s="3" t="s">
        <v>32</v>
      </c>
      <c r="O1644" s="3" t="s">
        <v>33</v>
      </c>
      <c r="P1644" s="3" t="str">
        <f>IF(Table1[[#This Row],[Billing Amount]]&lt;5000,"Low",IF(Table1[[#This Row],[Billing Amount]]&lt;=15000,"Medium","High"))</f>
        <v>Low</v>
      </c>
      <c r="Q1644" s="3" t="str">
        <f>IF(Table1[[#This Row],[Discharge Date]]="Yes","Discharged","Under Treatment")</f>
        <v>Under Treatment</v>
      </c>
      <c r="R1644" s="3" t="str">
        <f>IF(Table1[[#This Row],[Test Results]]&gt;120,"High Risk","Normal")</f>
        <v>High Risk</v>
      </c>
      <c r="S1644" s="3" t="str">
        <f>IF(Table1[[#This Row],[Age]]&lt;=18,"0-18",IF(Table1[[#This Row],[Age]]&lt;=35,"19-35",IF(Table1[[#This Row],[Age]]&lt;=50,"36-50",IF(Table1[[#This Row],[Age]]&lt;=65,"51-65","65+"))))</f>
        <v>51-65</v>
      </c>
    </row>
    <row r="1645" spans="1:19" x14ac:dyDescent="0.3">
      <c r="A1645" s="3" t="s">
        <v>4942</v>
      </c>
      <c r="B1645" s="3">
        <v>73</v>
      </c>
      <c r="C1645" s="3" t="s">
        <v>35</v>
      </c>
      <c r="D1645" s="3" t="s">
        <v>42</v>
      </c>
      <c r="E1645" s="3" t="s">
        <v>54</v>
      </c>
      <c r="F1645" s="4">
        <v>45161</v>
      </c>
      <c r="G1645" s="3" t="s">
        <v>4943</v>
      </c>
      <c r="H1645" s="3" t="s">
        <v>4944</v>
      </c>
      <c r="I1645" s="3" t="s">
        <v>65</v>
      </c>
      <c r="J1645" s="5">
        <v>36857.912636582201</v>
      </c>
      <c r="K1645" s="3">
        <v>497</v>
      </c>
      <c r="L1645" s="3" t="s">
        <v>31</v>
      </c>
      <c r="M1645" s="4">
        <v>45182</v>
      </c>
      <c r="N1645" s="3" t="s">
        <v>40</v>
      </c>
      <c r="O1645" s="3" t="s">
        <v>47</v>
      </c>
      <c r="P1645" s="3" t="str">
        <f>IF(Table1[[#This Row],[Billing Amount]]&lt;5000,"Low",IF(Table1[[#This Row],[Billing Amount]]&lt;=15000,"Medium","High"))</f>
        <v>High</v>
      </c>
      <c r="Q1645" s="3" t="str">
        <f>IF(Table1[[#This Row],[Discharge Date]]="Yes","Discharged","Under Treatment")</f>
        <v>Under Treatment</v>
      </c>
      <c r="R1645" s="3" t="str">
        <f>IF(Table1[[#This Row],[Test Results]]&gt;120,"High Risk","Normal")</f>
        <v>High Risk</v>
      </c>
      <c r="S1645" s="3" t="str">
        <f>IF(Table1[[#This Row],[Age]]&lt;=18,"0-18",IF(Table1[[#This Row],[Age]]&lt;=35,"19-35",IF(Table1[[#This Row],[Age]]&lt;=50,"36-50",IF(Table1[[#This Row],[Age]]&lt;=65,"51-65","65+"))))</f>
        <v>65+</v>
      </c>
    </row>
    <row r="1646" spans="1:19" x14ac:dyDescent="0.3">
      <c r="A1646" s="3" t="s">
        <v>4945</v>
      </c>
      <c r="B1646" s="3">
        <v>47</v>
      </c>
      <c r="C1646" s="3" t="s">
        <v>16</v>
      </c>
      <c r="D1646" s="3" t="s">
        <v>59</v>
      </c>
      <c r="E1646" s="3" t="s">
        <v>76</v>
      </c>
      <c r="F1646" s="4">
        <v>44995</v>
      </c>
      <c r="G1646" s="3" t="s">
        <v>4946</v>
      </c>
      <c r="H1646" s="3" t="s">
        <v>4947</v>
      </c>
      <c r="I1646" s="3" t="s">
        <v>65</v>
      </c>
      <c r="J1646" s="5">
        <v>35814.012985740497</v>
      </c>
      <c r="K1646" s="3">
        <v>264</v>
      </c>
      <c r="L1646" s="3" t="s">
        <v>22</v>
      </c>
      <c r="M1646" s="4">
        <v>45004</v>
      </c>
      <c r="N1646" s="3" t="s">
        <v>32</v>
      </c>
      <c r="O1646" s="3" t="s">
        <v>33</v>
      </c>
      <c r="P1646" s="3" t="str">
        <f>IF(Table1[[#This Row],[Billing Amount]]&lt;5000,"Low",IF(Table1[[#This Row],[Billing Amount]]&lt;=15000,"Medium","High"))</f>
        <v>High</v>
      </c>
      <c r="Q1646" s="3" t="str">
        <f>IF(Table1[[#This Row],[Discharge Date]]="Yes","Discharged","Under Treatment")</f>
        <v>Under Treatment</v>
      </c>
      <c r="R1646" s="3" t="str">
        <f>IF(Table1[[#This Row],[Test Results]]&gt;120,"High Risk","Normal")</f>
        <v>High Risk</v>
      </c>
      <c r="S1646" s="3" t="str">
        <f>IF(Table1[[#This Row],[Age]]&lt;=18,"0-18",IF(Table1[[#This Row],[Age]]&lt;=35,"19-35",IF(Table1[[#This Row],[Age]]&lt;=50,"36-50",IF(Table1[[#This Row],[Age]]&lt;=65,"51-65","65+"))))</f>
        <v>36-50</v>
      </c>
    </row>
    <row r="1647" spans="1:19" x14ac:dyDescent="0.3">
      <c r="A1647" s="3" t="s">
        <v>4948</v>
      </c>
      <c r="B1647" s="3">
        <v>62</v>
      </c>
      <c r="C1647" s="3" t="s">
        <v>16</v>
      </c>
      <c r="D1647" s="3" t="s">
        <v>26</v>
      </c>
      <c r="E1647" s="3" t="s">
        <v>54</v>
      </c>
      <c r="F1647" s="4">
        <v>44942</v>
      </c>
      <c r="G1647" s="3" t="s">
        <v>4949</v>
      </c>
      <c r="H1647" s="3" t="s">
        <v>4950</v>
      </c>
      <c r="I1647" s="3" t="s">
        <v>57</v>
      </c>
      <c r="J1647" s="5">
        <v>9085.3984886551898</v>
      </c>
      <c r="K1647" s="3">
        <v>224</v>
      </c>
      <c r="L1647" s="3" t="s">
        <v>31</v>
      </c>
      <c r="M1647" s="4">
        <v>44946</v>
      </c>
      <c r="N1647" s="3" t="s">
        <v>40</v>
      </c>
      <c r="O1647" s="3" t="s">
        <v>47</v>
      </c>
      <c r="P1647" s="3" t="str">
        <f>IF(Table1[[#This Row],[Billing Amount]]&lt;5000,"Low",IF(Table1[[#This Row],[Billing Amount]]&lt;=15000,"Medium","High"))</f>
        <v>Medium</v>
      </c>
      <c r="Q1647" s="3" t="str">
        <f>IF(Table1[[#This Row],[Discharge Date]]="Yes","Discharged","Under Treatment")</f>
        <v>Under Treatment</v>
      </c>
      <c r="R1647" s="3" t="str">
        <f>IF(Table1[[#This Row],[Test Results]]&gt;120,"High Risk","Normal")</f>
        <v>High Risk</v>
      </c>
      <c r="S1647" s="3" t="str">
        <f>IF(Table1[[#This Row],[Age]]&lt;=18,"0-18",IF(Table1[[#This Row],[Age]]&lt;=35,"19-35",IF(Table1[[#This Row],[Age]]&lt;=50,"36-50",IF(Table1[[#This Row],[Age]]&lt;=65,"51-65","65+"))))</f>
        <v>51-65</v>
      </c>
    </row>
    <row r="1648" spans="1:19" x14ac:dyDescent="0.3">
      <c r="A1648" s="3" t="s">
        <v>4951</v>
      </c>
      <c r="B1648" s="3">
        <v>44</v>
      </c>
      <c r="C1648" s="3" t="s">
        <v>16</v>
      </c>
      <c r="D1648" s="3" t="s">
        <v>49</v>
      </c>
      <c r="E1648" s="3" t="s">
        <v>27</v>
      </c>
      <c r="F1648" s="4">
        <v>45139</v>
      </c>
      <c r="G1648" s="3" t="s">
        <v>4952</v>
      </c>
      <c r="H1648" s="3" t="s">
        <v>4953</v>
      </c>
      <c r="I1648" s="3" t="s">
        <v>65</v>
      </c>
      <c r="J1648" s="5">
        <v>45026.148206975398</v>
      </c>
      <c r="K1648" s="3">
        <v>119</v>
      </c>
      <c r="L1648" s="3" t="s">
        <v>46</v>
      </c>
      <c r="M1648" s="4">
        <v>45165</v>
      </c>
      <c r="N1648" s="3" t="s">
        <v>79</v>
      </c>
      <c r="O1648" s="3" t="s">
        <v>33</v>
      </c>
      <c r="P1648" s="3" t="str">
        <f>IF(Table1[[#This Row],[Billing Amount]]&lt;5000,"Low",IF(Table1[[#This Row],[Billing Amount]]&lt;=15000,"Medium","High"))</f>
        <v>High</v>
      </c>
      <c r="Q1648" s="3" t="str">
        <f>IF(Table1[[#This Row],[Discharge Date]]="Yes","Discharged","Under Treatment")</f>
        <v>Under Treatment</v>
      </c>
      <c r="R1648" s="3" t="str">
        <f>IF(Table1[[#This Row],[Test Results]]&gt;120,"High Risk","Normal")</f>
        <v>High Risk</v>
      </c>
      <c r="S1648" s="3" t="str">
        <f>IF(Table1[[#This Row],[Age]]&lt;=18,"0-18",IF(Table1[[#This Row],[Age]]&lt;=35,"19-35",IF(Table1[[#This Row],[Age]]&lt;=50,"36-50",IF(Table1[[#This Row],[Age]]&lt;=65,"51-65","65+"))))</f>
        <v>36-50</v>
      </c>
    </row>
    <row r="1649" spans="1:19" x14ac:dyDescent="0.3">
      <c r="A1649" s="3" t="s">
        <v>4954</v>
      </c>
      <c r="B1649" s="3">
        <v>72</v>
      </c>
      <c r="C1649" s="3" t="s">
        <v>35</v>
      </c>
      <c r="D1649" s="3" t="s">
        <v>122</v>
      </c>
      <c r="E1649" s="3" t="s">
        <v>27</v>
      </c>
      <c r="F1649" s="4">
        <v>44565</v>
      </c>
      <c r="G1649" s="3" t="s">
        <v>4955</v>
      </c>
      <c r="H1649" s="3" t="s">
        <v>4956</v>
      </c>
      <c r="I1649" s="3" t="s">
        <v>21</v>
      </c>
      <c r="J1649" s="5">
        <v>21354.820756389599</v>
      </c>
      <c r="K1649" s="3">
        <v>431</v>
      </c>
      <c r="L1649" s="3" t="s">
        <v>46</v>
      </c>
      <c r="M1649" s="4">
        <v>44581</v>
      </c>
      <c r="N1649" s="3" t="s">
        <v>52</v>
      </c>
      <c r="O1649" s="3" t="s">
        <v>47</v>
      </c>
      <c r="P1649" s="3" t="str">
        <f>IF(Table1[[#This Row],[Billing Amount]]&lt;5000,"Low",IF(Table1[[#This Row],[Billing Amount]]&lt;=15000,"Medium","High"))</f>
        <v>High</v>
      </c>
      <c r="Q1649" s="3" t="str">
        <f>IF(Table1[[#This Row],[Discharge Date]]="Yes","Discharged","Under Treatment")</f>
        <v>Under Treatment</v>
      </c>
      <c r="R1649" s="3" t="str">
        <f>IF(Table1[[#This Row],[Test Results]]&gt;120,"High Risk","Normal")</f>
        <v>High Risk</v>
      </c>
      <c r="S1649" s="3" t="str">
        <f>IF(Table1[[#This Row],[Age]]&lt;=18,"0-18",IF(Table1[[#This Row],[Age]]&lt;=35,"19-35",IF(Table1[[#This Row],[Age]]&lt;=50,"36-50",IF(Table1[[#This Row],[Age]]&lt;=65,"51-65","65+"))))</f>
        <v>65+</v>
      </c>
    </row>
    <row r="1650" spans="1:19" x14ac:dyDescent="0.3">
      <c r="A1650" s="3" t="s">
        <v>4957</v>
      </c>
      <c r="B1650" s="3">
        <v>81</v>
      </c>
      <c r="C1650" s="3" t="s">
        <v>35</v>
      </c>
      <c r="D1650" s="3" t="s">
        <v>26</v>
      </c>
      <c r="E1650" s="3" t="s">
        <v>27</v>
      </c>
      <c r="F1650" s="4">
        <v>43886</v>
      </c>
      <c r="G1650" s="3" t="s">
        <v>4958</v>
      </c>
      <c r="H1650" s="3" t="s">
        <v>4959</v>
      </c>
      <c r="I1650" s="3" t="s">
        <v>39</v>
      </c>
      <c r="J1650" s="5">
        <v>45663.037273148198</v>
      </c>
      <c r="K1650" s="3">
        <v>161</v>
      </c>
      <c r="L1650" s="3" t="s">
        <v>46</v>
      </c>
      <c r="M1650" s="4">
        <v>43902</v>
      </c>
      <c r="N1650" s="3" t="s">
        <v>40</v>
      </c>
      <c r="O1650" s="3" t="s">
        <v>33</v>
      </c>
      <c r="P1650" s="3" t="str">
        <f>IF(Table1[[#This Row],[Billing Amount]]&lt;5000,"Low",IF(Table1[[#This Row],[Billing Amount]]&lt;=15000,"Medium","High"))</f>
        <v>High</v>
      </c>
      <c r="Q1650" s="3" t="str">
        <f>IF(Table1[[#This Row],[Discharge Date]]="Yes","Discharged","Under Treatment")</f>
        <v>Under Treatment</v>
      </c>
      <c r="R1650" s="3" t="str">
        <f>IF(Table1[[#This Row],[Test Results]]&gt;120,"High Risk","Normal")</f>
        <v>High Risk</v>
      </c>
      <c r="S1650" s="3" t="str">
        <f>IF(Table1[[#This Row],[Age]]&lt;=18,"0-18",IF(Table1[[#This Row],[Age]]&lt;=35,"19-35",IF(Table1[[#This Row],[Age]]&lt;=50,"36-50",IF(Table1[[#This Row],[Age]]&lt;=65,"51-65","65+"))))</f>
        <v>65+</v>
      </c>
    </row>
    <row r="1651" spans="1:19" x14ac:dyDescent="0.3">
      <c r="A1651" s="3" t="s">
        <v>4960</v>
      </c>
      <c r="B1651" s="3">
        <v>61</v>
      </c>
      <c r="C1651" s="3" t="s">
        <v>35</v>
      </c>
      <c r="D1651" s="3" t="s">
        <v>17</v>
      </c>
      <c r="E1651" s="3" t="s">
        <v>54</v>
      </c>
      <c r="F1651" s="4">
        <v>44196</v>
      </c>
      <c r="G1651" s="3" t="s">
        <v>4961</v>
      </c>
      <c r="H1651" s="3" t="s">
        <v>4962</v>
      </c>
      <c r="I1651" s="3" t="s">
        <v>39</v>
      </c>
      <c r="J1651" s="5">
        <v>25337.420178798598</v>
      </c>
      <c r="K1651" s="3">
        <v>338</v>
      </c>
      <c r="L1651" s="3" t="s">
        <v>46</v>
      </c>
      <c r="M1651" s="4">
        <v>44222</v>
      </c>
      <c r="N1651" s="3" t="s">
        <v>52</v>
      </c>
      <c r="O1651" s="3" t="s">
        <v>47</v>
      </c>
      <c r="P1651" s="3" t="str">
        <f>IF(Table1[[#This Row],[Billing Amount]]&lt;5000,"Low",IF(Table1[[#This Row],[Billing Amount]]&lt;=15000,"Medium","High"))</f>
        <v>High</v>
      </c>
      <c r="Q1651" s="3" t="str">
        <f>IF(Table1[[#This Row],[Discharge Date]]="Yes","Discharged","Under Treatment")</f>
        <v>Under Treatment</v>
      </c>
      <c r="R1651" s="3" t="str">
        <f>IF(Table1[[#This Row],[Test Results]]&gt;120,"High Risk","Normal")</f>
        <v>High Risk</v>
      </c>
      <c r="S1651" s="3" t="str">
        <f>IF(Table1[[#This Row],[Age]]&lt;=18,"0-18",IF(Table1[[#This Row],[Age]]&lt;=35,"19-35",IF(Table1[[#This Row],[Age]]&lt;=50,"36-50",IF(Table1[[#This Row],[Age]]&lt;=65,"51-65","65+"))))</f>
        <v>51-65</v>
      </c>
    </row>
    <row r="1652" spans="1:19" x14ac:dyDescent="0.3">
      <c r="A1652" s="3" t="s">
        <v>4963</v>
      </c>
      <c r="B1652" s="3">
        <v>38</v>
      </c>
      <c r="C1652" s="3" t="s">
        <v>16</v>
      </c>
      <c r="D1652" s="3" t="s">
        <v>36</v>
      </c>
      <c r="E1652" s="3" t="s">
        <v>93</v>
      </c>
      <c r="F1652" s="4">
        <v>44148</v>
      </c>
      <c r="G1652" s="3" t="s">
        <v>4964</v>
      </c>
      <c r="H1652" s="3" t="s">
        <v>4965</v>
      </c>
      <c r="I1652" s="3" t="s">
        <v>39</v>
      </c>
      <c r="J1652" s="5">
        <v>37164.171505440703</v>
      </c>
      <c r="K1652" s="3">
        <v>427</v>
      </c>
      <c r="L1652" s="3" t="s">
        <v>46</v>
      </c>
      <c r="M1652" s="4">
        <v>44167</v>
      </c>
      <c r="N1652" s="3" t="s">
        <v>23</v>
      </c>
      <c r="O1652" s="3" t="s">
        <v>33</v>
      </c>
      <c r="P1652" s="3" t="str">
        <f>IF(Table1[[#This Row],[Billing Amount]]&lt;5000,"Low",IF(Table1[[#This Row],[Billing Amount]]&lt;=15000,"Medium","High"))</f>
        <v>High</v>
      </c>
      <c r="Q1652" s="3" t="str">
        <f>IF(Table1[[#This Row],[Discharge Date]]="Yes","Discharged","Under Treatment")</f>
        <v>Under Treatment</v>
      </c>
      <c r="R1652" s="3" t="str">
        <f>IF(Table1[[#This Row],[Test Results]]&gt;120,"High Risk","Normal")</f>
        <v>High Risk</v>
      </c>
      <c r="S1652" s="3" t="str">
        <f>IF(Table1[[#This Row],[Age]]&lt;=18,"0-18",IF(Table1[[#This Row],[Age]]&lt;=35,"19-35",IF(Table1[[#This Row],[Age]]&lt;=50,"36-50",IF(Table1[[#This Row],[Age]]&lt;=65,"51-65","65+"))))</f>
        <v>36-50</v>
      </c>
    </row>
    <row r="1653" spans="1:19" x14ac:dyDescent="0.3">
      <c r="A1653" s="3" t="s">
        <v>4966</v>
      </c>
      <c r="B1653" s="3">
        <v>35</v>
      </c>
      <c r="C1653" s="3" t="s">
        <v>35</v>
      </c>
      <c r="D1653" s="3" t="s">
        <v>49</v>
      </c>
      <c r="E1653" s="3" t="s">
        <v>18</v>
      </c>
      <c r="F1653" s="4">
        <v>44471</v>
      </c>
      <c r="G1653" s="3" t="s">
        <v>4967</v>
      </c>
      <c r="H1653" s="3" t="s">
        <v>4968</v>
      </c>
      <c r="I1653" s="3" t="s">
        <v>57</v>
      </c>
      <c r="J1653" s="5">
        <v>43423.787500475999</v>
      </c>
      <c r="K1653" s="3">
        <v>418</v>
      </c>
      <c r="L1653" s="3" t="s">
        <v>46</v>
      </c>
      <c r="M1653" s="4">
        <v>44492</v>
      </c>
      <c r="N1653" s="3" t="s">
        <v>52</v>
      </c>
      <c r="O1653" s="3" t="s">
        <v>33</v>
      </c>
      <c r="P1653" s="3" t="str">
        <f>IF(Table1[[#This Row],[Billing Amount]]&lt;5000,"Low",IF(Table1[[#This Row],[Billing Amount]]&lt;=15000,"Medium","High"))</f>
        <v>High</v>
      </c>
      <c r="Q1653" s="3" t="str">
        <f>IF(Table1[[#This Row],[Discharge Date]]="Yes","Discharged","Under Treatment")</f>
        <v>Under Treatment</v>
      </c>
      <c r="R1653" s="3" t="str">
        <f>IF(Table1[[#This Row],[Test Results]]&gt;120,"High Risk","Normal")</f>
        <v>High Risk</v>
      </c>
      <c r="S1653" s="3" t="str">
        <f>IF(Table1[[#This Row],[Age]]&lt;=18,"0-18",IF(Table1[[#This Row],[Age]]&lt;=35,"19-35",IF(Table1[[#This Row],[Age]]&lt;=50,"36-50",IF(Table1[[#This Row],[Age]]&lt;=65,"51-65","65+"))))</f>
        <v>19-35</v>
      </c>
    </row>
    <row r="1654" spans="1:19" x14ac:dyDescent="0.3">
      <c r="A1654" s="3" t="s">
        <v>4969</v>
      </c>
      <c r="B1654" s="3">
        <v>26</v>
      </c>
      <c r="C1654" s="3" t="s">
        <v>35</v>
      </c>
      <c r="D1654" s="3" t="s">
        <v>59</v>
      </c>
      <c r="E1654" s="3" t="s">
        <v>93</v>
      </c>
      <c r="F1654" s="4">
        <v>45141</v>
      </c>
      <c r="G1654" s="3" t="s">
        <v>4970</v>
      </c>
      <c r="H1654" s="3" t="s">
        <v>4971</v>
      </c>
      <c r="I1654" s="3" t="s">
        <v>65</v>
      </c>
      <c r="J1654" s="5">
        <v>48023.922171532999</v>
      </c>
      <c r="K1654" s="3">
        <v>412</v>
      </c>
      <c r="L1654" s="3" t="s">
        <v>46</v>
      </c>
      <c r="M1654" s="4">
        <v>45151</v>
      </c>
      <c r="N1654" s="3" t="s">
        <v>52</v>
      </c>
      <c r="O1654" s="3" t="s">
        <v>47</v>
      </c>
      <c r="P1654" s="3" t="str">
        <f>IF(Table1[[#This Row],[Billing Amount]]&lt;5000,"Low",IF(Table1[[#This Row],[Billing Amount]]&lt;=15000,"Medium","High"))</f>
        <v>High</v>
      </c>
      <c r="Q1654" s="3" t="str">
        <f>IF(Table1[[#This Row],[Discharge Date]]="Yes","Discharged","Under Treatment")</f>
        <v>Under Treatment</v>
      </c>
      <c r="R1654" s="3" t="str">
        <f>IF(Table1[[#This Row],[Test Results]]&gt;120,"High Risk","Normal")</f>
        <v>High Risk</v>
      </c>
      <c r="S1654" s="3" t="str">
        <f>IF(Table1[[#This Row],[Age]]&lt;=18,"0-18",IF(Table1[[#This Row],[Age]]&lt;=35,"19-35",IF(Table1[[#This Row],[Age]]&lt;=50,"36-50",IF(Table1[[#This Row],[Age]]&lt;=65,"51-65","65+"))))</f>
        <v>19-35</v>
      </c>
    </row>
    <row r="1655" spans="1:19" x14ac:dyDescent="0.3">
      <c r="A1655" s="3" t="s">
        <v>4972</v>
      </c>
      <c r="B1655" s="3">
        <v>18</v>
      </c>
      <c r="C1655" s="3" t="s">
        <v>35</v>
      </c>
      <c r="D1655" s="3" t="s">
        <v>36</v>
      </c>
      <c r="E1655" s="3" t="s">
        <v>18</v>
      </c>
      <c r="F1655" s="4">
        <v>45345</v>
      </c>
      <c r="G1655" s="3" t="s">
        <v>4973</v>
      </c>
      <c r="H1655" s="3" t="s">
        <v>4074</v>
      </c>
      <c r="I1655" s="3" t="s">
        <v>21</v>
      </c>
      <c r="J1655" s="5">
        <v>42214.971634745802</v>
      </c>
      <c r="K1655" s="3">
        <v>120</v>
      </c>
      <c r="L1655" s="3" t="s">
        <v>46</v>
      </c>
      <c r="M1655" s="4">
        <v>45360</v>
      </c>
      <c r="N1655" s="3" t="s">
        <v>52</v>
      </c>
      <c r="O1655" s="3" t="s">
        <v>24</v>
      </c>
      <c r="P1655" s="3" t="str">
        <f>IF(Table1[[#This Row],[Billing Amount]]&lt;5000,"Low",IF(Table1[[#This Row],[Billing Amount]]&lt;=15000,"Medium","High"))</f>
        <v>High</v>
      </c>
      <c r="Q1655" s="3" t="str">
        <f>IF(Table1[[#This Row],[Discharge Date]]="Yes","Discharged","Under Treatment")</f>
        <v>Under Treatment</v>
      </c>
      <c r="R1655" s="3" t="str">
        <f>IF(Table1[[#This Row],[Test Results]]&gt;120,"High Risk","Normal")</f>
        <v>High Risk</v>
      </c>
      <c r="S1655" s="3" t="str">
        <f>IF(Table1[[#This Row],[Age]]&lt;=18,"0-18",IF(Table1[[#This Row],[Age]]&lt;=35,"19-35",IF(Table1[[#This Row],[Age]]&lt;=50,"36-50",IF(Table1[[#This Row],[Age]]&lt;=65,"51-65","65+"))))</f>
        <v>0-18</v>
      </c>
    </row>
    <row r="1656" spans="1:19" x14ac:dyDescent="0.3">
      <c r="A1656" s="3" t="s">
        <v>4974</v>
      </c>
      <c r="B1656" s="3">
        <v>42</v>
      </c>
      <c r="C1656" s="3" t="s">
        <v>16</v>
      </c>
      <c r="D1656" s="3" t="s">
        <v>103</v>
      </c>
      <c r="E1656" s="3" t="s">
        <v>76</v>
      </c>
      <c r="F1656" s="4">
        <v>43794</v>
      </c>
      <c r="G1656" s="3" t="s">
        <v>4975</v>
      </c>
      <c r="H1656" s="3" t="s">
        <v>655</v>
      </c>
      <c r="I1656" s="3" t="s">
        <v>39</v>
      </c>
      <c r="J1656" s="5">
        <v>4683.3728578332602</v>
      </c>
      <c r="K1656" s="3">
        <v>285</v>
      </c>
      <c r="L1656" s="3" t="s">
        <v>22</v>
      </c>
      <c r="M1656" s="4">
        <v>43797</v>
      </c>
      <c r="N1656" s="3" t="s">
        <v>40</v>
      </c>
      <c r="O1656" s="3" t="s">
        <v>47</v>
      </c>
      <c r="P1656" s="3" t="str">
        <f>IF(Table1[[#This Row],[Billing Amount]]&lt;5000,"Low",IF(Table1[[#This Row],[Billing Amount]]&lt;=15000,"Medium","High"))</f>
        <v>Low</v>
      </c>
      <c r="Q1656" s="3" t="str">
        <f>IF(Table1[[#This Row],[Discharge Date]]="Yes","Discharged","Under Treatment")</f>
        <v>Under Treatment</v>
      </c>
      <c r="R1656" s="3" t="str">
        <f>IF(Table1[[#This Row],[Test Results]]&gt;120,"High Risk","Normal")</f>
        <v>High Risk</v>
      </c>
      <c r="S1656" s="3" t="str">
        <f>IF(Table1[[#This Row],[Age]]&lt;=18,"0-18",IF(Table1[[#This Row],[Age]]&lt;=35,"19-35",IF(Table1[[#This Row],[Age]]&lt;=50,"36-50",IF(Table1[[#This Row],[Age]]&lt;=65,"51-65","65+"))))</f>
        <v>36-50</v>
      </c>
    </row>
    <row r="1657" spans="1:19" x14ac:dyDescent="0.3">
      <c r="A1657" s="3" t="s">
        <v>4976</v>
      </c>
      <c r="B1657" s="3">
        <v>57</v>
      </c>
      <c r="C1657" s="3" t="s">
        <v>35</v>
      </c>
      <c r="D1657" s="3" t="s">
        <v>17</v>
      </c>
      <c r="E1657" s="3" t="s">
        <v>43</v>
      </c>
      <c r="F1657" s="4">
        <v>44844</v>
      </c>
      <c r="G1657" s="3" t="s">
        <v>4977</v>
      </c>
      <c r="H1657" s="3" t="s">
        <v>4978</v>
      </c>
      <c r="I1657" s="3" t="s">
        <v>39</v>
      </c>
      <c r="J1657" s="5">
        <v>6704.6895093572602</v>
      </c>
      <c r="K1657" s="3">
        <v>138</v>
      </c>
      <c r="L1657" s="3" t="s">
        <v>31</v>
      </c>
      <c r="M1657" s="4">
        <v>44859</v>
      </c>
      <c r="N1657" s="3" t="s">
        <v>52</v>
      </c>
      <c r="O1657" s="3" t="s">
        <v>24</v>
      </c>
      <c r="P1657" s="3" t="str">
        <f>IF(Table1[[#This Row],[Billing Amount]]&lt;5000,"Low",IF(Table1[[#This Row],[Billing Amount]]&lt;=15000,"Medium","High"))</f>
        <v>Medium</v>
      </c>
      <c r="Q1657" s="3" t="str">
        <f>IF(Table1[[#This Row],[Discharge Date]]="Yes","Discharged","Under Treatment")</f>
        <v>Under Treatment</v>
      </c>
      <c r="R1657" s="3" t="str">
        <f>IF(Table1[[#This Row],[Test Results]]&gt;120,"High Risk","Normal")</f>
        <v>High Risk</v>
      </c>
      <c r="S1657" s="3" t="str">
        <f>IF(Table1[[#This Row],[Age]]&lt;=18,"0-18",IF(Table1[[#This Row],[Age]]&lt;=35,"19-35",IF(Table1[[#This Row],[Age]]&lt;=50,"36-50",IF(Table1[[#This Row],[Age]]&lt;=65,"51-65","65+"))))</f>
        <v>51-65</v>
      </c>
    </row>
    <row r="1658" spans="1:19" x14ac:dyDescent="0.3">
      <c r="A1658" s="3" t="s">
        <v>4979</v>
      </c>
      <c r="B1658" s="3">
        <v>69</v>
      </c>
      <c r="C1658" s="3" t="s">
        <v>35</v>
      </c>
      <c r="D1658" s="3" t="s">
        <v>103</v>
      </c>
      <c r="E1658" s="3" t="s">
        <v>43</v>
      </c>
      <c r="F1658" s="4">
        <v>45393</v>
      </c>
      <c r="G1658" s="3" t="s">
        <v>4980</v>
      </c>
      <c r="H1658" s="3" t="s">
        <v>4981</v>
      </c>
      <c r="I1658" s="3" t="s">
        <v>30</v>
      </c>
      <c r="J1658" s="5">
        <v>39822.527670343901</v>
      </c>
      <c r="K1658" s="3">
        <v>380</v>
      </c>
      <c r="L1658" s="3" t="s">
        <v>46</v>
      </c>
      <c r="M1658" s="4">
        <v>45418</v>
      </c>
      <c r="N1658" s="3" t="s">
        <v>32</v>
      </c>
      <c r="O1658" s="3" t="s">
        <v>33</v>
      </c>
      <c r="P1658" s="3" t="str">
        <f>IF(Table1[[#This Row],[Billing Amount]]&lt;5000,"Low",IF(Table1[[#This Row],[Billing Amount]]&lt;=15000,"Medium","High"))</f>
        <v>High</v>
      </c>
      <c r="Q1658" s="3" t="str">
        <f>IF(Table1[[#This Row],[Discharge Date]]="Yes","Discharged","Under Treatment")</f>
        <v>Under Treatment</v>
      </c>
      <c r="R1658" s="3" t="str">
        <f>IF(Table1[[#This Row],[Test Results]]&gt;120,"High Risk","Normal")</f>
        <v>High Risk</v>
      </c>
      <c r="S1658" s="3" t="str">
        <f>IF(Table1[[#This Row],[Age]]&lt;=18,"0-18",IF(Table1[[#This Row],[Age]]&lt;=35,"19-35",IF(Table1[[#This Row],[Age]]&lt;=50,"36-50",IF(Table1[[#This Row],[Age]]&lt;=65,"51-65","65+"))))</f>
        <v>65+</v>
      </c>
    </row>
    <row r="1659" spans="1:19" x14ac:dyDescent="0.3">
      <c r="A1659" s="3" t="s">
        <v>4982</v>
      </c>
      <c r="B1659" s="3">
        <v>85</v>
      </c>
      <c r="C1659" s="3" t="s">
        <v>16</v>
      </c>
      <c r="D1659" s="3" t="s">
        <v>59</v>
      </c>
      <c r="E1659" s="3" t="s">
        <v>43</v>
      </c>
      <c r="F1659" s="4">
        <v>44374</v>
      </c>
      <c r="G1659" s="3" t="s">
        <v>4983</v>
      </c>
      <c r="H1659" s="3" t="s">
        <v>4984</v>
      </c>
      <c r="I1659" s="3" t="s">
        <v>21</v>
      </c>
      <c r="J1659" s="5">
        <v>16505.449674596901</v>
      </c>
      <c r="K1659" s="3">
        <v>220</v>
      </c>
      <c r="L1659" s="3" t="s">
        <v>31</v>
      </c>
      <c r="M1659" s="4">
        <v>44382</v>
      </c>
      <c r="N1659" s="3" t="s">
        <v>23</v>
      </c>
      <c r="O1659" s="3" t="s">
        <v>33</v>
      </c>
      <c r="P1659" s="3" t="str">
        <f>IF(Table1[[#This Row],[Billing Amount]]&lt;5000,"Low",IF(Table1[[#This Row],[Billing Amount]]&lt;=15000,"Medium","High"))</f>
        <v>High</v>
      </c>
      <c r="Q1659" s="3" t="str">
        <f>IF(Table1[[#This Row],[Discharge Date]]="Yes","Discharged","Under Treatment")</f>
        <v>Under Treatment</v>
      </c>
      <c r="R1659" s="3" t="str">
        <f>IF(Table1[[#This Row],[Test Results]]&gt;120,"High Risk","Normal")</f>
        <v>High Risk</v>
      </c>
      <c r="S1659" s="3" t="str">
        <f>IF(Table1[[#This Row],[Age]]&lt;=18,"0-18",IF(Table1[[#This Row],[Age]]&lt;=35,"19-35",IF(Table1[[#This Row],[Age]]&lt;=50,"36-50",IF(Table1[[#This Row],[Age]]&lt;=65,"51-65","65+"))))</f>
        <v>65+</v>
      </c>
    </row>
    <row r="1660" spans="1:19" x14ac:dyDescent="0.3">
      <c r="A1660" s="3" t="s">
        <v>4985</v>
      </c>
      <c r="B1660" s="3">
        <v>67</v>
      </c>
      <c r="C1660" s="3" t="s">
        <v>16</v>
      </c>
      <c r="D1660" s="3" t="s">
        <v>26</v>
      </c>
      <c r="E1660" s="3" t="s">
        <v>43</v>
      </c>
      <c r="F1660" s="4">
        <v>43865</v>
      </c>
      <c r="G1660" s="3" t="s">
        <v>4986</v>
      </c>
      <c r="H1660" s="3" t="s">
        <v>4987</v>
      </c>
      <c r="I1660" s="3" t="s">
        <v>39</v>
      </c>
      <c r="J1660" s="5">
        <v>9544.8327397559897</v>
      </c>
      <c r="K1660" s="3">
        <v>438</v>
      </c>
      <c r="L1660" s="3" t="s">
        <v>46</v>
      </c>
      <c r="M1660" s="4">
        <v>43866</v>
      </c>
      <c r="N1660" s="3" t="s">
        <v>32</v>
      </c>
      <c r="O1660" s="3" t="s">
        <v>47</v>
      </c>
      <c r="P1660" s="3" t="str">
        <f>IF(Table1[[#This Row],[Billing Amount]]&lt;5000,"Low",IF(Table1[[#This Row],[Billing Amount]]&lt;=15000,"Medium","High"))</f>
        <v>Medium</v>
      </c>
      <c r="Q1660" s="3" t="str">
        <f>IF(Table1[[#This Row],[Discharge Date]]="Yes","Discharged","Under Treatment")</f>
        <v>Under Treatment</v>
      </c>
      <c r="R1660" s="3" t="str">
        <f>IF(Table1[[#This Row],[Test Results]]&gt;120,"High Risk","Normal")</f>
        <v>High Risk</v>
      </c>
      <c r="S1660" s="3" t="str">
        <f>IF(Table1[[#This Row],[Age]]&lt;=18,"0-18",IF(Table1[[#This Row],[Age]]&lt;=35,"19-35",IF(Table1[[#This Row],[Age]]&lt;=50,"36-50",IF(Table1[[#This Row],[Age]]&lt;=65,"51-65","65+"))))</f>
        <v>65+</v>
      </c>
    </row>
    <row r="1661" spans="1:19" x14ac:dyDescent="0.3">
      <c r="A1661" s="3" t="s">
        <v>4988</v>
      </c>
      <c r="B1661" s="3">
        <v>22</v>
      </c>
      <c r="C1661" s="3" t="s">
        <v>16</v>
      </c>
      <c r="D1661" s="3" t="s">
        <v>122</v>
      </c>
      <c r="E1661" s="3" t="s">
        <v>18</v>
      </c>
      <c r="F1661" s="4">
        <v>44026</v>
      </c>
      <c r="G1661" s="3" t="s">
        <v>4989</v>
      </c>
      <c r="H1661" s="3" t="s">
        <v>4990</v>
      </c>
      <c r="I1661" s="3" t="s">
        <v>65</v>
      </c>
      <c r="J1661" s="5">
        <v>2887.2879406874499</v>
      </c>
      <c r="K1661" s="3">
        <v>482</v>
      </c>
      <c r="L1661" s="3" t="s">
        <v>31</v>
      </c>
      <c r="M1661" s="4">
        <v>44030</v>
      </c>
      <c r="N1661" s="3" t="s">
        <v>40</v>
      </c>
      <c r="O1661" s="3" t="s">
        <v>47</v>
      </c>
      <c r="P1661" s="3" t="str">
        <f>IF(Table1[[#This Row],[Billing Amount]]&lt;5000,"Low",IF(Table1[[#This Row],[Billing Amount]]&lt;=15000,"Medium","High"))</f>
        <v>Low</v>
      </c>
      <c r="Q1661" s="3" t="str">
        <f>IF(Table1[[#This Row],[Discharge Date]]="Yes","Discharged","Under Treatment")</f>
        <v>Under Treatment</v>
      </c>
      <c r="R1661" s="3" t="str">
        <f>IF(Table1[[#This Row],[Test Results]]&gt;120,"High Risk","Normal")</f>
        <v>High Risk</v>
      </c>
      <c r="S1661" s="3" t="str">
        <f>IF(Table1[[#This Row],[Age]]&lt;=18,"0-18",IF(Table1[[#This Row],[Age]]&lt;=35,"19-35",IF(Table1[[#This Row],[Age]]&lt;=50,"36-50",IF(Table1[[#This Row],[Age]]&lt;=65,"51-65","65+"))))</f>
        <v>19-35</v>
      </c>
    </row>
    <row r="1662" spans="1:19" x14ac:dyDescent="0.3">
      <c r="A1662" s="3" t="s">
        <v>4991</v>
      </c>
      <c r="B1662" s="3">
        <v>81</v>
      </c>
      <c r="C1662" s="3" t="s">
        <v>16</v>
      </c>
      <c r="D1662" s="3" t="s">
        <v>36</v>
      </c>
      <c r="E1662" s="3" t="s">
        <v>54</v>
      </c>
      <c r="F1662" s="4">
        <v>44297</v>
      </c>
      <c r="G1662" s="3" t="s">
        <v>4992</v>
      </c>
      <c r="H1662" s="3" t="s">
        <v>4993</v>
      </c>
      <c r="I1662" s="3" t="s">
        <v>39</v>
      </c>
      <c r="J1662" s="5">
        <v>42378.6559781959</v>
      </c>
      <c r="K1662" s="3">
        <v>301</v>
      </c>
      <c r="L1662" s="3" t="s">
        <v>22</v>
      </c>
      <c r="M1662" s="4">
        <v>44303</v>
      </c>
      <c r="N1662" s="3" t="s">
        <v>52</v>
      </c>
      <c r="O1662" s="3" t="s">
        <v>33</v>
      </c>
      <c r="P1662" s="3" t="str">
        <f>IF(Table1[[#This Row],[Billing Amount]]&lt;5000,"Low",IF(Table1[[#This Row],[Billing Amount]]&lt;=15000,"Medium","High"))</f>
        <v>High</v>
      </c>
      <c r="Q1662" s="3" t="str">
        <f>IF(Table1[[#This Row],[Discharge Date]]="Yes","Discharged","Under Treatment")</f>
        <v>Under Treatment</v>
      </c>
      <c r="R1662" s="3" t="str">
        <f>IF(Table1[[#This Row],[Test Results]]&gt;120,"High Risk","Normal")</f>
        <v>High Risk</v>
      </c>
      <c r="S1662" s="3" t="str">
        <f>IF(Table1[[#This Row],[Age]]&lt;=18,"0-18",IF(Table1[[#This Row],[Age]]&lt;=35,"19-35",IF(Table1[[#This Row],[Age]]&lt;=50,"36-50",IF(Table1[[#This Row],[Age]]&lt;=65,"51-65","65+"))))</f>
        <v>65+</v>
      </c>
    </row>
    <row r="1663" spans="1:19" x14ac:dyDescent="0.3">
      <c r="A1663" s="3" t="s">
        <v>4994</v>
      </c>
      <c r="B1663" s="3">
        <v>85</v>
      </c>
      <c r="C1663" s="3" t="s">
        <v>16</v>
      </c>
      <c r="D1663" s="3" t="s">
        <v>26</v>
      </c>
      <c r="E1663" s="3" t="s">
        <v>93</v>
      </c>
      <c r="F1663" s="4">
        <v>45358</v>
      </c>
      <c r="G1663" s="3" t="s">
        <v>4995</v>
      </c>
      <c r="H1663" s="3" t="s">
        <v>4996</v>
      </c>
      <c r="I1663" s="3" t="s">
        <v>39</v>
      </c>
      <c r="J1663" s="5">
        <v>16075.0068225422</v>
      </c>
      <c r="K1663" s="3">
        <v>181</v>
      </c>
      <c r="L1663" s="3" t="s">
        <v>46</v>
      </c>
      <c r="M1663" s="4">
        <v>45384</v>
      </c>
      <c r="N1663" s="3" t="s">
        <v>52</v>
      </c>
      <c r="O1663" s="3" t="s">
        <v>33</v>
      </c>
      <c r="P1663" s="3" t="str">
        <f>IF(Table1[[#This Row],[Billing Amount]]&lt;5000,"Low",IF(Table1[[#This Row],[Billing Amount]]&lt;=15000,"Medium","High"))</f>
        <v>High</v>
      </c>
      <c r="Q1663" s="3" t="str">
        <f>IF(Table1[[#This Row],[Discharge Date]]="Yes","Discharged","Under Treatment")</f>
        <v>Under Treatment</v>
      </c>
      <c r="R1663" s="3" t="str">
        <f>IF(Table1[[#This Row],[Test Results]]&gt;120,"High Risk","Normal")</f>
        <v>High Risk</v>
      </c>
      <c r="S1663" s="3" t="str">
        <f>IF(Table1[[#This Row],[Age]]&lt;=18,"0-18",IF(Table1[[#This Row],[Age]]&lt;=35,"19-35",IF(Table1[[#This Row],[Age]]&lt;=50,"36-50",IF(Table1[[#This Row],[Age]]&lt;=65,"51-65","65+"))))</f>
        <v>65+</v>
      </c>
    </row>
    <row r="1664" spans="1:19" x14ac:dyDescent="0.3">
      <c r="A1664" s="3" t="s">
        <v>4997</v>
      </c>
      <c r="B1664" s="3">
        <v>40</v>
      </c>
      <c r="C1664" s="3" t="s">
        <v>16</v>
      </c>
      <c r="D1664" s="3" t="s">
        <v>122</v>
      </c>
      <c r="E1664" s="3" t="s">
        <v>43</v>
      </c>
      <c r="F1664" s="4">
        <v>43795</v>
      </c>
      <c r="G1664" s="3" t="s">
        <v>4998</v>
      </c>
      <c r="H1664" s="3" t="s">
        <v>4999</v>
      </c>
      <c r="I1664" s="3" t="s">
        <v>39</v>
      </c>
      <c r="J1664" s="5">
        <v>14032.6652000744</v>
      </c>
      <c r="K1664" s="3">
        <v>299</v>
      </c>
      <c r="L1664" s="3" t="s">
        <v>22</v>
      </c>
      <c r="M1664" s="4">
        <v>43799</v>
      </c>
      <c r="N1664" s="3" t="s">
        <v>40</v>
      </c>
      <c r="O1664" s="3" t="s">
        <v>33</v>
      </c>
      <c r="P1664" s="3" t="str">
        <f>IF(Table1[[#This Row],[Billing Amount]]&lt;5000,"Low",IF(Table1[[#This Row],[Billing Amount]]&lt;=15000,"Medium","High"))</f>
        <v>Medium</v>
      </c>
      <c r="Q1664" s="3" t="str">
        <f>IF(Table1[[#This Row],[Discharge Date]]="Yes","Discharged","Under Treatment")</f>
        <v>Under Treatment</v>
      </c>
      <c r="R1664" s="3" t="str">
        <f>IF(Table1[[#This Row],[Test Results]]&gt;120,"High Risk","Normal")</f>
        <v>High Risk</v>
      </c>
      <c r="S1664" s="3" t="str">
        <f>IF(Table1[[#This Row],[Age]]&lt;=18,"0-18",IF(Table1[[#This Row],[Age]]&lt;=35,"19-35",IF(Table1[[#This Row],[Age]]&lt;=50,"36-50",IF(Table1[[#This Row],[Age]]&lt;=65,"51-65","65+"))))</f>
        <v>36-50</v>
      </c>
    </row>
    <row r="1665" spans="1:19" x14ac:dyDescent="0.3">
      <c r="A1665" s="3" t="s">
        <v>5000</v>
      </c>
      <c r="B1665" s="3">
        <v>21</v>
      </c>
      <c r="C1665" s="3" t="s">
        <v>35</v>
      </c>
      <c r="D1665" s="3" t="s">
        <v>122</v>
      </c>
      <c r="E1665" s="3" t="s">
        <v>54</v>
      </c>
      <c r="F1665" s="4">
        <v>44608</v>
      </c>
      <c r="G1665" s="3" t="s">
        <v>5001</v>
      </c>
      <c r="H1665" s="3" t="s">
        <v>5002</v>
      </c>
      <c r="I1665" s="3" t="s">
        <v>65</v>
      </c>
      <c r="J1665" s="5">
        <v>39208.752374179501</v>
      </c>
      <c r="K1665" s="3">
        <v>273</v>
      </c>
      <c r="L1665" s="3" t="s">
        <v>31</v>
      </c>
      <c r="M1665" s="4">
        <v>44611</v>
      </c>
      <c r="N1665" s="3" t="s">
        <v>52</v>
      </c>
      <c r="O1665" s="3" t="s">
        <v>33</v>
      </c>
      <c r="P1665" s="3" t="str">
        <f>IF(Table1[[#This Row],[Billing Amount]]&lt;5000,"Low",IF(Table1[[#This Row],[Billing Amount]]&lt;=15000,"Medium","High"))</f>
        <v>High</v>
      </c>
      <c r="Q1665" s="3" t="str">
        <f>IF(Table1[[#This Row],[Discharge Date]]="Yes","Discharged","Under Treatment")</f>
        <v>Under Treatment</v>
      </c>
      <c r="R1665" s="3" t="str">
        <f>IF(Table1[[#This Row],[Test Results]]&gt;120,"High Risk","Normal")</f>
        <v>High Risk</v>
      </c>
      <c r="S1665" s="3" t="str">
        <f>IF(Table1[[#This Row],[Age]]&lt;=18,"0-18",IF(Table1[[#This Row],[Age]]&lt;=35,"19-35",IF(Table1[[#This Row],[Age]]&lt;=50,"36-50",IF(Table1[[#This Row],[Age]]&lt;=65,"51-65","65+"))))</f>
        <v>19-35</v>
      </c>
    </row>
    <row r="1666" spans="1:19" x14ac:dyDescent="0.3">
      <c r="A1666" s="3" t="s">
        <v>5003</v>
      </c>
      <c r="B1666" s="3">
        <v>39</v>
      </c>
      <c r="C1666" s="3" t="s">
        <v>35</v>
      </c>
      <c r="D1666" s="3" t="s">
        <v>59</v>
      </c>
      <c r="E1666" s="3" t="s">
        <v>18</v>
      </c>
      <c r="F1666" s="4">
        <v>44156</v>
      </c>
      <c r="G1666" s="3" t="s">
        <v>5004</v>
      </c>
      <c r="H1666" s="3" t="s">
        <v>5005</v>
      </c>
      <c r="I1666" s="3" t="s">
        <v>39</v>
      </c>
      <c r="J1666" s="5">
        <v>25938.970688083999</v>
      </c>
      <c r="K1666" s="3">
        <v>230</v>
      </c>
      <c r="L1666" s="3" t="s">
        <v>31</v>
      </c>
      <c r="M1666" s="4">
        <v>44178</v>
      </c>
      <c r="N1666" s="3" t="s">
        <v>52</v>
      </c>
      <c r="O1666" s="3" t="s">
        <v>33</v>
      </c>
      <c r="P1666" s="3" t="str">
        <f>IF(Table1[[#This Row],[Billing Amount]]&lt;5000,"Low",IF(Table1[[#This Row],[Billing Amount]]&lt;=15000,"Medium","High"))</f>
        <v>High</v>
      </c>
      <c r="Q1666" s="3" t="str">
        <f>IF(Table1[[#This Row],[Discharge Date]]="Yes","Discharged","Under Treatment")</f>
        <v>Under Treatment</v>
      </c>
      <c r="R1666" s="3" t="str">
        <f>IF(Table1[[#This Row],[Test Results]]&gt;120,"High Risk","Normal")</f>
        <v>High Risk</v>
      </c>
      <c r="S1666" s="3" t="str">
        <f>IF(Table1[[#This Row],[Age]]&lt;=18,"0-18",IF(Table1[[#This Row],[Age]]&lt;=35,"19-35",IF(Table1[[#This Row],[Age]]&lt;=50,"36-50",IF(Table1[[#This Row],[Age]]&lt;=65,"51-65","65+"))))</f>
        <v>36-50</v>
      </c>
    </row>
    <row r="1667" spans="1:19" x14ac:dyDescent="0.3">
      <c r="A1667" s="3" t="s">
        <v>5006</v>
      </c>
      <c r="B1667" s="3">
        <v>85</v>
      </c>
      <c r="C1667" s="3" t="s">
        <v>16</v>
      </c>
      <c r="D1667" s="3" t="s">
        <v>59</v>
      </c>
      <c r="E1667" s="3" t="s">
        <v>27</v>
      </c>
      <c r="F1667" s="4">
        <v>43662</v>
      </c>
      <c r="G1667" s="3" t="s">
        <v>5007</v>
      </c>
      <c r="H1667" s="3" t="s">
        <v>5008</v>
      </c>
      <c r="I1667" s="3" t="s">
        <v>57</v>
      </c>
      <c r="J1667" s="5">
        <v>18527.054616547499</v>
      </c>
      <c r="K1667" s="3">
        <v>436</v>
      </c>
      <c r="L1667" s="3" t="s">
        <v>31</v>
      </c>
      <c r="M1667" s="4">
        <v>43682</v>
      </c>
      <c r="N1667" s="3" t="s">
        <v>23</v>
      </c>
      <c r="O1667" s="3" t="s">
        <v>24</v>
      </c>
      <c r="P1667" s="3" t="str">
        <f>IF(Table1[[#This Row],[Billing Amount]]&lt;5000,"Low",IF(Table1[[#This Row],[Billing Amount]]&lt;=15000,"Medium","High"))</f>
        <v>High</v>
      </c>
      <c r="Q1667" s="3" t="str">
        <f>IF(Table1[[#This Row],[Discharge Date]]="Yes","Discharged","Under Treatment")</f>
        <v>Under Treatment</v>
      </c>
      <c r="R1667" s="3" t="str">
        <f>IF(Table1[[#This Row],[Test Results]]&gt;120,"High Risk","Normal")</f>
        <v>High Risk</v>
      </c>
      <c r="S1667" s="3" t="str">
        <f>IF(Table1[[#This Row],[Age]]&lt;=18,"0-18",IF(Table1[[#This Row],[Age]]&lt;=35,"19-35",IF(Table1[[#This Row],[Age]]&lt;=50,"36-50",IF(Table1[[#This Row],[Age]]&lt;=65,"51-65","65+"))))</f>
        <v>65+</v>
      </c>
    </row>
    <row r="1668" spans="1:19" x14ac:dyDescent="0.3">
      <c r="A1668" s="3" t="s">
        <v>5009</v>
      </c>
      <c r="B1668" s="3">
        <v>27</v>
      </c>
      <c r="C1668" s="3" t="s">
        <v>35</v>
      </c>
      <c r="D1668" s="3" t="s">
        <v>42</v>
      </c>
      <c r="E1668" s="3" t="s">
        <v>93</v>
      </c>
      <c r="F1668" s="4">
        <v>43861</v>
      </c>
      <c r="G1668" s="3" t="s">
        <v>5010</v>
      </c>
      <c r="H1668" s="3" t="s">
        <v>5011</v>
      </c>
      <c r="I1668" s="3" t="s">
        <v>65</v>
      </c>
      <c r="J1668" s="5">
        <v>46229.434901161701</v>
      </c>
      <c r="K1668" s="3">
        <v>153</v>
      </c>
      <c r="L1668" s="3" t="s">
        <v>46</v>
      </c>
      <c r="M1668" s="4">
        <v>43874</v>
      </c>
      <c r="N1668" s="3" t="s">
        <v>79</v>
      </c>
      <c r="O1668" s="3" t="s">
        <v>24</v>
      </c>
      <c r="P1668" s="3" t="str">
        <f>IF(Table1[[#This Row],[Billing Amount]]&lt;5000,"Low",IF(Table1[[#This Row],[Billing Amount]]&lt;=15000,"Medium","High"))</f>
        <v>High</v>
      </c>
      <c r="Q1668" s="3" t="str">
        <f>IF(Table1[[#This Row],[Discharge Date]]="Yes","Discharged","Under Treatment")</f>
        <v>Under Treatment</v>
      </c>
      <c r="R1668" s="3" t="str">
        <f>IF(Table1[[#This Row],[Test Results]]&gt;120,"High Risk","Normal")</f>
        <v>High Risk</v>
      </c>
      <c r="S1668" s="3" t="str">
        <f>IF(Table1[[#This Row],[Age]]&lt;=18,"0-18",IF(Table1[[#This Row],[Age]]&lt;=35,"19-35",IF(Table1[[#This Row],[Age]]&lt;=50,"36-50",IF(Table1[[#This Row],[Age]]&lt;=65,"51-65","65+"))))</f>
        <v>19-35</v>
      </c>
    </row>
    <row r="1669" spans="1:19" x14ac:dyDescent="0.3">
      <c r="A1669" s="3" t="s">
        <v>5012</v>
      </c>
      <c r="B1669" s="3">
        <v>39</v>
      </c>
      <c r="C1669" s="3" t="s">
        <v>35</v>
      </c>
      <c r="D1669" s="3" t="s">
        <v>17</v>
      </c>
      <c r="E1669" s="3" t="s">
        <v>18</v>
      </c>
      <c r="F1669" s="4">
        <v>45031</v>
      </c>
      <c r="G1669" s="3" t="s">
        <v>5013</v>
      </c>
      <c r="H1669" s="3" t="s">
        <v>5014</v>
      </c>
      <c r="I1669" s="3" t="s">
        <v>39</v>
      </c>
      <c r="J1669" s="5">
        <v>3021.2985053110701</v>
      </c>
      <c r="K1669" s="3">
        <v>245</v>
      </c>
      <c r="L1669" s="3" t="s">
        <v>31</v>
      </c>
      <c r="M1669" s="4">
        <v>45061</v>
      </c>
      <c r="N1669" s="3" t="s">
        <v>79</v>
      </c>
      <c r="O1669" s="3" t="s">
        <v>47</v>
      </c>
      <c r="P1669" s="3" t="str">
        <f>IF(Table1[[#This Row],[Billing Amount]]&lt;5000,"Low",IF(Table1[[#This Row],[Billing Amount]]&lt;=15000,"Medium","High"))</f>
        <v>Low</v>
      </c>
      <c r="Q1669" s="3" t="str">
        <f>IF(Table1[[#This Row],[Discharge Date]]="Yes","Discharged","Under Treatment")</f>
        <v>Under Treatment</v>
      </c>
      <c r="R1669" s="3" t="str">
        <f>IF(Table1[[#This Row],[Test Results]]&gt;120,"High Risk","Normal")</f>
        <v>High Risk</v>
      </c>
      <c r="S1669" s="3" t="str">
        <f>IF(Table1[[#This Row],[Age]]&lt;=18,"0-18",IF(Table1[[#This Row],[Age]]&lt;=35,"19-35",IF(Table1[[#This Row],[Age]]&lt;=50,"36-50",IF(Table1[[#This Row],[Age]]&lt;=65,"51-65","65+"))))</f>
        <v>36-50</v>
      </c>
    </row>
    <row r="1670" spans="1:19" x14ac:dyDescent="0.3">
      <c r="A1670" s="3" t="s">
        <v>5015</v>
      </c>
      <c r="B1670" s="3">
        <v>23</v>
      </c>
      <c r="C1670" s="3" t="s">
        <v>16</v>
      </c>
      <c r="D1670" s="3" t="s">
        <v>42</v>
      </c>
      <c r="E1670" s="3" t="s">
        <v>76</v>
      </c>
      <c r="F1670" s="4">
        <v>44247</v>
      </c>
      <c r="G1670" s="3" t="s">
        <v>5016</v>
      </c>
      <c r="H1670" s="3" t="s">
        <v>5017</v>
      </c>
      <c r="I1670" s="3" t="s">
        <v>57</v>
      </c>
      <c r="J1670" s="5">
        <v>48693.703316279803</v>
      </c>
      <c r="K1670" s="3">
        <v>153</v>
      </c>
      <c r="L1670" s="3" t="s">
        <v>31</v>
      </c>
      <c r="M1670" s="4">
        <v>44253</v>
      </c>
      <c r="N1670" s="3" t="s">
        <v>32</v>
      </c>
      <c r="O1670" s="3" t="s">
        <v>33</v>
      </c>
      <c r="P1670" s="3" t="str">
        <f>IF(Table1[[#This Row],[Billing Amount]]&lt;5000,"Low",IF(Table1[[#This Row],[Billing Amount]]&lt;=15000,"Medium","High"))</f>
        <v>High</v>
      </c>
      <c r="Q1670" s="3" t="str">
        <f>IF(Table1[[#This Row],[Discharge Date]]="Yes","Discharged","Under Treatment")</f>
        <v>Under Treatment</v>
      </c>
      <c r="R1670" s="3" t="str">
        <f>IF(Table1[[#This Row],[Test Results]]&gt;120,"High Risk","Normal")</f>
        <v>High Risk</v>
      </c>
      <c r="S1670" s="3" t="str">
        <f>IF(Table1[[#This Row],[Age]]&lt;=18,"0-18",IF(Table1[[#This Row],[Age]]&lt;=35,"19-35",IF(Table1[[#This Row],[Age]]&lt;=50,"36-50",IF(Table1[[#This Row],[Age]]&lt;=65,"51-65","65+"))))</f>
        <v>19-35</v>
      </c>
    </row>
    <row r="1671" spans="1:19" x14ac:dyDescent="0.3">
      <c r="A1671" s="3" t="s">
        <v>5018</v>
      </c>
      <c r="B1671" s="3">
        <v>68</v>
      </c>
      <c r="C1671" s="3" t="s">
        <v>35</v>
      </c>
      <c r="D1671" s="3" t="s">
        <v>49</v>
      </c>
      <c r="E1671" s="3" t="s">
        <v>93</v>
      </c>
      <c r="F1671" s="4">
        <v>45021</v>
      </c>
      <c r="G1671" s="3" t="s">
        <v>5019</v>
      </c>
      <c r="H1671" s="3" t="s">
        <v>1848</v>
      </c>
      <c r="I1671" s="3" t="s">
        <v>21</v>
      </c>
      <c r="J1671" s="5">
        <v>36322.769967217799</v>
      </c>
      <c r="K1671" s="3">
        <v>381</v>
      </c>
      <c r="L1671" s="3" t="s">
        <v>22</v>
      </c>
      <c r="M1671" s="4">
        <v>45044</v>
      </c>
      <c r="N1671" s="3" t="s">
        <v>79</v>
      </c>
      <c r="O1671" s="3" t="s">
        <v>33</v>
      </c>
      <c r="P1671" s="3" t="str">
        <f>IF(Table1[[#This Row],[Billing Amount]]&lt;5000,"Low",IF(Table1[[#This Row],[Billing Amount]]&lt;=15000,"Medium","High"))</f>
        <v>High</v>
      </c>
      <c r="Q1671" s="3" t="str">
        <f>IF(Table1[[#This Row],[Discharge Date]]="Yes","Discharged","Under Treatment")</f>
        <v>Under Treatment</v>
      </c>
      <c r="R1671" s="3" t="str">
        <f>IF(Table1[[#This Row],[Test Results]]&gt;120,"High Risk","Normal")</f>
        <v>High Risk</v>
      </c>
      <c r="S1671" s="3" t="str">
        <f>IF(Table1[[#This Row],[Age]]&lt;=18,"0-18",IF(Table1[[#This Row],[Age]]&lt;=35,"19-35",IF(Table1[[#This Row],[Age]]&lt;=50,"36-50",IF(Table1[[#This Row],[Age]]&lt;=65,"51-65","65+"))))</f>
        <v>65+</v>
      </c>
    </row>
    <row r="1672" spans="1:19" x14ac:dyDescent="0.3">
      <c r="A1672" s="3" t="s">
        <v>5020</v>
      </c>
      <c r="B1672" s="3">
        <v>18</v>
      </c>
      <c r="C1672" s="3" t="s">
        <v>16</v>
      </c>
      <c r="D1672" s="3" t="s">
        <v>122</v>
      </c>
      <c r="E1672" s="3" t="s">
        <v>76</v>
      </c>
      <c r="F1672" s="4">
        <v>43929</v>
      </c>
      <c r="G1672" s="3" t="s">
        <v>5021</v>
      </c>
      <c r="H1672" s="3" t="s">
        <v>5022</v>
      </c>
      <c r="I1672" s="3" t="s">
        <v>57</v>
      </c>
      <c r="J1672" s="5">
        <v>5938.3754873481303</v>
      </c>
      <c r="K1672" s="3">
        <v>443</v>
      </c>
      <c r="L1672" s="3" t="s">
        <v>31</v>
      </c>
      <c r="M1672" s="4">
        <v>43947</v>
      </c>
      <c r="N1672" s="3" t="s">
        <v>79</v>
      </c>
      <c r="O1672" s="3" t="s">
        <v>24</v>
      </c>
      <c r="P1672" s="3" t="str">
        <f>IF(Table1[[#This Row],[Billing Amount]]&lt;5000,"Low",IF(Table1[[#This Row],[Billing Amount]]&lt;=15000,"Medium","High"))</f>
        <v>Medium</v>
      </c>
      <c r="Q1672" s="3" t="str">
        <f>IF(Table1[[#This Row],[Discharge Date]]="Yes","Discharged","Under Treatment")</f>
        <v>Under Treatment</v>
      </c>
      <c r="R1672" s="3" t="str">
        <f>IF(Table1[[#This Row],[Test Results]]&gt;120,"High Risk","Normal")</f>
        <v>High Risk</v>
      </c>
      <c r="S1672" s="3" t="str">
        <f>IF(Table1[[#This Row],[Age]]&lt;=18,"0-18",IF(Table1[[#This Row],[Age]]&lt;=35,"19-35",IF(Table1[[#This Row],[Age]]&lt;=50,"36-50",IF(Table1[[#This Row],[Age]]&lt;=65,"51-65","65+"))))</f>
        <v>0-18</v>
      </c>
    </row>
    <row r="1673" spans="1:19" x14ac:dyDescent="0.3">
      <c r="A1673" s="3" t="s">
        <v>5024</v>
      </c>
      <c r="B1673" s="3">
        <v>34</v>
      </c>
      <c r="C1673" s="3" t="s">
        <v>16</v>
      </c>
      <c r="D1673" s="3" t="s">
        <v>49</v>
      </c>
      <c r="E1673" s="3" t="s">
        <v>18</v>
      </c>
      <c r="F1673" s="4">
        <v>45154</v>
      </c>
      <c r="G1673" s="3" t="s">
        <v>5025</v>
      </c>
      <c r="H1673" s="3" t="s">
        <v>5026</v>
      </c>
      <c r="I1673" s="3" t="s">
        <v>30</v>
      </c>
      <c r="J1673" s="5">
        <v>34592.139335230102</v>
      </c>
      <c r="K1673" s="3">
        <v>198</v>
      </c>
      <c r="L1673" s="3" t="s">
        <v>31</v>
      </c>
      <c r="M1673" s="4">
        <v>45177</v>
      </c>
      <c r="N1673" s="3" t="s">
        <v>23</v>
      </c>
      <c r="O1673" s="3" t="s">
        <v>24</v>
      </c>
      <c r="P1673" s="3" t="str">
        <f>IF(Table1[[#This Row],[Billing Amount]]&lt;5000,"Low",IF(Table1[[#This Row],[Billing Amount]]&lt;=15000,"Medium","High"))</f>
        <v>High</v>
      </c>
      <c r="Q1673" s="3" t="str">
        <f>IF(Table1[[#This Row],[Discharge Date]]="Yes","Discharged","Under Treatment")</f>
        <v>Under Treatment</v>
      </c>
      <c r="R1673" s="3" t="str">
        <f>IF(Table1[[#This Row],[Test Results]]&gt;120,"High Risk","Normal")</f>
        <v>High Risk</v>
      </c>
      <c r="S1673" s="3" t="str">
        <f>IF(Table1[[#This Row],[Age]]&lt;=18,"0-18",IF(Table1[[#This Row],[Age]]&lt;=35,"19-35",IF(Table1[[#This Row],[Age]]&lt;=50,"36-50",IF(Table1[[#This Row],[Age]]&lt;=65,"51-65","65+"))))</f>
        <v>19-35</v>
      </c>
    </row>
    <row r="1674" spans="1:19" x14ac:dyDescent="0.3">
      <c r="A1674" s="3" t="s">
        <v>5027</v>
      </c>
      <c r="B1674" s="3">
        <v>43</v>
      </c>
      <c r="C1674" s="3" t="s">
        <v>16</v>
      </c>
      <c r="D1674" s="3" t="s">
        <v>17</v>
      </c>
      <c r="E1674" s="3" t="s">
        <v>27</v>
      </c>
      <c r="F1674" s="4">
        <v>43948</v>
      </c>
      <c r="G1674" s="3" t="s">
        <v>5028</v>
      </c>
      <c r="H1674" s="3" t="s">
        <v>5029</v>
      </c>
      <c r="I1674" s="3" t="s">
        <v>65</v>
      </c>
      <c r="J1674" s="5">
        <v>5438.9783976405897</v>
      </c>
      <c r="K1674" s="3">
        <v>452</v>
      </c>
      <c r="L1674" s="3" t="s">
        <v>31</v>
      </c>
      <c r="M1674" s="4">
        <v>43969</v>
      </c>
      <c r="N1674" s="3" t="s">
        <v>79</v>
      </c>
      <c r="O1674" s="3" t="s">
        <v>47</v>
      </c>
      <c r="P1674" s="3" t="str">
        <f>IF(Table1[[#This Row],[Billing Amount]]&lt;5000,"Low",IF(Table1[[#This Row],[Billing Amount]]&lt;=15000,"Medium","High"))</f>
        <v>Medium</v>
      </c>
      <c r="Q1674" s="3" t="str">
        <f>IF(Table1[[#This Row],[Discharge Date]]="Yes","Discharged","Under Treatment")</f>
        <v>Under Treatment</v>
      </c>
      <c r="R1674" s="3" t="str">
        <f>IF(Table1[[#This Row],[Test Results]]&gt;120,"High Risk","Normal")</f>
        <v>High Risk</v>
      </c>
      <c r="S1674" s="3" t="str">
        <f>IF(Table1[[#This Row],[Age]]&lt;=18,"0-18",IF(Table1[[#This Row],[Age]]&lt;=35,"19-35",IF(Table1[[#This Row],[Age]]&lt;=50,"36-50",IF(Table1[[#This Row],[Age]]&lt;=65,"51-65","65+"))))</f>
        <v>36-50</v>
      </c>
    </row>
    <row r="1675" spans="1:19" x14ac:dyDescent="0.3">
      <c r="A1675" s="3" t="s">
        <v>5030</v>
      </c>
      <c r="B1675" s="3">
        <v>58</v>
      </c>
      <c r="C1675" s="3" t="s">
        <v>16</v>
      </c>
      <c r="D1675" s="3" t="s">
        <v>26</v>
      </c>
      <c r="E1675" s="3" t="s">
        <v>54</v>
      </c>
      <c r="F1675" s="4">
        <v>44525</v>
      </c>
      <c r="G1675" s="3" t="s">
        <v>5031</v>
      </c>
      <c r="H1675" s="3" t="s">
        <v>5032</v>
      </c>
      <c r="I1675" s="3" t="s">
        <v>39</v>
      </c>
      <c r="J1675" s="5">
        <v>20514.436457129501</v>
      </c>
      <c r="K1675" s="3">
        <v>335</v>
      </c>
      <c r="L1675" s="3" t="s">
        <v>46</v>
      </c>
      <c r="M1675" s="4">
        <v>44541</v>
      </c>
      <c r="N1675" s="3" t="s">
        <v>40</v>
      </c>
      <c r="O1675" s="3" t="s">
        <v>33</v>
      </c>
      <c r="P1675" s="3" t="str">
        <f>IF(Table1[[#This Row],[Billing Amount]]&lt;5000,"Low",IF(Table1[[#This Row],[Billing Amount]]&lt;=15000,"Medium","High"))</f>
        <v>High</v>
      </c>
      <c r="Q1675" s="3" t="str">
        <f>IF(Table1[[#This Row],[Discharge Date]]="Yes","Discharged","Under Treatment")</f>
        <v>Under Treatment</v>
      </c>
      <c r="R1675" s="3" t="str">
        <f>IF(Table1[[#This Row],[Test Results]]&gt;120,"High Risk","Normal")</f>
        <v>High Risk</v>
      </c>
      <c r="S1675" s="3" t="str">
        <f>IF(Table1[[#This Row],[Age]]&lt;=18,"0-18",IF(Table1[[#This Row],[Age]]&lt;=35,"19-35",IF(Table1[[#This Row],[Age]]&lt;=50,"36-50",IF(Table1[[#This Row],[Age]]&lt;=65,"51-65","65+"))))</f>
        <v>51-65</v>
      </c>
    </row>
    <row r="1676" spans="1:19" x14ac:dyDescent="0.3">
      <c r="A1676" s="3" t="s">
        <v>5033</v>
      </c>
      <c r="B1676" s="3">
        <v>51</v>
      </c>
      <c r="C1676" s="3" t="s">
        <v>35</v>
      </c>
      <c r="D1676" s="3" t="s">
        <v>59</v>
      </c>
      <c r="E1676" s="3" t="s">
        <v>18</v>
      </c>
      <c r="F1676" s="4">
        <v>44186</v>
      </c>
      <c r="G1676" s="3" t="s">
        <v>5034</v>
      </c>
      <c r="H1676" s="3" t="s">
        <v>5035</v>
      </c>
      <c r="I1676" s="3" t="s">
        <v>57</v>
      </c>
      <c r="J1676" s="5">
        <v>46268.373321281899</v>
      </c>
      <c r="K1676" s="3">
        <v>439</v>
      </c>
      <c r="L1676" s="3" t="s">
        <v>31</v>
      </c>
      <c r="M1676" s="4">
        <v>44197</v>
      </c>
      <c r="N1676" s="3" t="s">
        <v>40</v>
      </c>
      <c r="O1676" s="3" t="s">
        <v>24</v>
      </c>
      <c r="P1676" s="3" t="str">
        <f>IF(Table1[[#This Row],[Billing Amount]]&lt;5000,"Low",IF(Table1[[#This Row],[Billing Amount]]&lt;=15000,"Medium","High"))</f>
        <v>High</v>
      </c>
      <c r="Q1676" s="3" t="str">
        <f>IF(Table1[[#This Row],[Discharge Date]]="Yes","Discharged","Under Treatment")</f>
        <v>Under Treatment</v>
      </c>
      <c r="R1676" s="3" t="str">
        <f>IF(Table1[[#This Row],[Test Results]]&gt;120,"High Risk","Normal")</f>
        <v>High Risk</v>
      </c>
      <c r="S1676" s="3" t="str">
        <f>IF(Table1[[#This Row],[Age]]&lt;=18,"0-18",IF(Table1[[#This Row],[Age]]&lt;=35,"19-35",IF(Table1[[#This Row],[Age]]&lt;=50,"36-50",IF(Table1[[#This Row],[Age]]&lt;=65,"51-65","65+"))))</f>
        <v>51-65</v>
      </c>
    </row>
    <row r="1677" spans="1:19" x14ac:dyDescent="0.3">
      <c r="A1677" s="3" t="s">
        <v>5036</v>
      </c>
      <c r="B1677" s="3">
        <v>68</v>
      </c>
      <c r="C1677" s="3" t="s">
        <v>35</v>
      </c>
      <c r="D1677" s="3" t="s">
        <v>49</v>
      </c>
      <c r="E1677" s="3" t="s">
        <v>54</v>
      </c>
      <c r="F1677" s="4">
        <v>44916</v>
      </c>
      <c r="G1677" s="3" t="s">
        <v>5037</v>
      </c>
      <c r="H1677" s="3" t="s">
        <v>5038</v>
      </c>
      <c r="I1677" s="3" t="s">
        <v>21</v>
      </c>
      <c r="J1677" s="5">
        <v>13444.109274501099</v>
      </c>
      <c r="K1677" s="3">
        <v>438</v>
      </c>
      <c r="L1677" s="3" t="s">
        <v>46</v>
      </c>
      <c r="M1677" s="4">
        <v>44928</v>
      </c>
      <c r="N1677" s="3" t="s">
        <v>40</v>
      </c>
      <c r="O1677" s="3" t="s">
        <v>33</v>
      </c>
      <c r="P1677" s="3" t="str">
        <f>IF(Table1[[#This Row],[Billing Amount]]&lt;5000,"Low",IF(Table1[[#This Row],[Billing Amount]]&lt;=15000,"Medium","High"))</f>
        <v>Medium</v>
      </c>
      <c r="Q1677" s="3" t="str">
        <f>IF(Table1[[#This Row],[Discharge Date]]="Yes","Discharged","Under Treatment")</f>
        <v>Under Treatment</v>
      </c>
      <c r="R1677" s="3" t="str">
        <f>IF(Table1[[#This Row],[Test Results]]&gt;120,"High Risk","Normal")</f>
        <v>High Risk</v>
      </c>
      <c r="S1677" s="3" t="str">
        <f>IF(Table1[[#This Row],[Age]]&lt;=18,"0-18",IF(Table1[[#This Row],[Age]]&lt;=35,"19-35",IF(Table1[[#This Row],[Age]]&lt;=50,"36-50",IF(Table1[[#This Row],[Age]]&lt;=65,"51-65","65+"))))</f>
        <v>65+</v>
      </c>
    </row>
    <row r="1678" spans="1:19" x14ac:dyDescent="0.3">
      <c r="A1678" s="3" t="s">
        <v>5039</v>
      </c>
      <c r="B1678" s="3">
        <v>55</v>
      </c>
      <c r="C1678" s="3" t="s">
        <v>35</v>
      </c>
      <c r="D1678" s="3" t="s">
        <v>103</v>
      </c>
      <c r="E1678" s="3" t="s">
        <v>54</v>
      </c>
      <c r="F1678" s="4">
        <v>44514</v>
      </c>
      <c r="G1678" s="3" t="s">
        <v>5040</v>
      </c>
      <c r="H1678" s="3" t="s">
        <v>5041</v>
      </c>
      <c r="I1678" s="3" t="s">
        <v>21</v>
      </c>
      <c r="J1678" s="5">
        <v>44421.346244004402</v>
      </c>
      <c r="K1678" s="3">
        <v>426</v>
      </c>
      <c r="L1678" s="3" t="s">
        <v>31</v>
      </c>
      <c r="M1678" s="4">
        <v>44536</v>
      </c>
      <c r="N1678" s="3" t="s">
        <v>32</v>
      </c>
      <c r="O1678" s="3" t="s">
        <v>47</v>
      </c>
      <c r="P1678" s="3" t="str">
        <f>IF(Table1[[#This Row],[Billing Amount]]&lt;5000,"Low",IF(Table1[[#This Row],[Billing Amount]]&lt;=15000,"Medium","High"))</f>
        <v>High</v>
      </c>
      <c r="Q1678" s="3" t="str">
        <f>IF(Table1[[#This Row],[Discharge Date]]="Yes","Discharged","Under Treatment")</f>
        <v>Under Treatment</v>
      </c>
      <c r="R1678" s="3" t="str">
        <f>IF(Table1[[#This Row],[Test Results]]&gt;120,"High Risk","Normal")</f>
        <v>High Risk</v>
      </c>
      <c r="S1678" s="3" t="str">
        <f>IF(Table1[[#This Row],[Age]]&lt;=18,"0-18",IF(Table1[[#This Row],[Age]]&lt;=35,"19-35",IF(Table1[[#This Row],[Age]]&lt;=50,"36-50",IF(Table1[[#This Row],[Age]]&lt;=65,"51-65","65+"))))</f>
        <v>51-65</v>
      </c>
    </row>
    <row r="1679" spans="1:19" x14ac:dyDescent="0.3">
      <c r="A1679" s="3" t="s">
        <v>5042</v>
      </c>
      <c r="B1679" s="3">
        <v>68</v>
      </c>
      <c r="C1679" s="3" t="s">
        <v>35</v>
      </c>
      <c r="D1679" s="3" t="s">
        <v>122</v>
      </c>
      <c r="E1679" s="3" t="s">
        <v>27</v>
      </c>
      <c r="F1679" s="4">
        <v>44874</v>
      </c>
      <c r="G1679" s="3" t="s">
        <v>5043</v>
      </c>
      <c r="H1679" s="3" t="s">
        <v>5044</v>
      </c>
      <c r="I1679" s="3" t="s">
        <v>30</v>
      </c>
      <c r="J1679" s="5">
        <v>9451.7600041182595</v>
      </c>
      <c r="K1679" s="3">
        <v>441</v>
      </c>
      <c r="L1679" s="3" t="s">
        <v>46</v>
      </c>
      <c r="M1679" s="4">
        <v>44885</v>
      </c>
      <c r="N1679" s="3" t="s">
        <v>52</v>
      </c>
      <c r="O1679" s="3" t="s">
        <v>47</v>
      </c>
      <c r="P1679" s="3" t="str">
        <f>IF(Table1[[#This Row],[Billing Amount]]&lt;5000,"Low",IF(Table1[[#This Row],[Billing Amount]]&lt;=15000,"Medium","High"))</f>
        <v>Medium</v>
      </c>
      <c r="Q1679" s="3" t="str">
        <f>IF(Table1[[#This Row],[Discharge Date]]="Yes","Discharged","Under Treatment")</f>
        <v>Under Treatment</v>
      </c>
      <c r="R1679" s="3" t="str">
        <f>IF(Table1[[#This Row],[Test Results]]&gt;120,"High Risk","Normal")</f>
        <v>High Risk</v>
      </c>
      <c r="S1679" s="3" t="str">
        <f>IF(Table1[[#This Row],[Age]]&lt;=18,"0-18",IF(Table1[[#This Row],[Age]]&lt;=35,"19-35",IF(Table1[[#This Row],[Age]]&lt;=50,"36-50",IF(Table1[[#This Row],[Age]]&lt;=65,"51-65","65+"))))</f>
        <v>65+</v>
      </c>
    </row>
    <row r="1680" spans="1:19" x14ac:dyDescent="0.3">
      <c r="A1680" s="3" t="s">
        <v>5045</v>
      </c>
      <c r="B1680" s="3">
        <v>77</v>
      </c>
      <c r="C1680" s="3" t="s">
        <v>16</v>
      </c>
      <c r="D1680" s="3" t="s">
        <v>36</v>
      </c>
      <c r="E1680" s="3" t="s">
        <v>76</v>
      </c>
      <c r="F1680" s="4">
        <v>44028</v>
      </c>
      <c r="G1680" s="3" t="s">
        <v>5046</v>
      </c>
      <c r="H1680" s="3" t="s">
        <v>5047</v>
      </c>
      <c r="I1680" s="3" t="s">
        <v>39</v>
      </c>
      <c r="J1680" s="5">
        <v>3299.47517562034</v>
      </c>
      <c r="K1680" s="3">
        <v>327</v>
      </c>
      <c r="L1680" s="3" t="s">
        <v>22</v>
      </c>
      <c r="M1680" s="4">
        <v>44048</v>
      </c>
      <c r="N1680" s="3" t="s">
        <v>52</v>
      </c>
      <c r="O1680" s="3" t="s">
        <v>47</v>
      </c>
      <c r="P1680" s="3" t="str">
        <f>IF(Table1[[#This Row],[Billing Amount]]&lt;5000,"Low",IF(Table1[[#This Row],[Billing Amount]]&lt;=15000,"Medium","High"))</f>
        <v>Low</v>
      </c>
      <c r="Q1680" s="3" t="str">
        <f>IF(Table1[[#This Row],[Discharge Date]]="Yes","Discharged","Under Treatment")</f>
        <v>Under Treatment</v>
      </c>
      <c r="R1680" s="3" t="str">
        <f>IF(Table1[[#This Row],[Test Results]]&gt;120,"High Risk","Normal")</f>
        <v>High Risk</v>
      </c>
      <c r="S1680" s="3" t="str">
        <f>IF(Table1[[#This Row],[Age]]&lt;=18,"0-18",IF(Table1[[#This Row],[Age]]&lt;=35,"19-35",IF(Table1[[#This Row],[Age]]&lt;=50,"36-50",IF(Table1[[#This Row],[Age]]&lt;=65,"51-65","65+"))))</f>
        <v>65+</v>
      </c>
    </row>
    <row r="1681" spans="1:19" x14ac:dyDescent="0.3">
      <c r="A1681" s="3" t="s">
        <v>5048</v>
      </c>
      <c r="B1681" s="3">
        <v>45</v>
      </c>
      <c r="C1681" s="3" t="s">
        <v>35</v>
      </c>
      <c r="D1681" s="3" t="s">
        <v>42</v>
      </c>
      <c r="E1681" s="3" t="s">
        <v>27</v>
      </c>
      <c r="F1681" s="4">
        <v>43873</v>
      </c>
      <c r="G1681" s="3" t="s">
        <v>5049</v>
      </c>
      <c r="H1681" s="3" t="s">
        <v>5050</v>
      </c>
      <c r="I1681" s="3" t="s">
        <v>39</v>
      </c>
      <c r="J1681" s="5">
        <v>1633.2587028522701</v>
      </c>
      <c r="K1681" s="3">
        <v>465</v>
      </c>
      <c r="L1681" s="3" t="s">
        <v>46</v>
      </c>
      <c r="M1681" s="4">
        <v>43891</v>
      </c>
      <c r="N1681" s="3" t="s">
        <v>79</v>
      </c>
      <c r="O1681" s="3" t="s">
        <v>47</v>
      </c>
      <c r="P1681" s="3" t="str">
        <f>IF(Table1[[#This Row],[Billing Amount]]&lt;5000,"Low",IF(Table1[[#This Row],[Billing Amount]]&lt;=15000,"Medium","High"))</f>
        <v>Low</v>
      </c>
      <c r="Q1681" s="3" t="str">
        <f>IF(Table1[[#This Row],[Discharge Date]]="Yes","Discharged","Under Treatment")</f>
        <v>Under Treatment</v>
      </c>
      <c r="R1681" s="3" t="str">
        <f>IF(Table1[[#This Row],[Test Results]]&gt;120,"High Risk","Normal")</f>
        <v>High Risk</v>
      </c>
      <c r="S1681" s="3" t="str">
        <f>IF(Table1[[#This Row],[Age]]&lt;=18,"0-18",IF(Table1[[#This Row],[Age]]&lt;=35,"19-35",IF(Table1[[#This Row],[Age]]&lt;=50,"36-50",IF(Table1[[#This Row],[Age]]&lt;=65,"51-65","65+"))))</f>
        <v>36-50</v>
      </c>
    </row>
    <row r="1682" spans="1:19" x14ac:dyDescent="0.3">
      <c r="A1682" s="3" t="s">
        <v>5051</v>
      </c>
      <c r="B1682" s="3">
        <v>39</v>
      </c>
      <c r="C1682" s="3" t="s">
        <v>35</v>
      </c>
      <c r="D1682" s="3" t="s">
        <v>103</v>
      </c>
      <c r="E1682" s="3" t="s">
        <v>18</v>
      </c>
      <c r="F1682" s="4">
        <v>44618</v>
      </c>
      <c r="G1682" s="3" t="s">
        <v>5052</v>
      </c>
      <c r="H1682" s="3" t="s">
        <v>5053</v>
      </c>
      <c r="I1682" s="3" t="s">
        <v>21</v>
      </c>
      <c r="J1682" s="5">
        <v>23726.097562341001</v>
      </c>
      <c r="K1682" s="3">
        <v>378</v>
      </c>
      <c r="L1682" s="3" t="s">
        <v>31</v>
      </c>
      <c r="M1682" s="4">
        <v>44640</v>
      </c>
      <c r="N1682" s="3" t="s">
        <v>52</v>
      </c>
      <c r="O1682" s="3" t="s">
        <v>47</v>
      </c>
      <c r="P1682" s="3" t="str">
        <f>IF(Table1[[#This Row],[Billing Amount]]&lt;5000,"Low",IF(Table1[[#This Row],[Billing Amount]]&lt;=15000,"Medium","High"))</f>
        <v>High</v>
      </c>
      <c r="Q1682" s="3" t="str">
        <f>IF(Table1[[#This Row],[Discharge Date]]="Yes","Discharged","Under Treatment")</f>
        <v>Under Treatment</v>
      </c>
      <c r="R1682" s="3" t="str">
        <f>IF(Table1[[#This Row],[Test Results]]&gt;120,"High Risk","Normal")</f>
        <v>High Risk</v>
      </c>
      <c r="S1682" s="3" t="str">
        <f>IF(Table1[[#This Row],[Age]]&lt;=18,"0-18",IF(Table1[[#This Row],[Age]]&lt;=35,"19-35",IF(Table1[[#This Row],[Age]]&lt;=50,"36-50",IF(Table1[[#This Row],[Age]]&lt;=65,"51-65","65+"))))</f>
        <v>36-50</v>
      </c>
    </row>
    <row r="1683" spans="1:19" x14ac:dyDescent="0.3">
      <c r="A1683" s="3" t="s">
        <v>5055</v>
      </c>
      <c r="B1683" s="3">
        <v>63</v>
      </c>
      <c r="C1683" s="3" t="s">
        <v>35</v>
      </c>
      <c r="D1683" s="3" t="s">
        <v>36</v>
      </c>
      <c r="E1683" s="3" t="s">
        <v>54</v>
      </c>
      <c r="F1683" s="4">
        <v>44137</v>
      </c>
      <c r="G1683" s="3" t="s">
        <v>5056</v>
      </c>
      <c r="H1683" s="3" t="s">
        <v>5057</v>
      </c>
      <c r="I1683" s="3" t="s">
        <v>39</v>
      </c>
      <c r="J1683" s="5">
        <v>7526.9059471794399</v>
      </c>
      <c r="K1683" s="3">
        <v>189</v>
      </c>
      <c r="L1683" s="3" t="s">
        <v>46</v>
      </c>
      <c r="M1683" s="4">
        <v>44139</v>
      </c>
      <c r="N1683" s="3" t="s">
        <v>32</v>
      </c>
      <c r="O1683" s="3" t="s">
        <v>47</v>
      </c>
      <c r="P1683" s="3" t="str">
        <f>IF(Table1[[#This Row],[Billing Amount]]&lt;5000,"Low",IF(Table1[[#This Row],[Billing Amount]]&lt;=15000,"Medium","High"))</f>
        <v>Medium</v>
      </c>
      <c r="Q1683" s="3" t="str">
        <f>IF(Table1[[#This Row],[Discharge Date]]="Yes","Discharged","Under Treatment")</f>
        <v>Under Treatment</v>
      </c>
      <c r="R1683" s="3" t="str">
        <f>IF(Table1[[#This Row],[Test Results]]&gt;120,"High Risk","Normal")</f>
        <v>High Risk</v>
      </c>
      <c r="S1683" s="3" t="str">
        <f>IF(Table1[[#This Row],[Age]]&lt;=18,"0-18",IF(Table1[[#This Row],[Age]]&lt;=35,"19-35",IF(Table1[[#This Row],[Age]]&lt;=50,"36-50",IF(Table1[[#This Row],[Age]]&lt;=65,"51-65","65+"))))</f>
        <v>51-65</v>
      </c>
    </row>
    <row r="1684" spans="1:19" x14ac:dyDescent="0.3">
      <c r="A1684" s="3" t="s">
        <v>5058</v>
      </c>
      <c r="B1684" s="3">
        <v>57</v>
      </c>
      <c r="C1684" s="3" t="s">
        <v>35</v>
      </c>
      <c r="D1684" s="3" t="s">
        <v>26</v>
      </c>
      <c r="E1684" s="3" t="s">
        <v>43</v>
      </c>
      <c r="F1684" s="4">
        <v>44468</v>
      </c>
      <c r="G1684" s="3" t="s">
        <v>5059</v>
      </c>
      <c r="H1684" s="3" t="s">
        <v>5060</v>
      </c>
      <c r="I1684" s="3" t="s">
        <v>57</v>
      </c>
      <c r="J1684" s="5">
        <v>7782.7447796699198</v>
      </c>
      <c r="K1684" s="3">
        <v>157</v>
      </c>
      <c r="L1684" s="3" t="s">
        <v>46</v>
      </c>
      <c r="M1684" s="4">
        <v>44483</v>
      </c>
      <c r="N1684" s="3" t="s">
        <v>79</v>
      </c>
      <c r="O1684" s="3" t="s">
        <v>33</v>
      </c>
      <c r="P1684" s="3" t="str">
        <f>IF(Table1[[#This Row],[Billing Amount]]&lt;5000,"Low",IF(Table1[[#This Row],[Billing Amount]]&lt;=15000,"Medium","High"))</f>
        <v>Medium</v>
      </c>
      <c r="Q1684" s="3" t="str">
        <f>IF(Table1[[#This Row],[Discharge Date]]="Yes","Discharged","Under Treatment")</f>
        <v>Under Treatment</v>
      </c>
      <c r="R1684" s="3" t="str">
        <f>IF(Table1[[#This Row],[Test Results]]&gt;120,"High Risk","Normal")</f>
        <v>High Risk</v>
      </c>
      <c r="S1684" s="3" t="str">
        <f>IF(Table1[[#This Row],[Age]]&lt;=18,"0-18",IF(Table1[[#This Row],[Age]]&lt;=35,"19-35",IF(Table1[[#This Row],[Age]]&lt;=50,"36-50",IF(Table1[[#This Row],[Age]]&lt;=65,"51-65","65+"))))</f>
        <v>51-65</v>
      </c>
    </row>
    <row r="1685" spans="1:19" x14ac:dyDescent="0.3">
      <c r="A1685" s="3" t="s">
        <v>5061</v>
      </c>
      <c r="B1685" s="3">
        <v>54</v>
      </c>
      <c r="C1685" s="3" t="s">
        <v>35</v>
      </c>
      <c r="D1685" s="3" t="s">
        <v>122</v>
      </c>
      <c r="E1685" s="3" t="s">
        <v>93</v>
      </c>
      <c r="F1685" s="4">
        <v>43670</v>
      </c>
      <c r="G1685" s="3" t="s">
        <v>5062</v>
      </c>
      <c r="H1685" s="3" t="s">
        <v>5063</v>
      </c>
      <c r="I1685" s="3" t="s">
        <v>21</v>
      </c>
      <c r="J1685" s="5">
        <v>19256.064587206201</v>
      </c>
      <c r="K1685" s="3">
        <v>249</v>
      </c>
      <c r="L1685" s="3" t="s">
        <v>22</v>
      </c>
      <c r="M1685" s="4">
        <v>43682</v>
      </c>
      <c r="N1685" s="3" t="s">
        <v>23</v>
      </c>
      <c r="O1685" s="3" t="s">
        <v>47</v>
      </c>
      <c r="P1685" s="3" t="str">
        <f>IF(Table1[[#This Row],[Billing Amount]]&lt;5000,"Low",IF(Table1[[#This Row],[Billing Amount]]&lt;=15000,"Medium","High"))</f>
        <v>High</v>
      </c>
      <c r="Q1685" s="3" t="str">
        <f>IF(Table1[[#This Row],[Discharge Date]]="Yes","Discharged","Under Treatment")</f>
        <v>Under Treatment</v>
      </c>
      <c r="R1685" s="3" t="str">
        <f>IF(Table1[[#This Row],[Test Results]]&gt;120,"High Risk","Normal")</f>
        <v>High Risk</v>
      </c>
      <c r="S1685" s="3" t="str">
        <f>IF(Table1[[#This Row],[Age]]&lt;=18,"0-18",IF(Table1[[#This Row],[Age]]&lt;=35,"19-35",IF(Table1[[#This Row],[Age]]&lt;=50,"36-50",IF(Table1[[#This Row],[Age]]&lt;=65,"51-65","65+"))))</f>
        <v>51-65</v>
      </c>
    </row>
    <row r="1686" spans="1:19" x14ac:dyDescent="0.3">
      <c r="A1686" s="3" t="s">
        <v>5064</v>
      </c>
      <c r="B1686" s="3">
        <v>24</v>
      </c>
      <c r="C1686" s="3" t="s">
        <v>16</v>
      </c>
      <c r="D1686" s="3" t="s">
        <v>59</v>
      </c>
      <c r="E1686" s="3" t="s">
        <v>54</v>
      </c>
      <c r="F1686" s="4">
        <v>43902</v>
      </c>
      <c r="G1686" s="3" t="s">
        <v>5065</v>
      </c>
      <c r="H1686" s="3" t="s">
        <v>5066</v>
      </c>
      <c r="I1686" s="3" t="s">
        <v>57</v>
      </c>
      <c r="J1686" s="5">
        <v>14184.742986507001</v>
      </c>
      <c r="K1686" s="3">
        <v>246</v>
      </c>
      <c r="L1686" s="3" t="s">
        <v>22</v>
      </c>
      <c r="M1686" s="4">
        <v>43905</v>
      </c>
      <c r="N1686" s="3" t="s">
        <v>79</v>
      </c>
      <c r="O1686" s="3" t="s">
        <v>24</v>
      </c>
      <c r="P1686" s="3" t="str">
        <f>IF(Table1[[#This Row],[Billing Amount]]&lt;5000,"Low",IF(Table1[[#This Row],[Billing Amount]]&lt;=15000,"Medium","High"))</f>
        <v>Medium</v>
      </c>
      <c r="Q1686" s="3" t="str">
        <f>IF(Table1[[#This Row],[Discharge Date]]="Yes","Discharged","Under Treatment")</f>
        <v>Under Treatment</v>
      </c>
      <c r="R1686" s="3" t="str">
        <f>IF(Table1[[#This Row],[Test Results]]&gt;120,"High Risk","Normal")</f>
        <v>High Risk</v>
      </c>
      <c r="S1686" s="3" t="str">
        <f>IF(Table1[[#This Row],[Age]]&lt;=18,"0-18",IF(Table1[[#This Row],[Age]]&lt;=35,"19-35",IF(Table1[[#This Row],[Age]]&lt;=50,"36-50",IF(Table1[[#This Row],[Age]]&lt;=65,"51-65","65+"))))</f>
        <v>19-35</v>
      </c>
    </row>
    <row r="1687" spans="1:19" x14ac:dyDescent="0.3">
      <c r="A1687" s="3" t="s">
        <v>5067</v>
      </c>
      <c r="B1687" s="3">
        <v>62</v>
      </c>
      <c r="C1687" s="3" t="s">
        <v>35</v>
      </c>
      <c r="D1687" s="3" t="s">
        <v>36</v>
      </c>
      <c r="E1687" s="3" t="s">
        <v>27</v>
      </c>
      <c r="F1687" s="4">
        <v>44316</v>
      </c>
      <c r="G1687" s="3" t="s">
        <v>5068</v>
      </c>
      <c r="H1687" s="3" t="s">
        <v>5069</v>
      </c>
      <c r="I1687" s="3" t="s">
        <v>39</v>
      </c>
      <c r="J1687" s="5">
        <v>20259.470657894301</v>
      </c>
      <c r="K1687" s="3">
        <v>303</v>
      </c>
      <c r="L1687" s="3" t="s">
        <v>46</v>
      </c>
      <c r="M1687" s="4">
        <v>44327</v>
      </c>
      <c r="N1687" s="3" t="s">
        <v>79</v>
      </c>
      <c r="O1687" s="3" t="s">
        <v>33</v>
      </c>
      <c r="P1687" s="3" t="str">
        <f>IF(Table1[[#This Row],[Billing Amount]]&lt;5000,"Low",IF(Table1[[#This Row],[Billing Amount]]&lt;=15000,"Medium","High"))</f>
        <v>High</v>
      </c>
      <c r="Q1687" s="3" t="str">
        <f>IF(Table1[[#This Row],[Discharge Date]]="Yes","Discharged","Under Treatment")</f>
        <v>Under Treatment</v>
      </c>
      <c r="R1687" s="3" t="str">
        <f>IF(Table1[[#This Row],[Test Results]]&gt;120,"High Risk","Normal")</f>
        <v>High Risk</v>
      </c>
      <c r="S1687" s="3" t="str">
        <f>IF(Table1[[#This Row],[Age]]&lt;=18,"0-18",IF(Table1[[#This Row],[Age]]&lt;=35,"19-35",IF(Table1[[#This Row],[Age]]&lt;=50,"36-50",IF(Table1[[#This Row],[Age]]&lt;=65,"51-65","65+"))))</f>
        <v>51-65</v>
      </c>
    </row>
    <row r="1688" spans="1:19" x14ac:dyDescent="0.3">
      <c r="A1688" s="3" t="s">
        <v>5070</v>
      </c>
      <c r="B1688" s="3">
        <v>83</v>
      </c>
      <c r="C1688" s="3" t="s">
        <v>16</v>
      </c>
      <c r="D1688" s="3" t="s">
        <v>26</v>
      </c>
      <c r="E1688" s="3" t="s">
        <v>54</v>
      </c>
      <c r="F1688" s="4">
        <v>44638</v>
      </c>
      <c r="G1688" s="3" t="s">
        <v>5071</v>
      </c>
      <c r="H1688" s="3" t="s">
        <v>5072</v>
      </c>
      <c r="I1688" s="3" t="s">
        <v>30</v>
      </c>
      <c r="J1688" s="5">
        <v>44525.928273724399</v>
      </c>
      <c r="K1688" s="3">
        <v>374</v>
      </c>
      <c r="L1688" s="3" t="s">
        <v>31</v>
      </c>
      <c r="M1688" s="4">
        <v>44640</v>
      </c>
      <c r="N1688" s="3" t="s">
        <v>23</v>
      </c>
      <c r="O1688" s="3" t="s">
        <v>24</v>
      </c>
      <c r="P1688" s="3" t="str">
        <f>IF(Table1[[#This Row],[Billing Amount]]&lt;5000,"Low",IF(Table1[[#This Row],[Billing Amount]]&lt;=15000,"Medium","High"))</f>
        <v>High</v>
      </c>
      <c r="Q1688" s="3" t="str">
        <f>IF(Table1[[#This Row],[Discharge Date]]="Yes","Discharged","Under Treatment")</f>
        <v>Under Treatment</v>
      </c>
      <c r="R1688" s="3" t="str">
        <f>IF(Table1[[#This Row],[Test Results]]&gt;120,"High Risk","Normal")</f>
        <v>High Risk</v>
      </c>
      <c r="S1688" s="3" t="str">
        <f>IF(Table1[[#This Row],[Age]]&lt;=18,"0-18",IF(Table1[[#This Row],[Age]]&lt;=35,"19-35",IF(Table1[[#This Row],[Age]]&lt;=50,"36-50",IF(Table1[[#This Row],[Age]]&lt;=65,"51-65","65+"))))</f>
        <v>65+</v>
      </c>
    </row>
    <row r="1689" spans="1:19" x14ac:dyDescent="0.3">
      <c r="A1689" s="3" t="s">
        <v>5073</v>
      </c>
      <c r="B1689" s="3">
        <v>38</v>
      </c>
      <c r="C1689" s="3" t="s">
        <v>35</v>
      </c>
      <c r="D1689" s="3" t="s">
        <v>122</v>
      </c>
      <c r="E1689" s="3" t="s">
        <v>54</v>
      </c>
      <c r="F1689" s="4">
        <v>43814</v>
      </c>
      <c r="G1689" s="3" t="s">
        <v>5074</v>
      </c>
      <c r="H1689" s="3" t="s">
        <v>5075</v>
      </c>
      <c r="I1689" s="3" t="s">
        <v>30</v>
      </c>
      <c r="J1689" s="5">
        <v>39082.1000292959</v>
      </c>
      <c r="K1689" s="3">
        <v>180</v>
      </c>
      <c r="L1689" s="3" t="s">
        <v>22</v>
      </c>
      <c r="M1689" s="4">
        <v>43821</v>
      </c>
      <c r="N1689" s="3" t="s">
        <v>79</v>
      </c>
      <c r="O1689" s="3" t="s">
        <v>47</v>
      </c>
      <c r="P1689" s="3" t="str">
        <f>IF(Table1[[#This Row],[Billing Amount]]&lt;5000,"Low",IF(Table1[[#This Row],[Billing Amount]]&lt;=15000,"Medium","High"))</f>
        <v>High</v>
      </c>
      <c r="Q1689" s="3" t="str">
        <f>IF(Table1[[#This Row],[Discharge Date]]="Yes","Discharged","Under Treatment")</f>
        <v>Under Treatment</v>
      </c>
      <c r="R1689" s="3" t="str">
        <f>IF(Table1[[#This Row],[Test Results]]&gt;120,"High Risk","Normal")</f>
        <v>High Risk</v>
      </c>
      <c r="S1689" s="3" t="str">
        <f>IF(Table1[[#This Row],[Age]]&lt;=18,"0-18",IF(Table1[[#This Row],[Age]]&lt;=35,"19-35",IF(Table1[[#This Row],[Age]]&lt;=50,"36-50",IF(Table1[[#This Row],[Age]]&lt;=65,"51-65","65+"))))</f>
        <v>36-50</v>
      </c>
    </row>
    <row r="1690" spans="1:19" x14ac:dyDescent="0.3">
      <c r="A1690" s="3" t="s">
        <v>5076</v>
      </c>
      <c r="B1690" s="3">
        <v>46</v>
      </c>
      <c r="C1690" s="3" t="s">
        <v>35</v>
      </c>
      <c r="D1690" s="3" t="s">
        <v>122</v>
      </c>
      <c r="E1690" s="3" t="s">
        <v>93</v>
      </c>
      <c r="F1690" s="4">
        <v>43936</v>
      </c>
      <c r="G1690" s="3" t="s">
        <v>5077</v>
      </c>
      <c r="H1690" s="3" t="s">
        <v>5078</v>
      </c>
      <c r="I1690" s="3" t="s">
        <v>39</v>
      </c>
      <c r="J1690" s="5">
        <v>44282.989602050999</v>
      </c>
      <c r="K1690" s="3">
        <v>334</v>
      </c>
      <c r="L1690" s="3" t="s">
        <v>22</v>
      </c>
      <c r="M1690" s="4">
        <v>43941</v>
      </c>
      <c r="N1690" s="3" t="s">
        <v>23</v>
      </c>
      <c r="O1690" s="3" t="s">
        <v>24</v>
      </c>
      <c r="P1690" s="3" t="str">
        <f>IF(Table1[[#This Row],[Billing Amount]]&lt;5000,"Low",IF(Table1[[#This Row],[Billing Amount]]&lt;=15000,"Medium","High"))</f>
        <v>High</v>
      </c>
      <c r="Q1690" s="3" t="str">
        <f>IF(Table1[[#This Row],[Discharge Date]]="Yes","Discharged","Under Treatment")</f>
        <v>Under Treatment</v>
      </c>
      <c r="R1690" s="3" t="str">
        <f>IF(Table1[[#This Row],[Test Results]]&gt;120,"High Risk","Normal")</f>
        <v>High Risk</v>
      </c>
      <c r="S1690" s="3" t="str">
        <f>IF(Table1[[#This Row],[Age]]&lt;=18,"0-18",IF(Table1[[#This Row],[Age]]&lt;=35,"19-35",IF(Table1[[#This Row],[Age]]&lt;=50,"36-50",IF(Table1[[#This Row],[Age]]&lt;=65,"51-65","65+"))))</f>
        <v>36-50</v>
      </c>
    </row>
    <row r="1691" spans="1:19" x14ac:dyDescent="0.3">
      <c r="A1691" s="3" t="s">
        <v>5079</v>
      </c>
      <c r="B1691" s="3">
        <v>32</v>
      </c>
      <c r="C1691" s="3" t="s">
        <v>16</v>
      </c>
      <c r="D1691" s="3" t="s">
        <v>36</v>
      </c>
      <c r="E1691" s="3" t="s">
        <v>43</v>
      </c>
      <c r="F1691" s="4">
        <v>44671</v>
      </c>
      <c r="G1691" s="3" t="s">
        <v>5080</v>
      </c>
      <c r="H1691" s="3" t="s">
        <v>5081</v>
      </c>
      <c r="I1691" s="3" t="s">
        <v>65</v>
      </c>
      <c r="J1691" s="5">
        <v>18644.172065277598</v>
      </c>
      <c r="K1691" s="3">
        <v>239</v>
      </c>
      <c r="L1691" s="3" t="s">
        <v>31</v>
      </c>
      <c r="M1691" s="4">
        <v>44681</v>
      </c>
      <c r="N1691" s="3" t="s">
        <v>40</v>
      </c>
      <c r="O1691" s="3" t="s">
        <v>47</v>
      </c>
      <c r="P1691" s="3" t="str">
        <f>IF(Table1[[#This Row],[Billing Amount]]&lt;5000,"Low",IF(Table1[[#This Row],[Billing Amount]]&lt;=15000,"Medium","High"))</f>
        <v>High</v>
      </c>
      <c r="Q1691" s="3" t="str">
        <f>IF(Table1[[#This Row],[Discharge Date]]="Yes","Discharged","Under Treatment")</f>
        <v>Under Treatment</v>
      </c>
      <c r="R1691" s="3" t="str">
        <f>IF(Table1[[#This Row],[Test Results]]&gt;120,"High Risk","Normal")</f>
        <v>High Risk</v>
      </c>
      <c r="S1691" s="3" t="str">
        <f>IF(Table1[[#This Row],[Age]]&lt;=18,"0-18",IF(Table1[[#This Row],[Age]]&lt;=35,"19-35",IF(Table1[[#This Row],[Age]]&lt;=50,"36-50",IF(Table1[[#This Row],[Age]]&lt;=65,"51-65","65+"))))</f>
        <v>19-35</v>
      </c>
    </row>
    <row r="1692" spans="1:19" x14ac:dyDescent="0.3">
      <c r="A1692" s="3" t="s">
        <v>5082</v>
      </c>
      <c r="B1692" s="3">
        <v>23</v>
      </c>
      <c r="C1692" s="3" t="s">
        <v>16</v>
      </c>
      <c r="D1692" s="3" t="s">
        <v>103</v>
      </c>
      <c r="E1692" s="3" t="s">
        <v>27</v>
      </c>
      <c r="F1692" s="4">
        <v>44906</v>
      </c>
      <c r="G1692" s="3" t="s">
        <v>5083</v>
      </c>
      <c r="H1692" s="3" t="s">
        <v>5084</v>
      </c>
      <c r="I1692" s="3" t="s">
        <v>65</v>
      </c>
      <c r="J1692" s="5">
        <v>870.61928759985994</v>
      </c>
      <c r="K1692" s="3">
        <v>187</v>
      </c>
      <c r="L1692" s="3" t="s">
        <v>22</v>
      </c>
      <c r="M1692" s="4">
        <v>44914</v>
      </c>
      <c r="N1692" s="3" t="s">
        <v>40</v>
      </c>
      <c r="O1692" s="3" t="s">
        <v>33</v>
      </c>
      <c r="P1692" s="3" t="str">
        <f>IF(Table1[[#This Row],[Billing Amount]]&lt;5000,"Low",IF(Table1[[#This Row],[Billing Amount]]&lt;=15000,"Medium","High"))</f>
        <v>Low</v>
      </c>
      <c r="Q1692" s="3" t="str">
        <f>IF(Table1[[#This Row],[Discharge Date]]="Yes","Discharged","Under Treatment")</f>
        <v>Under Treatment</v>
      </c>
      <c r="R1692" s="3" t="str">
        <f>IF(Table1[[#This Row],[Test Results]]&gt;120,"High Risk","Normal")</f>
        <v>High Risk</v>
      </c>
      <c r="S1692" s="3" t="str">
        <f>IF(Table1[[#This Row],[Age]]&lt;=18,"0-18",IF(Table1[[#This Row],[Age]]&lt;=35,"19-35",IF(Table1[[#This Row],[Age]]&lt;=50,"36-50",IF(Table1[[#This Row],[Age]]&lt;=65,"51-65","65+"))))</f>
        <v>19-35</v>
      </c>
    </row>
    <row r="1693" spans="1:19" x14ac:dyDescent="0.3">
      <c r="A1693" s="3" t="s">
        <v>5085</v>
      </c>
      <c r="B1693" s="3">
        <v>38</v>
      </c>
      <c r="C1693" s="3" t="s">
        <v>16</v>
      </c>
      <c r="D1693" s="3" t="s">
        <v>36</v>
      </c>
      <c r="E1693" s="3" t="s">
        <v>18</v>
      </c>
      <c r="F1693" s="4">
        <v>44652</v>
      </c>
      <c r="G1693" s="3" t="s">
        <v>5086</v>
      </c>
      <c r="H1693" s="3" t="s">
        <v>5087</v>
      </c>
      <c r="I1693" s="3" t="s">
        <v>57</v>
      </c>
      <c r="J1693" s="5">
        <v>14088.073596070501</v>
      </c>
      <c r="K1693" s="3">
        <v>432</v>
      </c>
      <c r="L1693" s="3" t="s">
        <v>31</v>
      </c>
      <c r="M1693" s="4">
        <v>44660</v>
      </c>
      <c r="N1693" s="3" t="s">
        <v>23</v>
      </c>
      <c r="O1693" s="3" t="s">
        <v>47</v>
      </c>
      <c r="P1693" s="3" t="str">
        <f>IF(Table1[[#This Row],[Billing Amount]]&lt;5000,"Low",IF(Table1[[#This Row],[Billing Amount]]&lt;=15000,"Medium","High"))</f>
        <v>Medium</v>
      </c>
      <c r="Q1693" s="3" t="str">
        <f>IF(Table1[[#This Row],[Discharge Date]]="Yes","Discharged","Under Treatment")</f>
        <v>Under Treatment</v>
      </c>
      <c r="R1693" s="3" t="str">
        <f>IF(Table1[[#This Row],[Test Results]]&gt;120,"High Risk","Normal")</f>
        <v>High Risk</v>
      </c>
      <c r="S1693" s="3" t="str">
        <f>IF(Table1[[#This Row],[Age]]&lt;=18,"0-18",IF(Table1[[#This Row],[Age]]&lt;=35,"19-35",IF(Table1[[#This Row],[Age]]&lt;=50,"36-50",IF(Table1[[#This Row],[Age]]&lt;=65,"51-65","65+"))))</f>
        <v>36-50</v>
      </c>
    </row>
    <row r="1694" spans="1:19" x14ac:dyDescent="0.3">
      <c r="A1694" s="3" t="s">
        <v>5088</v>
      </c>
      <c r="B1694" s="3">
        <v>47</v>
      </c>
      <c r="C1694" s="3" t="s">
        <v>35</v>
      </c>
      <c r="D1694" s="3" t="s">
        <v>26</v>
      </c>
      <c r="E1694" s="3" t="s">
        <v>27</v>
      </c>
      <c r="F1694" s="4">
        <v>43676</v>
      </c>
      <c r="G1694" s="3" t="s">
        <v>5089</v>
      </c>
      <c r="H1694" s="3" t="s">
        <v>5090</v>
      </c>
      <c r="I1694" s="3" t="s">
        <v>57</v>
      </c>
      <c r="J1694" s="5">
        <v>21267.5218211807</v>
      </c>
      <c r="K1694" s="3">
        <v>220</v>
      </c>
      <c r="L1694" s="3" t="s">
        <v>31</v>
      </c>
      <c r="M1694" s="4">
        <v>43688</v>
      </c>
      <c r="N1694" s="3" t="s">
        <v>79</v>
      </c>
      <c r="O1694" s="3" t="s">
        <v>24</v>
      </c>
      <c r="P1694" s="3" t="str">
        <f>IF(Table1[[#This Row],[Billing Amount]]&lt;5000,"Low",IF(Table1[[#This Row],[Billing Amount]]&lt;=15000,"Medium","High"))</f>
        <v>High</v>
      </c>
      <c r="Q1694" s="3" t="str">
        <f>IF(Table1[[#This Row],[Discharge Date]]="Yes","Discharged","Under Treatment")</f>
        <v>Under Treatment</v>
      </c>
      <c r="R1694" s="3" t="str">
        <f>IF(Table1[[#This Row],[Test Results]]&gt;120,"High Risk","Normal")</f>
        <v>High Risk</v>
      </c>
      <c r="S1694" s="3" t="str">
        <f>IF(Table1[[#This Row],[Age]]&lt;=18,"0-18",IF(Table1[[#This Row],[Age]]&lt;=35,"19-35",IF(Table1[[#This Row],[Age]]&lt;=50,"36-50",IF(Table1[[#This Row],[Age]]&lt;=65,"51-65","65+"))))</f>
        <v>36-50</v>
      </c>
    </row>
    <row r="1695" spans="1:19" x14ac:dyDescent="0.3">
      <c r="A1695" s="3" t="s">
        <v>5091</v>
      </c>
      <c r="B1695" s="3">
        <v>55</v>
      </c>
      <c r="C1695" s="3" t="s">
        <v>16</v>
      </c>
      <c r="D1695" s="3" t="s">
        <v>42</v>
      </c>
      <c r="E1695" s="3" t="s">
        <v>18</v>
      </c>
      <c r="F1695" s="4">
        <v>45065</v>
      </c>
      <c r="G1695" s="3" t="s">
        <v>3027</v>
      </c>
      <c r="H1695" s="3" t="s">
        <v>5092</v>
      </c>
      <c r="I1695" s="3" t="s">
        <v>57</v>
      </c>
      <c r="J1695" s="5">
        <v>17218.913134291499</v>
      </c>
      <c r="K1695" s="3">
        <v>246</v>
      </c>
      <c r="L1695" s="3" t="s">
        <v>31</v>
      </c>
      <c r="M1695" s="4">
        <v>45086</v>
      </c>
      <c r="N1695" s="3" t="s">
        <v>79</v>
      </c>
      <c r="O1695" s="3" t="s">
        <v>24</v>
      </c>
      <c r="P1695" s="3" t="str">
        <f>IF(Table1[[#This Row],[Billing Amount]]&lt;5000,"Low",IF(Table1[[#This Row],[Billing Amount]]&lt;=15000,"Medium","High"))</f>
        <v>High</v>
      </c>
      <c r="Q1695" s="3" t="str">
        <f>IF(Table1[[#This Row],[Discharge Date]]="Yes","Discharged","Under Treatment")</f>
        <v>Under Treatment</v>
      </c>
      <c r="R1695" s="3" t="str">
        <f>IF(Table1[[#This Row],[Test Results]]&gt;120,"High Risk","Normal")</f>
        <v>High Risk</v>
      </c>
      <c r="S1695" s="3" t="str">
        <f>IF(Table1[[#This Row],[Age]]&lt;=18,"0-18",IF(Table1[[#This Row],[Age]]&lt;=35,"19-35",IF(Table1[[#This Row],[Age]]&lt;=50,"36-50",IF(Table1[[#This Row],[Age]]&lt;=65,"51-65","65+"))))</f>
        <v>51-65</v>
      </c>
    </row>
    <row r="1696" spans="1:19" x14ac:dyDescent="0.3">
      <c r="A1696" s="3" t="s">
        <v>5093</v>
      </c>
      <c r="B1696" s="3">
        <v>52</v>
      </c>
      <c r="C1696" s="3" t="s">
        <v>16</v>
      </c>
      <c r="D1696" s="3" t="s">
        <v>36</v>
      </c>
      <c r="E1696" s="3" t="s">
        <v>27</v>
      </c>
      <c r="F1696" s="4">
        <v>43884</v>
      </c>
      <c r="G1696" s="3" t="s">
        <v>5094</v>
      </c>
      <c r="H1696" s="3" t="s">
        <v>5095</v>
      </c>
      <c r="I1696" s="3" t="s">
        <v>57</v>
      </c>
      <c r="J1696" s="5">
        <v>51271.520098263201</v>
      </c>
      <c r="K1696" s="3">
        <v>338</v>
      </c>
      <c r="L1696" s="3" t="s">
        <v>22</v>
      </c>
      <c r="M1696" s="4">
        <v>43903</v>
      </c>
      <c r="N1696" s="3" t="s">
        <v>40</v>
      </c>
      <c r="O1696" s="3" t="s">
        <v>33</v>
      </c>
      <c r="P1696" s="3" t="str">
        <f>IF(Table1[[#This Row],[Billing Amount]]&lt;5000,"Low",IF(Table1[[#This Row],[Billing Amount]]&lt;=15000,"Medium","High"))</f>
        <v>High</v>
      </c>
      <c r="Q1696" s="3" t="str">
        <f>IF(Table1[[#This Row],[Discharge Date]]="Yes","Discharged","Under Treatment")</f>
        <v>Under Treatment</v>
      </c>
      <c r="R1696" s="3" t="str">
        <f>IF(Table1[[#This Row],[Test Results]]&gt;120,"High Risk","Normal")</f>
        <v>High Risk</v>
      </c>
      <c r="S1696" s="3" t="str">
        <f>IF(Table1[[#This Row],[Age]]&lt;=18,"0-18",IF(Table1[[#This Row],[Age]]&lt;=35,"19-35",IF(Table1[[#This Row],[Age]]&lt;=50,"36-50",IF(Table1[[#This Row],[Age]]&lt;=65,"51-65","65+"))))</f>
        <v>51-65</v>
      </c>
    </row>
    <row r="1697" spans="1:19" x14ac:dyDescent="0.3">
      <c r="A1697" s="3" t="s">
        <v>5096</v>
      </c>
      <c r="B1697" s="3">
        <v>41</v>
      </c>
      <c r="C1697" s="3" t="s">
        <v>16</v>
      </c>
      <c r="D1697" s="3" t="s">
        <v>122</v>
      </c>
      <c r="E1697" s="3" t="s">
        <v>27</v>
      </c>
      <c r="F1697" s="4">
        <v>45395</v>
      </c>
      <c r="G1697" s="3" t="s">
        <v>5097</v>
      </c>
      <c r="H1697" s="3" t="s">
        <v>5098</v>
      </c>
      <c r="I1697" s="3" t="s">
        <v>30</v>
      </c>
      <c r="J1697" s="5">
        <v>43398.555655938399</v>
      </c>
      <c r="K1697" s="3">
        <v>435</v>
      </c>
      <c r="L1697" s="3" t="s">
        <v>46</v>
      </c>
      <c r="M1697" s="4">
        <v>45423</v>
      </c>
      <c r="N1697" s="3" t="s">
        <v>23</v>
      </c>
      <c r="O1697" s="3" t="s">
        <v>24</v>
      </c>
      <c r="P1697" s="3" t="str">
        <f>IF(Table1[[#This Row],[Billing Amount]]&lt;5000,"Low",IF(Table1[[#This Row],[Billing Amount]]&lt;=15000,"Medium","High"))</f>
        <v>High</v>
      </c>
      <c r="Q1697" s="3" t="str">
        <f>IF(Table1[[#This Row],[Discharge Date]]="Yes","Discharged","Under Treatment")</f>
        <v>Under Treatment</v>
      </c>
      <c r="R1697" s="3" t="str">
        <f>IF(Table1[[#This Row],[Test Results]]&gt;120,"High Risk","Normal")</f>
        <v>High Risk</v>
      </c>
      <c r="S1697" s="3" t="str">
        <f>IF(Table1[[#This Row],[Age]]&lt;=18,"0-18",IF(Table1[[#This Row],[Age]]&lt;=35,"19-35",IF(Table1[[#This Row],[Age]]&lt;=50,"36-50",IF(Table1[[#This Row],[Age]]&lt;=65,"51-65","65+"))))</f>
        <v>36-50</v>
      </c>
    </row>
    <row r="1698" spans="1:19" x14ac:dyDescent="0.3">
      <c r="A1698" s="3" t="s">
        <v>5099</v>
      </c>
      <c r="B1698" s="3">
        <v>53</v>
      </c>
      <c r="C1698" s="3" t="s">
        <v>35</v>
      </c>
      <c r="D1698" s="3" t="s">
        <v>103</v>
      </c>
      <c r="E1698" s="3" t="s">
        <v>54</v>
      </c>
      <c r="F1698" s="4">
        <v>45069</v>
      </c>
      <c r="G1698" s="3" t="s">
        <v>5100</v>
      </c>
      <c r="H1698" s="3" t="s">
        <v>5101</v>
      </c>
      <c r="I1698" s="3" t="s">
        <v>57</v>
      </c>
      <c r="J1698" s="5">
        <v>17578.285489663998</v>
      </c>
      <c r="K1698" s="3">
        <v>262</v>
      </c>
      <c r="L1698" s="3" t="s">
        <v>46</v>
      </c>
      <c r="M1698" s="4">
        <v>45072</v>
      </c>
      <c r="N1698" s="3" t="s">
        <v>79</v>
      </c>
      <c r="O1698" s="3" t="s">
        <v>24</v>
      </c>
      <c r="P1698" s="3" t="str">
        <f>IF(Table1[[#This Row],[Billing Amount]]&lt;5000,"Low",IF(Table1[[#This Row],[Billing Amount]]&lt;=15000,"Medium","High"))</f>
        <v>High</v>
      </c>
      <c r="Q1698" s="3" t="str">
        <f>IF(Table1[[#This Row],[Discharge Date]]="Yes","Discharged","Under Treatment")</f>
        <v>Under Treatment</v>
      </c>
      <c r="R1698" s="3" t="str">
        <f>IF(Table1[[#This Row],[Test Results]]&gt;120,"High Risk","Normal")</f>
        <v>High Risk</v>
      </c>
      <c r="S1698" s="3" t="str">
        <f>IF(Table1[[#This Row],[Age]]&lt;=18,"0-18",IF(Table1[[#This Row],[Age]]&lt;=35,"19-35",IF(Table1[[#This Row],[Age]]&lt;=50,"36-50",IF(Table1[[#This Row],[Age]]&lt;=65,"51-65","65+"))))</f>
        <v>51-65</v>
      </c>
    </row>
    <row r="1699" spans="1:19" x14ac:dyDescent="0.3">
      <c r="A1699" s="3" t="s">
        <v>5102</v>
      </c>
      <c r="B1699" s="3">
        <v>60</v>
      </c>
      <c r="C1699" s="3" t="s">
        <v>35</v>
      </c>
      <c r="D1699" s="3" t="s">
        <v>26</v>
      </c>
      <c r="E1699" s="3" t="s">
        <v>54</v>
      </c>
      <c r="F1699" s="4">
        <v>45325</v>
      </c>
      <c r="G1699" s="3" t="s">
        <v>5103</v>
      </c>
      <c r="H1699" s="3" t="s">
        <v>5104</v>
      </c>
      <c r="I1699" s="3" t="s">
        <v>65</v>
      </c>
      <c r="J1699" s="5">
        <v>24108.397104984801</v>
      </c>
      <c r="K1699" s="3">
        <v>423</v>
      </c>
      <c r="L1699" s="3" t="s">
        <v>31</v>
      </c>
      <c r="M1699" s="4">
        <v>45328</v>
      </c>
      <c r="N1699" s="3" t="s">
        <v>79</v>
      </c>
      <c r="O1699" s="3" t="s">
        <v>24</v>
      </c>
      <c r="P1699" s="3" t="str">
        <f>IF(Table1[[#This Row],[Billing Amount]]&lt;5000,"Low",IF(Table1[[#This Row],[Billing Amount]]&lt;=15000,"Medium","High"))</f>
        <v>High</v>
      </c>
      <c r="Q1699" s="3" t="str">
        <f>IF(Table1[[#This Row],[Discharge Date]]="Yes","Discharged","Under Treatment")</f>
        <v>Under Treatment</v>
      </c>
      <c r="R1699" s="3" t="str">
        <f>IF(Table1[[#This Row],[Test Results]]&gt;120,"High Risk","Normal")</f>
        <v>High Risk</v>
      </c>
      <c r="S1699" s="3" t="str">
        <f>IF(Table1[[#This Row],[Age]]&lt;=18,"0-18",IF(Table1[[#This Row],[Age]]&lt;=35,"19-35",IF(Table1[[#This Row],[Age]]&lt;=50,"36-50",IF(Table1[[#This Row],[Age]]&lt;=65,"51-65","65+"))))</f>
        <v>51-65</v>
      </c>
    </row>
    <row r="1700" spans="1:19" x14ac:dyDescent="0.3">
      <c r="A1700" s="3" t="s">
        <v>5105</v>
      </c>
      <c r="B1700" s="3">
        <v>26</v>
      </c>
      <c r="C1700" s="3" t="s">
        <v>16</v>
      </c>
      <c r="D1700" s="3" t="s">
        <v>17</v>
      </c>
      <c r="E1700" s="3" t="s">
        <v>27</v>
      </c>
      <c r="F1700" s="4">
        <v>45418</v>
      </c>
      <c r="G1700" s="3" t="s">
        <v>5106</v>
      </c>
      <c r="H1700" s="3" t="s">
        <v>5107</v>
      </c>
      <c r="I1700" s="3" t="s">
        <v>57</v>
      </c>
      <c r="J1700" s="5">
        <v>45260.108029474097</v>
      </c>
      <c r="K1700" s="3">
        <v>328</v>
      </c>
      <c r="L1700" s="3" t="s">
        <v>22</v>
      </c>
      <c r="M1700" s="4">
        <v>45421</v>
      </c>
      <c r="N1700" s="3" t="s">
        <v>40</v>
      </c>
      <c r="O1700" s="3" t="s">
        <v>33</v>
      </c>
      <c r="P1700" s="3" t="str">
        <f>IF(Table1[[#This Row],[Billing Amount]]&lt;5000,"Low",IF(Table1[[#This Row],[Billing Amount]]&lt;=15000,"Medium","High"))</f>
        <v>High</v>
      </c>
      <c r="Q1700" s="3" t="str">
        <f>IF(Table1[[#This Row],[Discharge Date]]="Yes","Discharged","Under Treatment")</f>
        <v>Under Treatment</v>
      </c>
      <c r="R1700" s="3" t="str">
        <f>IF(Table1[[#This Row],[Test Results]]&gt;120,"High Risk","Normal")</f>
        <v>High Risk</v>
      </c>
      <c r="S1700" s="3" t="str">
        <f>IF(Table1[[#This Row],[Age]]&lt;=18,"0-18",IF(Table1[[#This Row],[Age]]&lt;=35,"19-35",IF(Table1[[#This Row],[Age]]&lt;=50,"36-50",IF(Table1[[#This Row],[Age]]&lt;=65,"51-65","65+"))))</f>
        <v>19-35</v>
      </c>
    </row>
    <row r="1701" spans="1:19" x14ac:dyDescent="0.3">
      <c r="A1701" s="3" t="s">
        <v>5108</v>
      </c>
      <c r="B1701" s="3">
        <v>28</v>
      </c>
      <c r="C1701" s="3" t="s">
        <v>35</v>
      </c>
      <c r="D1701" s="3" t="s">
        <v>36</v>
      </c>
      <c r="E1701" s="3" t="s">
        <v>76</v>
      </c>
      <c r="F1701" s="4">
        <v>44100</v>
      </c>
      <c r="G1701" s="3" t="s">
        <v>5109</v>
      </c>
      <c r="H1701" s="3" t="s">
        <v>4827</v>
      </c>
      <c r="I1701" s="3" t="s">
        <v>39</v>
      </c>
      <c r="J1701" s="5">
        <v>33145.6667012049</v>
      </c>
      <c r="K1701" s="3">
        <v>116</v>
      </c>
      <c r="L1701" s="3" t="s">
        <v>31</v>
      </c>
      <c r="M1701" s="4">
        <v>44126</v>
      </c>
      <c r="N1701" s="3" t="s">
        <v>40</v>
      </c>
      <c r="O1701" s="3" t="s">
        <v>33</v>
      </c>
      <c r="P1701" s="3" t="str">
        <f>IF(Table1[[#This Row],[Billing Amount]]&lt;5000,"Low",IF(Table1[[#This Row],[Billing Amount]]&lt;=15000,"Medium","High"))</f>
        <v>High</v>
      </c>
      <c r="Q1701" s="3" t="str">
        <f>IF(Table1[[#This Row],[Discharge Date]]="Yes","Discharged","Under Treatment")</f>
        <v>Under Treatment</v>
      </c>
      <c r="R1701" s="3" t="str">
        <f>IF(Table1[[#This Row],[Test Results]]&gt;120,"High Risk","Normal")</f>
        <v>High Risk</v>
      </c>
      <c r="S1701" s="3" t="str">
        <f>IF(Table1[[#This Row],[Age]]&lt;=18,"0-18",IF(Table1[[#This Row],[Age]]&lt;=35,"19-35",IF(Table1[[#This Row],[Age]]&lt;=50,"36-50",IF(Table1[[#This Row],[Age]]&lt;=65,"51-65","65+"))))</f>
        <v>19-35</v>
      </c>
    </row>
    <row r="1702" spans="1:19" x14ac:dyDescent="0.3">
      <c r="A1702" s="3" t="s">
        <v>5110</v>
      </c>
      <c r="B1702" s="3">
        <v>81</v>
      </c>
      <c r="C1702" s="3" t="s">
        <v>16</v>
      </c>
      <c r="D1702" s="3" t="s">
        <v>59</v>
      </c>
      <c r="E1702" s="3" t="s">
        <v>93</v>
      </c>
      <c r="F1702" s="4">
        <v>44389</v>
      </c>
      <c r="G1702" s="3" t="s">
        <v>5111</v>
      </c>
      <c r="H1702" s="3" t="s">
        <v>5112</v>
      </c>
      <c r="I1702" s="3" t="s">
        <v>21</v>
      </c>
      <c r="J1702" s="5">
        <v>16118.427302767799</v>
      </c>
      <c r="K1702" s="3">
        <v>310</v>
      </c>
      <c r="L1702" s="3" t="s">
        <v>46</v>
      </c>
      <c r="M1702" s="4">
        <v>44393</v>
      </c>
      <c r="N1702" s="3" t="s">
        <v>79</v>
      </c>
      <c r="O1702" s="3" t="s">
        <v>24</v>
      </c>
      <c r="P1702" s="3" t="str">
        <f>IF(Table1[[#This Row],[Billing Amount]]&lt;5000,"Low",IF(Table1[[#This Row],[Billing Amount]]&lt;=15000,"Medium","High"))</f>
        <v>High</v>
      </c>
      <c r="Q1702" s="3" t="str">
        <f>IF(Table1[[#This Row],[Discharge Date]]="Yes","Discharged","Under Treatment")</f>
        <v>Under Treatment</v>
      </c>
      <c r="R1702" s="3" t="str">
        <f>IF(Table1[[#This Row],[Test Results]]&gt;120,"High Risk","Normal")</f>
        <v>High Risk</v>
      </c>
      <c r="S1702" s="3" t="str">
        <f>IF(Table1[[#This Row],[Age]]&lt;=18,"0-18",IF(Table1[[#This Row],[Age]]&lt;=35,"19-35",IF(Table1[[#This Row],[Age]]&lt;=50,"36-50",IF(Table1[[#This Row],[Age]]&lt;=65,"51-65","65+"))))</f>
        <v>65+</v>
      </c>
    </row>
    <row r="1703" spans="1:19" x14ac:dyDescent="0.3">
      <c r="A1703" s="3" t="s">
        <v>5113</v>
      </c>
      <c r="B1703" s="3">
        <v>62</v>
      </c>
      <c r="C1703" s="3" t="s">
        <v>16</v>
      </c>
      <c r="D1703" s="3" t="s">
        <v>122</v>
      </c>
      <c r="E1703" s="3" t="s">
        <v>93</v>
      </c>
      <c r="F1703" s="4">
        <v>44609</v>
      </c>
      <c r="G1703" s="3" t="s">
        <v>5114</v>
      </c>
      <c r="H1703" s="3" t="s">
        <v>5115</v>
      </c>
      <c r="I1703" s="3" t="s">
        <v>21</v>
      </c>
      <c r="J1703" s="5">
        <v>33512.193410902597</v>
      </c>
      <c r="K1703" s="3">
        <v>466</v>
      </c>
      <c r="L1703" s="3" t="s">
        <v>22</v>
      </c>
      <c r="M1703" s="4">
        <v>44621</v>
      </c>
      <c r="N1703" s="3" t="s">
        <v>79</v>
      </c>
      <c r="O1703" s="3" t="s">
        <v>47</v>
      </c>
      <c r="P1703" s="3" t="str">
        <f>IF(Table1[[#This Row],[Billing Amount]]&lt;5000,"Low",IF(Table1[[#This Row],[Billing Amount]]&lt;=15000,"Medium","High"))</f>
        <v>High</v>
      </c>
      <c r="Q1703" s="3" t="str">
        <f>IF(Table1[[#This Row],[Discharge Date]]="Yes","Discharged","Under Treatment")</f>
        <v>Under Treatment</v>
      </c>
      <c r="R1703" s="3" t="str">
        <f>IF(Table1[[#This Row],[Test Results]]&gt;120,"High Risk","Normal")</f>
        <v>High Risk</v>
      </c>
      <c r="S1703" s="3" t="str">
        <f>IF(Table1[[#This Row],[Age]]&lt;=18,"0-18",IF(Table1[[#This Row],[Age]]&lt;=35,"19-35",IF(Table1[[#This Row],[Age]]&lt;=50,"36-50",IF(Table1[[#This Row],[Age]]&lt;=65,"51-65","65+"))))</f>
        <v>51-65</v>
      </c>
    </row>
    <row r="1704" spans="1:19" x14ac:dyDescent="0.3">
      <c r="A1704" s="3" t="s">
        <v>5116</v>
      </c>
      <c r="B1704" s="3">
        <v>34</v>
      </c>
      <c r="C1704" s="3" t="s">
        <v>16</v>
      </c>
      <c r="D1704" s="3" t="s">
        <v>49</v>
      </c>
      <c r="E1704" s="3" t="s">
        <v>76</v>
      </c>
      <c r="F1704" s="4">
        <v>45035</v>
      </c>
      <c r="G1704" s="3" t="s">
        <v>5117</v>
      </c>
      <c r="H1704" s="3" t="s">
        <v>5118</v>
      </c>
      <c r="I1704" s="3" t="s">
        <v>30</v>
      </c>
      <c r="J1704" s="5">
        <v>15046.7402236406</v>
      </c>
      <c r="K1704" s="3">
        <v>226</v>
      </c>
      <c r="L1704" s="3" t="s">
        <v>22</v>
      </c>
      <c r="M1704" s="4">
        <v>45037</v>
      </c>
      <c r="N1704" s="3" t="s">
        <v>52</v>
      </c>
      <c r="O1704" s="3" t="s">
        <v>24</v>
      </c>
      <c r="P1704" s="3" t="str">
        <f>IF(Table1[[#This Row],[Billing Amount]]&lt;5000,"Low",IF(Table1[[#This Row],[Billing Amount]]&lt;=15000,"Medium","High"))</f>
        <v>High</v>
      </c>
      <c r="Q1704" s="3" t="str">
        <f>IF(Table1[[#This Row],[Discharge Date]]="Yes","Discharged","Under Treatment")</f>
        <v>Under Treatment</v>
      </c>
      <c r="R1704" s="3" t="str">
        <f>IF(Table1[[#This Row],[Test Results]]&gt;120,"High Risk","Normal")</f>
        <v>High Risk</v>
      </c>
      <c r="S1704" s="3" t="str">
        <f>IF(Table1[[#This Row],[Age]]&lt;=18,"0-18",IF(Table1[[#This Row],[Age]]&lt;=35,"19-35",IF(Table1[[#This Row],[Age]]&lt;=50,"36-50",IF(Table1[[#This Row],[Age]]&lt;=65,"51-65","65+"))))</f>
        <v>19-35</v>
      </c>
    </row>
    <row r="1705" spans="1:19" x14ac:dyDescent="0.3">
      <c r="A1705" s="3" t="s">
        <v>5119</v>
      </c>
      <c r="B1705" s="3">
        <v>38</v>
      </c>
      <c r="C1705" s="3" t="s">
        <v>16</v>
      </c>
      <c r="D1705" s="3" t="s">
        <v>17</v>
      </c>
      <c r="E1705" s="3" t="s">
        <v>76</v>
      </c>
      <c r="F1705" s="4">
        <v>44578</v>
      </c>
      <c r="G1705" s="3" t="s">
        <v>5120</v>
      </c>
      <c r="H1705" s="3" t="s">
        <v>5121</v>
      </c>
      <c r="I1705" s="3" t="s">
        <v>39</v>
      </c>
      <c r="J1705" s="5">
        <v>43963.1461276552</v>
      </c>
      <c r="K1705" s="3">
        <v>185</v>
      </c>
      <c r="L1705" s="3" t="s">
        <v>22</v>
      </c>
      <c r="M1705" s="4">
        <v>44582</v>
      </c>
      <c r="N1705" s="3" t="s">
        <v>40</v>
      </c>
      <c r="O1705" s="3" t="s">
        <v>33</v>
      </c>
      <c r="P1705" s="3" t="str">
        <f>IF(Table1[[#This Row],[Billing Amount]]&lt;5000,"Low",IF(Table1[[#This Row],[Billing Amount]]&lt;=15000,"Medium","High"))</f>
        <v>High</v>
      </c>
      <c r="Q1705" s="3" t="str">
        <f>IF(Table1[[#This Row],[Discharge Date]]="Yes","Discharged","Under Treatment")</f>
        <v>Under Treatment</v>
      </c>
      <c r="R1705" s="3" t="str">
        <f>IF(Table1[[#This Row],[Test Results]]&gt;120,"High Risk","Normal")</f>
        <v>High Risk</v>
      </c>
      <c r="S1705" s="3" t="str">
        <f>IF(Table1[[#This Row],[Age]]&lt;=18,"0-18",IF(Table1[[#This Row],[Age]]&lt;=35,"19-35",IF(Table1[[#This Row],[Age]]&lt;=50,"36-50",IF(Table1[[#This Row],[Age]]&lt;=65,"51-65","65+"))))</f>
        <v>36-50</v>
      </c>
    </row>
    <row r="1706" spans="1:19" x14ac:dyDescent="0.3">
      <c r="A1706" s="3" t="s">
        <v>5122</v>
      </c>
      <c r="B1706" s="3">
        <v>23</v>
      </c>
      <c r="C1706" s="3" t="s">
        <v>16</v>
      </c>
      <c r="D1706" s="3" t="s">
        <v>42</v>
      </c>
      <c r="E1706" s="3" t="s">
        <v>76</v>
      </c>
      <c r="F1706" s="4">
        <v>43731</v>
      </c>
      <c r="G1706" s="3" t="s">
        <v>5123</v>
      </c>
      <c r="H1706" s="3" t="s">
        <v>5124</v>
      </c>
      <c r="I1706" s="3" t="s">
        <v>39</v>
      </c>
      <c r="J1706" s="5">
        <v>48695.3931711361</v>
      </c>
      <c r="K1706" s="3">
        <v>481</v>
      </c>
      <c r="L1706" s="3" t="s">
        <v>46</v>
      </c>
      <c r="M1706" s="4">
        <v>43732</v>
      </c>
      <c r="N1706" s="3" t="s">
        <v>32</v>
      </c>
      <c r="O1706" s="3" t="s">
        <v>47</v>
      </c>
      <c r="P1706" s="3" t="str">
        <f>IF(Table1[[#This Row],[Billing Amount]]&lt;5000,"Low",IF(Table1[[#This Row],[Billing Amount]]&lt;=15000,"Medium","High"))</f>
        <v>High</v>
      </c>
      <c r="Q1706" s="3" t="str">
        <f>IF(Table1[[#This Row],[Discharge Date]]="Yes","Discharged","Under Treatment")</f>
        <v>Under Treatment</v>
      </c>
      <c r="R1706" s="3" t="str">
        <f>IF(Table1[[#This Row],[Test Results]]&gt;120,"High Risk","Normal")</f>
        <v>High Risk</v>
      </c>
      <c r="S1706" s="3" t="str">
        <f>IF(Table1[[#This Row],[Age]]&lt;=18,"0-18",IF(Table1[[#This Row],[Age]]&lt;=35,"19-35",IF(Table1[[#This Row],[Age]]&lt;=50,"36-50",IF(Table1[[#This Row],[Age]]&lt;=65,"51-65","65+"))))</f>
        <v>19-35</v>
      </c>
    </row>
    <row r="1707" spans="1:19" x14ac:dyDescent="0.3">
      <c r="A1707" s="3" t="s">
        <v>5125</v>
      </c>
      <c r="B1707" s="3">
        <v>77</v>
      </c>
      <c r="C1707" s="3" t="s">
        <v>35</v>
      </c>
      <c r="D1707" s="3" t="s">
        <v>17</v>
      </c>
      <c r="E1707" s="3" t="s">
        <v>27</v>
      </c>
      <c r="F1707" s="4">
        <v>44528</v>
      </c>
      <c r="G1707" s="3" t="s">
        <v>5126</v>
      </c>
      <c r="H1707" s="3" t="s">
        <v>5127</v>
      </c>
      <c r="I1707" s="3" t="s">
        <v>65</v>
      </c>
      <c r="J1707" s="5">
        <v>43813.599880719397</v>
      </c>
      <c r="K1707" s="3">
        <v>479</v>
      </c>
      <c r="L1707" s="3" t="s">
        <v>22</v>
      </c>
      <c r="M1707" s="4">
        <v>44552</v>
      </c>
      <c r="N1707" s="3" t="s">
        <v>40</v>
      </c>
      <c r="O1707" s="3" t="s">
        <v>47</v>
      </c>
      <c r="P1707" s="3" t="str">
        <f>IF(Table1[[#This Row],[Billing Amount]]&lt;5000,"Low",IF(Table1[[#This Row],[Billing Amount]]&lt;=15000,"Medium","High"))</f>
        <v>High</v>
      </c>
      <c r="Q1707" s="3" t="str">
        <f>IF(Table1[[#This Row],[Discharge Date]]="Yes","Discharged","Under Treatment")</f>
        <v>Under Treatment</v>
      </c>
      <c r="R1707" s="3" t="str">
        <f>IF(Table1[[#This Row],[Test Results]]&gt;120,"High Risk","Normal")</f>
        <v>High Risk</v>
      </c>
      <c r="S1707" s="3" t="str">
        <f>IF(Table1[[#This Row],[Age]]&lt;=18,"0-18",IF(Table1[[#This Row],[Age]]&lt;=35,"19-35",IF(Table1[[#This Row],[Age]]&lt;=50,"36-50",IF(Table1[[#This Row],[Age]]&lt;=65,"51-65","65+"))))</f>
        <v>65+</v>
      </c>
    </row>
    <row r="1708" spans="1:19" x14ac:dyDescent="0.3">
      <c r="A1708" s="3" t="s">
        <v>5128</v>
      </c>
      <c r="B1708" s="3">
        <v>41</v>
      </c>
      <c r="C1708" s="3" t="s">
        <v>16</v>
      </c>
      <c r="D1708" s="3" t="s">
        <v>36</v>
      </c>
      <c r="E1708" s="3" t="s">
        <v>18</v>
      </c>
      <c r="F1708" s="4">
        <v>44117</v>
      </c>
      <c r="G1708" s="3" t="s">
        <v>5054</v>
      </c>
      <c r="H1708" s="3" t="s">
        <v>5129</v>
      </c>
      <c r="I1708" s="3" t="s">
        <v>21</v>
      </c>
      <c r="J1708" s="5">
        <v>6850.2038995831899</v>
      </c>
      <c r="K1708" s="3">
        <v>118</v>
      </c>
      <c r="L1708" s="3" t="s">
        <v>31</v>
      </c>
      <c r="M1708" s="4">
        <v>44134</v>
      </c>
      <c r="N1708" s="3" t="s">
        <v>40</v>
      </c>
      <c r="O1708" s="3" t="s">
        <v>33</v>
      </c>
      <c r="P1708" s="3" t="str">
        <f>IF(Table1[[#This Row],[Billing Amount]]&lt;5000,"Low",IF(Table1[[#This Row],[Billing Amount]]&lt;=15000,"Medium","High"))</f>
        <v>Medium</v>
      </c>
      <c r="Q1708" s="3" t="str">
        <f>IF(Table1[[#This Row],[Discharge Date]]="Yes","Discharged","Under Treatment")</f>
        <v>Under Treatment</v>
      </c>
      <c r="R1708" s="3" t="str">
        <f>IF(Table1[[#This Row],[Test Results]]&gt;120,"High Risk","Normal")</f>
        <v>High Risk</v>
      </c>
      <c r="S1708" s="3" t="str">
        <f>IF(Table1[[#This Row],[Age]]&lt;=18,"0-18",IF(Table1[[#This Row],[Age]]&lt;=35,"19-35",IF(Table1[[#This Row],[Age]]&lt;=50,"36-50",IF(Table1[[#This Row],[Age]]&lt;=65,"51-65","65+"))))</f>
        <v>36-50</v>
      </c>
    </row>
    <row r="1709" spans="1:19" x14ac:dyDescent="0.3">
      <c r="A1709" s="3" t="s">
        <v>5130</v>
      </c>
      <c r="B1709" s="3">
        <v>82</v>
      </c>
      <c r="C1709" s="3" t="s">
        <v>35</v>
      </c>
      <c r="D1709" s="3" t="s">
        <v>103</v>
      </c>
      <c r="E1709" s="3" t="s">
        <v>27</v>
      </c>
      <c r="F1709" s="4">
        <v>44123</v>
      </c>
      <c r="G1709" s="3" t="s">
        <v>5131</v>
      </c>
      <c r="H1709" s="3" t="s">
        <v>5132</v>
      </c>
      <c r="I1709" s="3" t="s">
        <v>57</v>
      </c>
      <c r="J1709" s="5">
        <v>37426.448798363097</v>
      </c>
      <c r="K1709" s="3">
        <v>206</v>
      </c>
      <c r="L1709" s="3" t="s">
        <v>31</v>
      </c>
      <c r="M1709" s="4">
        <v>44139</v>
      </c>
      <c r="N1709" s="3" t="s">
        <v>40</v>
      </c>
      <c r="O1709" s="3" t="s">
        <v>33</v>
      </c>
      <c r="P1709" s="3" t="str">
        <f>IF(Table1[[#This Row],[Billing Amount]]&lt;5000,"Low",IF(Table1[[#This Row],[Billing Amount]]&lt;=15000,"Medium","High"))</f>
        <v>High</v>
      </c>
      <c r="Q1709" s="3" t="str">
        <f>IF(Table1[[#This Row],[Discharge Date]]="Yes","Discharged","Under Treatment")</f>
        <v>Under Treatment</v>
      </c>
      <c r="R1709" s="3" t="str">
        <f>IF(Table1[[#This Row],[Test Results]]&gt;120,"High Risk","Normal")</f>
        <v>High Risk</v>
      </c>
      <c r="S1709" s="3" t="str">
        <f>IF(Table1[[#This Row],[Age]]&lt;=18,"0-18",IF(Table1[[#This Row],[Age]]&lt;=35,"19-35",IF(Table1[[#This Row],[Age]]&lt;=50,"36-50",IF(Table1[[#This Row],[Age]]&lt;=65,"51-65","65+"))))</f>
        <v>65+</v>
      </c>
    </row>
    <row r="1710" spans="1:19" x14ac:dyDescent="0.3">
      <c r="A1710" s="3" t="s">
        <v>5133</v>
      </c>
      <c r="B1710" s="3">
        <v>39</v>
      </c>
      <c r="C1710" s="3" t="s">
        <v>16</v>
      </c>
      <c r="D1710" s="3" t="s">
        <v>42</v>
      </c>
      <c r="E1710" s="3" t="s">
        <v>27</v>
      </c>
      <c r="F1710" s="4">
        <v>44436</v>
      </c>
      <c r="G1710" s="3" t="s">
        <v>5134</v>
      </c>
      <c r="H1710" s="3" t="s">
        <v>5135</v>
      </c>
      <c r="I1710" s="3" t="s">
        <v>57</v>
      </c>
      <c r="J1710" s="5">
        <v>4640.0477381941701</v>
      </c>
      <c r="K1710" s="3">
        <v>355</v>
      </c>
      <c r="L1710" s="3" t="s">
        <v>31</v>
      </c>
      <c r="M1710" s="4">
        <v>44466</v>
      </c>
      <c r="N1710" s="3" t="s">
        <v>40</v>
      </c>
      <c r="O1710" s="3" t="s">
        <v>33</v>
      </c>
      <c r="P1710" s="3" t="str">
        <f>IF(Table1[[#This Row],[Billing Amount]]&lt;5000,"Low",IF(Table1[[#This Row],[Billing Amount]]&lt;=15000,"Medium","High"))</f>
        <v>Low</v>
      </c>
      <c r="Q1710" s="3" t="str">
        <f>IF(Table1[[#This Row],[Discharge Date]]="Yes","Discharged","Under Treatment")</f>
        <v>Under Treatment</v>
      </c>
      <c r="R1710" s="3" t="str">
        <f>IF(Table1[[#This Row],[Test Results]]&gt;120,"High Risk","Normal")</f>
        <v>High Risk</v>
      </c>
      <c r="S1710" s="3" t="str">
        <f>IF(Table1[[#This Row],[Age]]&lt;=18,"0-18",IF(Table1[[#This Row],[Age]]&lt;=35,"19-35",IF(Table1[[#This Row],[Age]]&lt;=50,"36-50",IF(Table1[[#This Row],[Age]]&lt;=65,"51-65","65+"))))</f>
        <v>36-50</v>
      </c>
    </row>
    <row r="1711" spans="1:19" x14ac:dyDescent="0.3">
      <c r="A1711" s="3" t="s">
        <v>5136</v>
      </c>
      <c r="B1711" s="3">
        <v>59</v>
      </c>
      <c r="C1711" s="3" t="s">
        <v>16</v>
      </c>
      <c r="D1711" s="3" t="s">
        <v>17</v>
      </c>
      <c r="E1711" s="3" t="s">
        <v>43</v>
      </c>
      <c r="F1711" s="4">
        <v>43831</v>
      </c>
      <c r="G1711" s="3" t="s">
        <v>5137</v>
      </c>
      <c r="H1711" s="3" t="s">
        <v>5138</v>
      </c>
      <c r="I1711" s="3" t="s">
        <v>30</v>
      </c>
      <c r="J1711" s="5">
        <v>11568.7997120329</v>
      </c>
      <c r="K1711" s="3">
        <v>319</v>
      </c>
      <c r="L1711" s="3" t="s">
        <v>22</v>
      </c>
      <c r="M1711" s="4">
        <v>43835</v>
      </c>
      <c r="N1711" s="3" t="s">
        <v>52</v>
      </c>
      <c r="O1711" s="3" t="s">
        <v>47</v>
      </c>
      <c r="P1711" s="3" t="str">
        <f>IF(Table1[[#This Row],[Billing Amount]]&lt;5000,"Low",IF(Table1[[#This Row],[Billing Amount]]&lt;=15000,"Medium","High"))</f>
        <v>Medium</v>
      </c>
      <c r="Q1711" s="3" t="str">
        <f>IF(Table1[[#This Row],[Discharge Date]]="Yes","Discharged","Under Treatment")</f>
        <v>Under Treatment</v>
      </c>
      <c r="R1711" s="3" t="str">
        <f>IF(Table1[[#This Row],[Test Results]]&gt;120,"High Risk","Normal")</f>
        <v>High Risk</v>
      </c>
      <c r="S1711" s="3" t="str">
        <f>IF(Table1[[#This Row],[Age]]&lt;=18,"0-18",IF(Table1[[#This Row],[Age]]&lt;=35,"19-35",IF(Table1[[#This Row],[Age]]&lt;=50,"36-50",IF(Table1[[#This Row],[Age]]&lt;=65,"51-65","65+"))))</f>
        <v>51-65</v>
      </c>
    </row>
    <row r="1712" spans="1:19" x14ac:dyDescent="0.3">
      <c r="A1712" s="3" t="s">
        <v>5139</v>
      </c>
      <c r="B1712" s="3">
        <v>54</v>
      </c>
      <c r="C1712" s="3" t="s">
        <v>35</v>
      </c>
      <c r="D1712" s="3" t="s">
        <v>49</v>
      </c>
      <c r="E1712" s="3" t="s">
        <v>18</v>
      </c>
      <c r="F1712" s="4">
        <v>45191</v>
      </c>
      <c r="G1712" s="3" t="s">
        <v>5140</v>
      </c>
      <c r="H1712" s="3" t="s">
        <v>4831</v>
      </c>
      <c r="I1712" s="3" t="s">
        <v>57</v>
      </c>
      <c r="J1712" s="5">
        <v>5831.3241089371804</v>
      </c>
      <c r="K1712" s="3">
        <v>409</v>
      </c>
      <c r="L1712" s="3" t="s">
        <v>31</v>
      </c>
      <c r="M1712" s="4">
        <v>45201</v>
      </c>
      <c r="N1712" s="3" t="s">
        <v>32</v>
      </c>
      <c r="O1712" s="3" t="s">
        <v>47</v>
      </c>
      <c r="P1712" s="3" t="str">
        <f>IF(Table1[[#This Row],[Billing Amount]]&lt;5000,"Low",IF(Table1[[#This Row],[Billing Amount]]&lt;=15000,"Medium","High"))</f>
        <v>Medium</v>
      </c>
      <c r="Q1712" s="3" t="str">
        <f>IF(Table1[[#This Row],[Discharge Date]]="Yes","Discharged","Under Treatment")</f>
        <v>Under Treatment</v>
      </c>
      <c r="R1712" s="3" t="str">
        <f>IF(Table1[[#This Row],[Test Results]]&gt;120,"High Risk","Normal")</f>
        <v>High Risk</v>
      </c>
      <c r="S1712" s="3" t="str">
        <f>IF(Table1[[#This Row],[Age]]&lt;=18,"0-18",IF(Table1[[#This Row],[Age]]&lt;=35,"19-35",IF(Table1[[#This Row],[Age]]&lt;=50,"36-50",IF(Table1[[#This Row],[Age]]&lt;=65,"51-65","65+"))))</f>
        <v>51-65</v>
      </c>
    </row>
    <row r="1713" spans="1:19" x14ac:dyDescent="0.3">
      <c r="A1713" s="3" t="s">
        <v>5141</v>
      </c>
      <c r="B1713" s="3">
        <v>79</v>
      </c>
      <c r="C1713" s="3" t="s">
        <v>35</v>
      </c>
      <c r="D1713" s="3" t="s">
        <v>26</v>
      </c>
      <c r="E1713" s="3" t="s">
        <v>27</v>
      </c>
      <c r="F1713" s="4">
        <v>44400</v>
      </c>
      <c r="G1713" s="3" t="s">
        <v>5142</v>
      </c>
      <c r="H1713" s="3" t="s">
        <v>4519</v>
      </c>
      <c r="I1713" s="3" t="s">
        <v>21</v>
      </c>
      <c r="J1713" s="5">
        <v>27077.570151125601</v>
      </c>
      <c r="K1713" s="3">
        <v>442</v>
      </c>
      <c r="L1713" s="3" t="s">
        <v>46</v>
      </c>
      <c r="M1713" s="4">
        <v>44409</v>
      </c>
      <c r="N1713" s="3" t="s">
        <v>23</v>
      </c>
      <c r="O1713" s="3" t="s">
        <v>47</v>
      </c>
      <c r="P1713" s="3" t="str">
        <f>IF(Table1[[#This Row],[Billing Amount]]&lt;5000,"Low",IF(Table1[[#This Row],[Billing Amount]]&lt;=15000,"Medium","High"))</f>
        <v>High</v>
      </c>
      <c r="Q1713" s="3" t="str">
        <f>IF(Table1[[#This Row],[Discharge Date]]="Yes","Discharged","Under Treatment")</f>
        <v>Under Treatment</v>
      </c>
      <c r="R1713" s="3" t="str">
        <f>IF(Table1[[#This Row],[Test Results]]&gt;120,"High Risk","Normal")</f>
        <v>High Risk</v>
      </c>
      <c r="S1713" s="3" t="str">
        <f>IF(Table1[[#This Row],[Age]]&lt;=18,"0-18",IF(Table1[[#This Row],[Age]]&lt;=35,"19-35",IF(Table1[[#This Row],[Age]]&lt;=50,"36-50",IF(Table1[[#This Row],[Age]]&lt;=65,"51-65","65+"))))</f>
        <v>65+</v>
      </c>
    </row>
    <row r="1714" spans="1:19" x14ac:dyDescent="0.3">
      <c r="A1714" s="3" t="s">
        <v>5143</v>
      </c>
      <c r="B1714" s="3">
        <v>45</v>
      </c>
      <c r="C1714" s="3" t="s">
        <v>35</v>
      </c>
      <c r="D1714" s="3" t="s">
        <v>59</v>
      </c>
      <c r="E1714" s="3" t="s">
        <v>93</v>
      </c>
      <c r="F1714" s="4">
        <v>45038</v>
      </c>
      <c r="G1714" s="3" t="s">
        <v>5144</v>
      </c>
      <c r="H1714" s="3" t="s">
        <v>5145</v>
      </c>
      <c r="I1714" s="3" t="s">
        <v>39</v>
      </c>
      <c r="J1714" s="5">
        <v>11857.902408935301</v>
      </c>
      <c r="K1714" s="3">
        <v>192</v>
      </c>
      <c r="L1714" s="3" t="s">
        <v>31</v>
      </c>
      <c r="M1714" s="4">
        <v>45040</v>
      </c>
      <c r="N1714" s="3" t="s">
        <v>79</v>
      </c>
      <c r="O1714" s="3" t="s">
        <v>33</v>
      </c>
      <c r="P1714" s="3" t="str">
        <f>IF(Table1[[#This Row],[Billing Amount]]&lt;5000,"Low",IF(Table1[[#This Row],[Billing Amount]]&lt;=15000,"Medium","High"))</f>
        <v>Medium</v>
      </c>
      <c r="Q1714" s="3" t="str">
        <f>IF(Table1[[#This Row],[Discharge Date]]="Yes","Discharged","Under Treatment")</f>
        <v>Under Treatment</v>
      </c>
      <c r="R1714" s="3" t="str">
        <f>IF(Table1[[#This Row],[Test Results]]&gt;120,"High Risk","Normal")</f>
        <v>High Risk</v>
      </c>
      <c r="S1714" s="3" t="str">
        <f>IF(Table1[[#This Row],[Age]]&lt;=18,"0-18",IF(Table1[[#This Row],[Age]]&lt;=35,"19-35",IF(Table1[[#This Row],[Age]]&lt;=50,"36-50",IF(Table1[[#This Row],[Age]]&lt;=65,"51-65","65+"))))</f>
        <v>36-50</v>
      </c>
    </row>
    <row r="1715" spans="1:19" x14ac:dyDescent="0.3">
      <c r="A1715" s="3" t="s">
        <v>5146</v>
      </c>
      <c r="B1715" s="3">
        <v>31</v>
      </c>
      <c r="C1715" s="3" t="s">
        <v>16</v>
      </c>
      <c r="D1715" s="3" t="s">
        <v>36</v>
      </c>
      <c r="E1715" s="3" t="s">
        <v>76</v>
      </c>
      <c r="F1715" s="4">
        <v>43789</v>
      </c>
      <c r="G1715" s="3" t="s">
        <v>5147</v>
      </c>
      <c r="H1715" s="3" t="s">
        <v>5148</v>
      </c>
      <c r="I1715" s="3" t="s">
        <v>65</v>
      </c>
      <c r="J1715" s="5">
        <v>46633.9208595077</v>
      </c>
      <c r="K1715" s="3">
        <v>391</v>
      </c>
      <c r="L1715" s="3" t="s">
        <v>46</v>
      </c>
      <c r="M1715" s="4">
        <v>43801</v>
      </c>
      <c r="N1715" s="3" t="s">
        <v>23</v>
      </c>
      <c r="O1715" s="3" t="s">
        <v>24</v>
      </c>
      <c r="P1715" s="3" t="str">
        <f>IF(Table1[[#This Row],[Billing Amount]]&lt;5000,"Low",IF(Table1[[#This Row],[Billing Amount]]&lt;=15000,"Medium","High"))</f>
        <v>High</v>
      </c>
      <c r="Q1715" s="3" t="str">
        <f>IF(Table1[[#This Row],[Discharge Date]]="Yes","Discharged","Under Treatment")</f>
        <v>Under Treatment</v>
      </c>
      <c r="R1715" s="3" t="str">
        <f>IF(Table1[[#This Row],[Test Results]]&gt;120,"High Risk","Normal")</f>
        <v>High Risk</v>
      </c>
      <c r="S1715" s="3" t="str">
        <f>IF(Table1[[#This Row],[Age]]&lt;=18,"0-18",IF(Table1[[#This Row],[Age]]&lt;=35,"19-35",IF(Table1[[#This Row],[Age]]&lt;=50,"36-50",IF(Table1[[#This Row],[Age]]&lt;=65,"51-65","65+"))))</f>
        <v>19-35</v>
      </c>
    </row>
    <row r="1716" spans="1:19" x14ac:dyDescent="0.3">
      <c r="A1716" s="3" t="s">
        <v>5149</v>
      </c>
      <c r="B1716" s="3">
        <v>35</v>
      </c>
      <c r="C1716" s="3" t="s">
        <v>16</v>
      </c>
      <c r="D1716" s="3" t="s">
        <v>42</v>
      </c>
      <c r="E1716" s="3" t="s">
        <v>27</v>
      </c>
      <c r="F1716" s="4">
        <v>45234</v>
      </c>
      <c r="G1716" s="3" t="s">
        <v>5150</v>
      </c>
      <c r="H1716" s="3" t="s">
        <v>5151</v>
      </c>
      <c r="I1716" s="3" t="s">
        <v>21</v>
      </c>
      <c r="J1716" s="5">
        <v>8701.0818377845408</v>
      </c>
      <c r="K1716" s="3">
        <v>203</v>
      </c>
      <c r="L1716" s="3" t="s">
        <v>22</v>
      </c>
      <c r="M1716" s="4">
        <v>45247</v>
      </c>
      <c r="N1716" s="3" t="s">
        <v>32</v>
      </c>
      <c r="O1716" s="3" t="s">
        <v>47</v>
      </c>
      <c r="P1716" s="3" t="str">
        <f>IF(Table1[[#This Row],[Billing Amount]]&lt;5000,"Low",IF(Table1[[#This Row],[Billing Amount]]&lt;=15000,"Medium","High"))</f>
        <v>Medium</v>
      </c>
      <c r="Q1716" s="3" t="str">
        <f>IF(Table1[[#This Row],[Discharge Date]]="Yes","Discharged","Under Treatment")</f>
        <v>Under Treatment</v>
      </c>
      <c r="R1716" s="3" t="str">
        <f>IF(Table1[[#This Row],[Test Results]]&gt;120,"High Risk","Normal")</f>
        <v>High Risk</v>
      </c>
      <c r="S1716" s="3" t="str">
        <f>IF(Table1[[#This Row],[Age]]&lt;=18,"0-18",IF(Table1[[#This Row],[Age]]&lt;=35,"19-35",IF(Table1[[#This Row],[Age]]&lt;=50,"36-50",IF(Table1[[#This Row],[Age]]&lt;=65,"51-65","65+"))))</f>
        <v>19-35</v>
      </c>
    </row>
    <row r="1717" spans="1:19" x14ac:dyDescent="0.3">
      <c r="A1717" s="3" t="s">
        <v>5152</v>
      </c>
      <c r="B1717" s="3">
        <v>25</v>
      </c>
      <c r="C1717" s="3" t="s">
        <v>35</v>
      </c>
      <c r="D1717" s="3" t="s">
        <v>36</v>
      </c>
      <c r="E1717" s="3" t="s">
        <v>27</v>
      </c>
      <c r="F1717" s="4">
        <v>43712</v>
      </c>
      <c r="G1717" s="3" t="s">
        <v>5153</v>
      </c>
      <c r="H1717" s="3" t="s">
        <v>5154</v>
      </c>
      <c r="I1717" s="3" t="s">
        <v>21</v>
      </c>
      <c r="J1717" s="5">
        <v>4771.4301530502098</v>
      </c>
      <c r="K1717" s="3">
        <v>137</v>
      </c>
      <c r="L1717" s="3" t="s">
        <v>22</v>
      </c>
      <c r="M1717" s="4">
        <v>43737</v>
      </c>
      <c r="N1717" s="3" t="s">
        <v>79</v>
      </c>
      <c r="O1717" s="3" t="s">
        <v>24</v>
      </c>
      <c r="P1717" s="3" t="str">
        <f>IF(Table1[[#This Row],[Billing Amount]]&lt;5000,"Low",IF(Table1[[#This Row],[Billing Amount]]&lt;=15000,"Medium","High"))</f>
        <v>Low</v>
      </c>
      <c r="Q1717" s="3" t="str">
        <f>IF(Table1[[#This Row],[Discharge Date]]="Yes","Discharged","Under Treatment")</f>
        <v>Under Treatment</v>
      </c>
      <c r="R1717" s="3" t="str">
        <f>IF(Table1[[#This Row],[Test Results]]&gt;120,"High Risk","Normal")</f>
        <v>High Risk</v>
      </c>
      <c r="S1717" s="3" t="str">
        <f>IF(Table1[[#This Row],[Age]]&lt;=18,"0-18",IF(Table1[[#This Row],[Age]]&lt;=35,"19-35",IF(Table1[[#This Row],[Age]]&lt;=50,"36-50",IF(Table1[[#This Row],[Age]]&lt;=65,"51-65","65+"))))</f>
        <v>19-35</v>
      </c>
    </row>
    <row r="1718" spans="1:19" x14ac:dyDescent="0.3">
      <c r="A1718" s="3" t="s">
        <v>5155</v>
      </c>
      <c r="B1718" s="3">
        <v>67</v>
      </c>
      <c r="C1718" s="3" t="s">
        <v>16</v>
      </c>
      <c r="D1718" s="3" t="s">
        <v>103</v>
      </c>
      <c r="E1718" s="3" t="s">
        <v>76</v>
      </c>
      <c r="F1718" s="4">
        <v>44406</v>
      </c>
      <c r="G1718" s="3" t="s">
        <v>5156</v>
      </c>
      <c r="H1718" s="3" t="s">
        <v>5157</v>
      </c>
      <c r="I1718" s="3" t="s">
        <v>39</v>
      </c>
      <c r="J1718" s="5">
        <v>30515.529800808901</v>
      </c>
      <c r="K1718" s="3">
        <v>247</v>
      </c>
      <c r="L1718" s="3" t="s">
        <v>31</v>
      </c>
      <c r="M1718" s="4">
        <v>44417</v>
      </c>
      <c r="N1718" s="3" t="s">
        <v>23</v>
      </c>
      <c r="O1718" s="3" t="s">
        <v>33</v>
      </c>
      <c r="P1718" s="3" t="str">
        <f>IF(Table1[[#This Row],[Billing Amount]]&lt;5000,"Low",IF(Table1[[#This Row],[Billing Amount]]&lt;=15000,"Medium","High"))</f>
        <v>High</v>
      </c>
      <c r="Q1718" s="3" t="str">
        <f>IF(Table1[[#This Row],[Discharge Date]]="Yes","Discharged","Under Treatment")</f>
        <v>Under Treatment</v>
      </c>
      <c r="R1718" s="3" t="str">
        <f>IF(Table1[[#This Row],[Test Results]]&gt;120,"High Risk","Normal")</f>
        <v>High Risk</v>
      </c>
      <c r="S1718" s="3" t="str">
        <f>IF(Table1[[#This Row],[Age]]&lt;=18,"0-18",IF(Table1[[#This Row],[Age]]&lt;=35,"19-35",IF(Table1[[#This Row],[Age]]&lt;=50,"36-50",IF(Table1[[#This Row],[Age]]&lt;=65,"51-65","65+"))))</f>
        <v>65+</v>
      </c>
    </row>
    <row r="1719" spans="1:19" x14ac:dyDescent="0.3">
      <c r="A1719" s="3" t="s">
        <v>5158</v>
      </c>
      <c r="B1719" s="3">
        <v>73</v>
      </c>
      <c r="C1719" s="3" t="s">
        <v>16</v>
      </c>
      <c r="D1719" s="3" t="s">
        <v>42</v>
      </c>
      <c r="E1719" s="3" t="s">
        <v>27</v>
      </c>
      <c r="F1719" s="4">
        <v>45398</v>
      </c>
      <c r="G1719" s="3" t="s">
        <v>5159</v>
      </c>
      <c r="H1719" s="3" t="s">
        <v>3145</v>
      </c>
      <c r="I1719" s="3" t="s">
        <v>65</v>
      </c>
      <c r="J1719" s="5">
        <v>11271.9394747938</v>
      </c>
      <c r="K1719" s="3">
        <v>243</v>
      </c>
      <c r="L1719" s="3" t="s">
        <v>31</v>
      </c>
      <c r="M1719" s="4">
        <v>45426</v>
      </c>
      <c r="N1719" s="3" t="s">
        <v>32</v>
      </c>
      <c r="O1719" s="3" t="s">
        <v>33</v>
      </c>
      <c r="P1719" s="3" t="str">
        <f>IF(Table1[[#This Row],[Billing Amount]]&lt;5000,"Low",IF(Table1[[#This Row],[Billing Amount]]&lt;=15000,"Medium","High"))</f>
        <v>Medium</v>
      </c>
      <c r="Q1719" s="3" t="str">
        <f>IF(Table1[[#This Row],[Discharge Date]]="Yes","Discharged","Under Treatment")</f>
        <v>Under Treatment</v>
      </c>
      <c r="R1719" s="3" t="str">
        <f>IF(Table1[[#This Row],[Test Results]]&gt;120,"High Risk","Normal")</f>
        <v>High Risk</v>
      </c>
      <c r="S1719" s="3" t="str">
        <f>IF(Table1[[#This Row],[Age]]&lt;=18,"0-18",IF(Table1[[#This Row],[Age]]&lt;=35,"19-35",IF(Table1[[#This Row],[Age]]&lt;=50,"36-50",IF(Table1[[#This Row],[Age]]&lt;=65,"51-65","65+"))))</f>
        <v>65+</v>
      </c>
    </row>
    <row r="1720" spans="1:19" x14ac:dyDescent="0.3">
      <c r="A1720" s="3" t="s">
        <v>5160</v>
      </c>
      <c r="B1720" s="3">
        <v>58</v>
      </c>
      <c r="C1720" s="3" t="s">
        <v>16</v>
      </c>
      <c r="D1720" s="3" t="s">
        <v>36</v>
      </c>
      <c r="E1720" s="3" t="s">
        <v>43</v>
      </c>
      <c r="F1720" s="4">
        <v>44060</v>
      </c>
      <c r="G1720" s="3" t="s">
        <v>5161</v>
      </c>
      <c r="H1720" s="3" t="s">
        <v>5162</v>
      </c>
      <c r="I1720" s="3" t="s">
        <v>39</v>
      </c>
      <c r="J1720" s="5">
        <v>37069.693726381403</v>
      </c>
      <c r="K1720" s="3">
        <v>360</v>
      </c>
      <c r="L1720" s="3" t="s">
        <v>22</v>
      </c>
      <c r="M1720" s="4">
        <v>44087</v>
      </c>
      <c r="N1720" s="3" t="s">
        <v>40</v>
      </c>
      <c r="O1720" s="3" t="s">
        <v>24</v>
      </c>
      <c r="P1720" s="3" t="str">
        <f>IF(Table1[[#This Row],[Billing Amount]]&lt;5000,"Low",IF(Table1[[#This Row],[Billing Amount]]&lt;=15000,"Medium","High"))</f>
        <v>High</v>
      </c>
      <c r="Q1720" s="3" t="str">
        <f>IF(Table1[[#This Row],[Discharge Date]]="Yes","Discharged","Under Treatment")</f>
        <v>Under Treatment</v>
      </c>
      <c r="R1720" s="3" t="str">
        <f>IF(Table1[[#This Row],[Test Results]]&gt;120,"High Risk","Normal")</f>
        <v>High Risk</v>
      </c>
      <c r="S1720" s="3" t="str">
        <f>IF(Table1[[#This Row],[Age]]&lt;=18,"0-18",IF(Table1[[#This Row],[Age]]&lt;=35,"19-35",IF(Table1[[#This Row],[Age]]&lt;=50,"36-50",IF(Table1[[#This Row],[Age]]&lt;=65,"51-65","65+"))))</f>
        <v>51-65</v>
      </c>
    </row>
    <row r="1721" spans="1:19" x14ac:dyDescent="0.3">
      <c r="A1721" s="3" t="s">
        <v>5163</v>
      </c>
      <c r="B1721" s="3">
        <v>46</v>
      </c>
      <c r="C1721" s="3" t="s">
        <v>16</v>
      </c>
      <c r="D1721" s="3" t="s">
        <v>103</v>
      </c>
      <c r="E1721" s="3" t="s">
        <v>27</v>
      </c>
      <c r="F1721" s="4">
        <v>43852</v>
      </c>
      <c r="G1721" s="3" t="s">
        <v>5164</v>
      </c>
      <c r="H1721" s="3" t="s">
        <v>5165</v>
      </c>
      <c r="I1721" s="3" t="s">
        <v>30</v>
      </c>
      <c r="J1721" s="5">
        <v>19868.916818096299</v>
      </c>
      <c r="K1721" s="3">
        <v>431</v>
      </c>
      <c r="L1721" s="3" t="s">
        <v>46</v>
      </c>
      <c r="M1721" s="4">
        <v>43860</v>
      </c>
      <c r="N1721" s="3" t="s">
        <v>32</v>
      </c>
      <c r="O1721" s="3" t="s">
        <v>33</v>
      </c>
      <c r="P1721" s="3" t="str">
        <f>IF(Table1[[#This Row],[Billing Amount]]&lt;5000,"Low",IF(Table1[[#This Row],[Billing Amount]]&lt;=15000,"Medium","High"))</f>
        <v>High</v>
      </c>
      <c r="Q1721" s="3" t="str">
        <f>IF(Table1[[#This Row],[Discharge Date]]="Yes","Discharged","Under Treatment")</f>
        <v>Under Treatment</v>
      </c>
      <c r="R1721" s="3" t="str">
        <f>IF(Table1[[#This Row],[Test Results]]&gt;120,"High Risk","Normal")</f>
        <v>High Risk</v>
      </c>
      <c r="S1721" s="3" t="str">
        <f>IF(Table1[[#This Row],[Age]]&lt;=18,"0-18",IF(Table1[[#This Row],[Age]]&lt;=35,"19-35",IF(Table1[[#This Row],[Age]]&lt;=50,"36-50",IF(Table1[[#This Row],[Age]]&lt;=65,"51-65","65+"))))</f>
        <v>36-50</v>
      </c>
    </row>
    <row r="1722" spans="1:19" x14ac:dyDescent="0.3">
      <c r="A1722" s="3" t="s">
        <v>5166</v>
      </c>
      <c r="B1722" s="3">
        <v>80</v>
      </c>
      <c r="C1722" s="3" t="s">
        <v>35</v>
      </c>
      <c r="D1722" s="3" t="s">
        <v>49</v>
      </c>
      <c r="E1722" s="3" t="s">
        <v>27</v>
      </c>
      <c r="F1722" s="4">
        <v>44745</v>
      </c>
      <c r="G1722" s="3" t="s">
        <v>5167</v>
      </c>
      <c r="H1722" s="3" t="s">
        <v>5168</v>
      </c>
      <c r="I1722" s="3" t="s">
        <v>39</v>
      </c>
      <c r="J1722" s="5">
        <v>20884.0457537369</v>
      </c>
      <c r="K1722" s="3">
        <v>242</v>
      </c>
      <c r="L1722" s="3" t="s">
        <v>31</v>
      </c>
      <c r="M1722" s="4">
        <v>44766</v>
      </c>
      <c r="N1722" s="3" t="s">
        <v>32</v>
      </c>
      <c r="O1722" s="3" t="s">
        <v>33</v>
      </c>
      <c r="P1722" s="3" t="str">
        <f>IF(Table1[[#This Row],[Billing Amount]]&lt;5000,"Low",IF(Table1[[#This Row],[Billing Amount]]&lt;=15000,"Medium","High"))</f>
        <v>High</v>
      </c>
      <c r="Q1722" s="3" t="str">
        <f>IF(Table1[[#This Row],[Discharge Date]]="Yes","Discharged","Under Treatment")</f>
        <v>Under Treatment</v>
      </c>
      <c r="R1722" s="3" t="str">
        <f>IF(Table1[[#This Row],[Test Results]]&gt;120,"High Risk","Normal")</f>
        <v>High Risk</v>
      </c>
      <c r="S1722" s="3" t="str">
        <f>IF(Table1[[#This Row],[Age]]&lt;=18,"0-18",IF(Table1[[#This Row],[Age]]&lt;=35,"19-35",IF(Table1[[#This Row],[Age]]&lt;=50,"36-50",IF(Table1[[#This Row],[Age]]&lt;=65,"51-65","65+"))))</f>
        <v>65+</v>
      </c>
    </row>
    <row r="1723" spans="1:19" x14ac:dyDescent="0.3">
      <c r="A1723" s="3" t="s">
        <v>5169</v>
      </c>
      <c r="B1723" s="3">
        <v>83</v>
      </c>
      <c r="C1723" s="3" t="s">
        <v>16</v>
      </c>
      <c r="D1723" s="3" t="s">
        <v>49</v>
      </c>
      <c r="E1723" s="3" t="s">
        <v>76</v>
      </c>
      <c r="F1723" s="4">
        <v>44701</v>
      </c>
      <c r="G1723" s="3" t="s">
        <v>5170</v>
      </c>
      <c r="H1723" s="3" t="s">
        <v>5171</v>
      </c>
      <c r="I1723" s="3" t="s">
        <v>39</v>
      </c>
      <c r="J1723" s="5">
        <v>23703.5188758728</v>
      </c>
      <c r="K1723" s="3">
        <v>474</v>
      </c>
      <c r="L1723" s="3" t="s">
        <v>31</v>
      </c>
      <c r="M1723" s="4">
        <v>44710</v>
      </c>
      <c r="N1723" s="3" t="s">
        <v>32</v>
      </c>
      <c r="O1723" s="3" t="s">
        <v>47</v>
      </c>
      <c r="P1723" s="3" t="str">
        <f>IF(Table1[[#This Row],[Billing Amount]]&lt;5000,"Low",IF(Table1[[#This Row],[Billing Amount]]&lt;=15000,"Medium","High"))</f>
        <v>High</v>
      </c>
      <c r="Q1723" s="3" t="str">
        <f>IF(Table1[[#This Row],[Discharge Date]]="Yes","Discharged","Under Treatment")</f>
        <v>Under Treatment</v>
      </c>
      <c r="R1723" s="3" t="str">
        <f>IF(Table1[[#This Row],[Test Results]]&gt;120,"High Risk","Normal")</f>
        <v>High Risk</v>
      </c>
      <c r="S1723" s="3" t="str">
        <f>IF(Table1[[#This Row],[Age]]&lt;=18,"0-18",IF(Table1[[#This Row],[Age]]&lt;=35,"19-35",IF(Table1[[#This Row],[Age]]&lt;=50,"36-50",IF(Table1[[#This Row],[Age]]&lt;=65,"51-65","65+"))))</f>
        <v>65+</v>
      </c>
    </row>
    <row r="1724" spans="1:19" x14ac:dyDescent="0.3">
      <c r="A1724" s="3" t="s">
        <v>5172</v>
      </c>
      <c r="B1724" s="3">
        <v>85</v>
      </c>
      <c r="C1724" s="3" t="s">
        <v>16</v>
      </c>
      <c r="D1724" s="3" t="s">
        <v>42</v>
      </c>
      <c r="E1724" s="3" t="s">
        <v>54</v>
      </c>
      <c r="F1724" s="4">
        <v>43684</v>
      </c>
      <c r="G1724" s="3" t="s">
        <v>5173</v>
      </c>
      <c r="H1724" s="3" t="s">
        <v>5174</v>
      </c>
      <c r="I1724" s="3" t="s">
        <v>39</v>
      </c>
      <c r="J1724" s="5">
        <v>22743.3311058486</v>
      </c>
      <c r="K1724" s="3">
        <v>192</v>
      </c>
      <c r="L1724" s="3" t="s">
        <v>22</v>
      </c>
      <c r="M1724" s="4">
        <v>43694</v>
      </c>
      <c r="N1724" s="3" t="s">
        <v>79</v>
      </c>
      <c r="O1724" s="3" t="s">
        <v>24</v>
      </c>
      <c r="P1724" s="3" t="str">
        <f>IF(Table1[[#This Row],[Billing Amount]]&lt;5000,"Low",IF(Table1[[#This Row],[Billing Amount]]&lt;=15000,"Medium","High"))</f>
        <v>High</v>
      </c>
      <c r="Q1724" s="3" t="str">
        <f>IF(Table1[[#This Row],[Discharge Date]]="Yes","Discharged","Under Treatment")</f>
        <v>Under Treatment</v>
      </c>
      <c r="R1724" s="3" t="str">
        <f>IF(Table1[[#This Row],[Test Results]]&gt;120,"High Risk","Normal")</f>
        <v>High Risk</v>
      </c>
      <c r="S1724" s="3" t="str">
        <f>IF(Table1[[#This Row],[Age]]&lt;=18,"0-18",IF(Table1[[#This Row],[Age]]&lt;=35,"19-35",IF(Table1[[#This Row],[Age]]&lt;=50,"36-50",IF(Table1[[#This Row],[Age]]&lt;=65,"51-65","65+"))))</f>
        <v>65+</v>
      </c>
    </row>
    <row r="1725" spans="1:19" x14ac:dyDescent="0.3">
      <c r="A1725" s="3" t="s">
        <v>5175</v>
      </c>
      <c r="B1725" s="3">
        <v>41</v>
      </c>
      <c r="C1725" s="3" t="s">
        <v>16</v>
      </c>
      <c r="D1725" s="3" t="s">
        <v>36</v>
      </c>
      <c r="E1725" s="3" t="s">
        <v>27</v>
      </c>
      <c r="F1725" s="4">
        <v>43649</v>
      </c>
      <c r="G1725" s="3" t="s">
        <v>5176</v>
      </c>
      <c r="H1725" s="3" t="s">
        <v>2876</v>
      </c>
      <c r="I1725" s="3" t="s">
        <v>21</v>
      </c>
      <c r="J1725" s="5">
        <v>24395.862107626399</v>
      </c>
      <c r="K1725" s="3">
        <v>329</v>
      </c>
      <c r="L1725" s="3" t="s">
        <v>46</v>
      </c>
      <c r="M1725" s="4">
        <v>43675</v>
      </c>
      <c r="N1725" s="3" t="s">
        <v>23</v>
      </c>
      <c r="O1725" s="3" t="s">
        <v>33</v>
      </c>
      <c r="P1725" s="3" t="str">
        <f>IF(Table1[[#This Row],[Billing Amount]]&lt;5000,"Low",IF(Table1[[#This Row],[Billing Amount]]&lt;=15000,"Medium","High"))</f>
        <v>High</v>
      </c>
      <c r="Q1725" s="3" t="str">
        <f>IF(Table1[[#This Row],[Discharge Date]]="Yes","Discharged","Under Treatment")</f>
        <v>Under Treatment</v>
      </c>
      <c r="R1725" s="3" t="str">
        <f>IF(Table1[[#This Row],[Test Results]]&gt;120,"High Risk","Normal")</f>
        <v>High Risk</v>
      </c>
      <c r="S1725" s="3" t="str">
        <f>IF(Table1[[#This Row],[Age]]&lt;=18,"0-18",IF(Table1[[#This Row],[Age]]&lt;=35,"19-35",IF(Table1[[#This Row],[Age]]&lt;=50,"36-50",IF(Table1[[#This Row],[Age]]&lt;=65,"51-65","65+"))))</f>
        <v>36-50</v>
      </c>
    </row>
    <row r="1726" spans="1:19" x14ac:dyDescent="0.3">
      <c r="A1726" s="3" t="s">
        <v>5177</v>
      </c>
      <c r="B1726" s="3">
        <v>81</v>
      </c>
      <c r="C1726" s="3" t="s">
        <v>35</v>
      </c>
      <c r="D1726" s="3" t="s">
        <v>26</v>
      </c>
      <c r="E1726" s="3" t="s">
        <v>54</v>
      </c>
      <c r="F1726" s="4">
        <v>44590</v>
      </c>
      <c r="G1726" s="3" t="s">
        <v>5178</v>
      </c>
      <c r="H1726" s="3" t="s">
        <v>5179</v>
      </c>
      <c r="I1726" s="3" t="s">
        <v>21</v>
      </c>
      <c r="J1726" s="5">
        <v>16761.231590912601</v>
      </c>
      <c r="K1726" s="3">
        <v>146</v>
      </c>
      <c r="L1726" s="3" t="s">
        <v>46</v>
      </c>
      <c r="M1726" s="4">
        <v>44609</v>
      </c>
      <c r="N1726" s="3" t="s">
        <v>79</v>
      </c>
      <c r="O1726" s="3" t="s">
        <v>33</v>
      </c>
      <c r="P1726" s="3" t="str">
        <f>IF(Table1[[#This Row],[Billing Amount]]&lt;5000,"Low",IF(Table1[[#This Row],[Billing Amount]]&lt;=15000,"Medium","High"))</f>
        <v>High</v>
      </c>
      <c r="Q1726" s="3" t="str">
        <f>IF(Table1[[#This Row],[Discharge Date]]="Yes","Discharged","Under Treatment")</f>
        <v>Under Treatment</v>
      </c>
      <c r="R1726" s="3" t="str">
        <f>IF(Table1[[#This Row],[Test Results]]&gt;120,"High Risk","Normal")</f>
        <v>High Risk</v>
      </c>
      <c r="S1726" s="3" t="str">
        <f>IF(Table1[[#This Row],[Age]]&lt;=18,"0-18",IF(Table1[[#This Row],[Age]]&lt;=35,"19-35",IF(Table1[[#This Row],[Age]]&lt;=50,"36-50",IF(Table1[[#This Row],[Age]]&lt;=65,"51-65","65+"))))</f>
        <v>65+</v>
      </c>
    </row>
    <row r="1727" spans="1:19" x14ac:dyDescent="0.3">
      <c r="A1727" s="3" t="s">
        <v>5180</v>
      </c>
      <c r="B1727" s="3">
        <v>47</v>
      </c>
      <c r="C1727" s="3" t="s">
        <v>16</v>
      </c>
      <c r="D1727" s="3" t="s">
        <v>103</v>
      </c>
      <c r="E1727" s="3" t="s">
        <v>76</v>
      </c>
      <c r="F1727" s="4">
        <v>44310</v>
      </c>
      <c r="G1727" s="3" t="s">
        <v>5181</v>
      </c>
      <c r="H1727" s="3" t="s">
        <v>5182</v>
      </c>
      <c r="I1727" s="3" t="s">
        <v>21</v>
      </c>
      <c r="J1727" s="5">
        <v>24179.521880539502</v>
      </c>
      <c r="K1727" s="3">
        <v>214</v>
      </c>
      <c r="L1727" s="3" t="s">
        <v>46</v>
      </c>
      <c r="M1727" s="4">
        <v>44317</v>
      </c>
      <c r="N1727" s="3" t="s">
        <v>79</v>
      </c>
      <c r="O1727" s="3" t="s">
        <v>33</v>
      </c>
      <c r="P1727" s="3" t="str">
        <f>IF(Table1[[#This Row],[Billing Amount]]&lt;5000,"Low",IF(Table1[[#This Row],[Billing Amount]]&lt;=15000,"Medium","High"))</f>
        <v>High</v>
      </c>
      <c r="Q1727" s="3" t="str">
        <f>IF(Table1[[#This Row],[Discharge Date]]="Yes","Discharged","Under Treatment")</f>
        <v>Under Treatment</v>
      </c>
      <c r="R1727" s="3" t="str">
        <f>IF(Table1[[#This Row],[Test Results]]&gt;120,"High Risk","Normal")</f>
        <v>High Risk</v>
      </c>
      <c r="S1727" s="3" t="str">
        <f>IF(Table1[[#This Row],[Age]]&lt;=18,"0-18",IF(Table1[[#This Row],[Age]]&lt;=35,"19-35",IF(Table1[[#This Row],[Age]]&lt;=50,"36-50",IF(Table1[[#This Row],[Age]]&lt;=65,"51-65","65+"))))</f>
        <v>36-50</v>
      </c>
    </row>
    <row r="1728" spans="1:19" x14ac:dyDescent="0.3">
      <c r="A1728" s="3" t="s">
        <v>5183</v>
      </c>
      <c r="B1728" s="3">
        <v>77</v>
      </c>
      <c r="C1728" s="3" t="s">
        <v>35</v>
      </c>
      <c r="D1728" s="3" t="s">
        <v>17</v>
      </c>
      <c r="E1728" s="3" t="s">
        <v>43</v>
      </c>
      <c r="F1728" s="4">
        <v>44515</v>
      </c>
      <c r="G1728" s="3" t="s">
        <v>5184</v>
      </c>
      <c r="H1728" s="3" t="s">
        <v>5185</v>
      </c>
      <c r="I1728" s="3" t="s">
        <v>65</v>
      </c>
      <c r="J1728" s="5">
        <v>28926.190460873699</v>
      </c>
      <c r="K1728" s="3">
        <v>127</v>
      </c>
      <c r="L1728" s="3" t="s">
        <v>46</v>
      </c>
      <c r="M1728" s="4">
        <v>44533</v>
      </c>
      <c r="N1728" s="3" t="s">
        <v>79</v>
      </c>
      <c r="O1728" s="3" t="s">
        <v>47</v>
      </c>
      <c r="P1728" s="3" t="str">
        <f>IF(Table1[[#This Row],[Billing Amount]]&lt;5000,"Low",IF(Table1[[#This Row],[Billing Amount]]&lt;=15000,"Medium","High"))</f>
        <v>High</v>
      </c>
      <c r="Q1728" s="3" t="str">
        <f>IF(Table1[[#This Row],[Discharge Date]]="Yes","Discharged","Under Treatment")</f>
        <v>Under Treatment</v>
      </c>
      <c r="R1728" s="3" t="str">
        <f>IF(Table1[[#This Row],[Test Results]]&gt;120,"High Risk","Normal")</f>
        <v>High Risk</v>
      </c>
      <c r="S1728" s="3" t="str">
        <f>IF(Table1[[#This Row],[Age]]&lt;=18,"0-18",IF(Table1[[#This Row],[Age]]&lt;=35,"19-35",IF(Table1[[#This Row],[Age]]&lt;=50,"36-50",IF(Table1[[#This Row],[Age]]&lt;=65,"51-65","65+"))))</f>
        <v>65+</v>
      </c>
    </row>
    <row r="1729" spans="1:19" x14ac:dyDescent="0.3">
      <c r="A1729" s="3" t="s">
        <v>5186</v>
      </c>
      <c r="B1729" s="3">
        <v>20</v>
      </c>
      <c r="C1729" s="3" t="s">
        <v>16</v>
      </c>
      <c r="D1729" s="3" t="s">
        <v>42</v>
      </c>
      <c r="E1729" s="3" t="s">
        <v>43</v>
      </c>
      <c r="F1729" s="4">
        <v>44261</v>
      </c>
      <c r="G1729" s="3" t="s">
        <v>5187</v>
      </c>
      <c r="H1729" s="3" t="s">
        <v>5188</v>
      </c>
      <c r="I1729" s="3" t="s">
        <v>65</v>
      </c>
      <c r="J1729" s="5">
        <v>43327.132672645297</v>
      </c>
      <c r="K1729" s="3">
        <v>312</v>
      </c>
      <c r="L1729" s="3" t="s">
        <v>46</v>
      </c>
      <c r="M1729" s="4">
        <v>44276</v>
      </c>
      <c r="N1729" s="3" t="s">
        <v>23</v>
      </c>
      <c r="O1729" s="3" t="s">
        <v>24</v>
      </c>
      <c r="P1729" s="3" t="str">
        <f>IF(Table1[[#This Row],[Billing Amount]]&lt;5000,"Low",IF(Table1[[#This Row],[Billing Amount]]&lt;=15000,"Medium","High"))</f>
        <v>High</v>
      </c>
      <c r="Q1729" s="3" t="str">
        <f>IF(Table1[[#This Row],[Discharge Date]]="Yes","Discharged","Under Treatment")</f>
        <v>Under Treatment</v>
      </c>
      <c r="R1729" s="3" t="str">
        <f>IF(Table1[[#This Row],[Test Results]]&gt;120,"High Risk","Normal")</f>
        <v>High Risk</v>
      </c>
      <c r="S1729" s="3" t="str">
        <f>IF(Table1[[#This Row],[Age]]&lt;=18,"0-18",IF(Table1[[#This Row],[Age]]&lt;=35,"19-35",IF(Table1[[#This Row],[Age]]&lt;=50,"36-50",IF(Table1[[#This Row],[Age]]&lt;=65,"51-65","65+"))))</f>
        <v>19-35</v>
      </c>
    </row>
    <row r="1730" spans="1:19" x14ac:dyDescent="0.3">
      <c r="A1730" s="3" t="s">
        <v>5189</v>
      </c>
      <c r="B1730" s="3">
        <v>68</v>
      </c>
      <c r="C1730" s="3" t="s">
        <v>35</v>
      </c>
      <c r="D1730" s="3" t="s">
        <v>49</v>
      </c>
      <c r="E1730" s="3" t="s">
        <v>93</v>
      </c>
      <c r="F1730" s="4">
        <v>44722</v>
      </c>
      <c r="G1730" s="3" t="s">
        <v>5190</v>
      </c>
      <c r="H1730" s="3" t="s">
        <v>5191</v>
      </c>
      <c r="I1730" s="3" t="s">
        <v>21</v>
      </c>
      <c r="J1730" s="5">
        <v>7743.7456145029901</v>
      </c>
      <c r="K1730" s="3">
        <v>487</v>
      </c>
      <c r="L1730" s="3" t="s">
        <v>31</v>
      </c>
      <c r="M1730" s="4">
        <v>44731</v>
      </c>
      <c r="N1730" s="3" t="s">
        <v>32</v>
      </c>
      <c r="O1730" s="3" t="s">
        <v>24</v>
      </c>
      <c r="P1730" s="3" t="str">
        <f>IF(Table1[[#This Row],[Billing Amount]]&lt;5000,"Low",IF(Table1[[#This Row],[Billing Amount]]&lt;=15000,"Medium","High"))</f>
        <v>Medium</v>
      </c>
      <c r="Q1730" s="3" t="str">
        <f>IF(Table1[[#This Row],[Discharge Date]]="Yes","Discharged","Under Treatment")</f>
        <v>Under Treatment</v>
      </c>
      <c r="R1730" s="3" t="str">
        <f>IF(Table1[[#This Row],[Test Results]]&gt;120,"High Risk","Normal")</f>
        <v>High Risk</v>
      </c>
      <c r="S1730" s="3" t="str">
        <f>IF(Table1[[#This Row],[Age]]&lt;=18,"0-18",IF(Table1[[#This Row],[Age]]&lt;=35,"19-35",IF(Table1[[#This Row],[Age]]&lt;=50,"36-50",IF(Table1[[#This Row],[Age]]&lt;=65,"51-65","65+"))))</f>
        <v>65+</v>
      </c>
    </row>
    <row r="1731" spans="1:19" x14ac:dyDescent="0.3">
      <c r="A1731" s="3" t="s">
        <v>5192</v>
      </c>
      <c r="B1731" s="3">
        <v>23</v>
      </c>
      <c r="C1731" s="3" t="s">
        <v>16</v>
      </c>
      <c r="D1731" s="3" t="s">
        <v>17</v>
      </c>
      <c r="E1731" s="3" t="s">
        <v>43</v>
      </c>
      <c r="F1731" s="4">
        <v>43813</v>
      </c>
      <c r="G1731" s="3" t="s">
        <v>5193</v>
      </c>
      <c r="H1731" s="3" t="s">
        <v>1486</v>
      </c>
      <c r="I1731" s="3" t="s">
        <v>39</v>
      </c>
      <c r="J1731" s="5">
        <v>45284.445718277202</v>
      </c>
      <c r="K1731" s="3">
        <v>466</v>
      </c>
      <c r="L1731" s="3" t="s">
        <v>31</v>
      </c>
      <c r="M1731" s="4">
        <v>43835</v>
      </c>
      <c r="N1731" s="3" t="s">
        <v>79</v>
      </c>
      <c r="O1731" s="3" t="s">
        <v>24</v>
      </c>
      <c r="P1731" s="3" t="str">
        <f>IF(Table1[[#This Row],[Billing Amount]]&lt;5000,"Low",IF(Table1[[#This Row],[Billing Amount]]&lt;=15000,"Medium","High"))</f>
        <v>High</v>
      </c>
      <c r="Q1731" s="3" t="str">
        <f>IF(Table1[[#This Row],[Discharge Date]]="Yes","Discharged","Under Treatment")</f>
        <v>Under Treatment</v>
      </c>
      <c r="R1731" s="3" t="str">
        <f>IF(Table1[[#This Row],[Test Results]]&gt;120,"High Risk","Normal")</f>
        <v>High Risk</v>
      </c>
      <c r="S1731" s="3" t="str">
        <f>IF(Table1[[#This Row],[Age]]&lt;=18,"0-18",IF(Table1[[#This Row],[Age]]&lt;=35,"19-35",IF(Table1[[#This Row],[Age]]&lt;=50,"36-50",IF(Table1[[#This Row],[Age]]&lt;=65,"51-65","65+"))))</f>
        <v>19-35</v>
      </c>
    </row>
    <row r="1732" spans="1:19" x14ac:dyDescent="0.3">
      <c r="A1732" s="3" t="s">
        <v>5194</v>
      </c>
      <c r="B1732" s="3">
        <v>39</v>
      </c>
      <c r="C1732" s="3" t="s">
        <v>35</v>
      </c>
      <c r="D1732" s="3" t="s">
        <v>122</v>
      </c>
      <c r="E1732" s="3" t="s">
        <v>18</v>
      </c>
      <c r="F1732" s="4">
        <v>43668</v>
      </c>
      <c r="G1732" s="3" t="s">
        <v>5195</v>
      </c>
      <c r="H1732" s="3" t="s">
        <v>5196</v>
      </c>
      <c r="I1732" s="3" t="s">
        <v>21</v>
      </c>
      <c r="J1732" s="5">
        <v>5097.33875584203</v>
      </c>
      <c r="K1732" s="3">
        <v>152</v>
      </c>
      <c r="L1732" s="3" t="s">
        <v>46</v>
      </c>
      <c r="M1732" s="4">
        <v>43698</v>
      </c>
      <c r="N1732" s="3" t="s">
        <v>52</v>
      </c>
      <c r="O1732" s="3" t="s">
        <v>33</v>
      </c>
      <c r="P1732" s="3" t="str">
        <f>IF(Table1[[#This Row],[Billing Amount]]&lt;5000,"Low",IF(Table1[[#This Row],[Billing Amount]]&lt;=15000,"Medium","High"))</f>
        <v>Medium</v>
      </c>
      <c r="Q1732" s="3" t="str">
        <f>IF(Table1[[#This Row],[Discharge Date]]="Yes","Discharged","Under Treatment")</f>
        <v>Under Treatment</v>
      </c>
      <c r="R1732" s="3" t="str">
        <f>IF(Table1[[#This Row],[Test Results]]&gt;120,"High Risk","Normal")</f>
        <v>High Risk</v>
      </c>
      <c r="S1732" s="3" t="str">
        <f>IF(Table1[[#This Row],[Age]]&lt;=18,"0-18",IF(Table1[[#This Row],[Age]]&lt;=35,"19-35",IF(Table1[[#This Row],[Age]]&lt;=50,"36-50",IF(Table1[[#This Row],[Age]]&lt;=65,"51-65","65+"))))</f>
        <v>36-50</v>
      </c>
    </row>
    <row r="1733" spans="1:19" x14ac:dyDescent="0.3">
      <c r="A1733" s="3" t="s">
        <v>5197</v>
      </c>
      <c r="B1733" s="3">
        <v>50</v>
      </c>
      <c r="C1733" s="3" t="s">
        <v>35</v>
      </c>
      <c r="D1733" s="3" t="s">
        <v>17</v>
      </c>
      <c r="E1733" s="3" t="s">
        <v>93</v>
      </c>
      <c r="F1733" s="4">
        <v>45179</v>
      </c>
      <c r="G1733" s="3" t="s">
        <v>5198</v>
      </c>
      <c r="H1733" s="3" t="s">
        <v>5199</v>
      </c>
      <c r="I1733" s="3" t="s">
        <v>65</v>
      </c>
      <c r="J1733" s="5">
        <v>10730.4434327984</v>
      </c>
      <c r="K1733" s="3">
        <v>124</v>
      </c>
      <c r="L1733" s="3" t="s">
        <v>22</v>
      </c>
      <c r="M1733" s="4">
        <v>45195</v>
      </c>
      <c r="N1733" s="3" t="s">
        <v>79</v>
      </c>
      <c r="O1733" s="3" t="s">
        <v>24</v>
      </c>
      <c r="P1733" s="3" t="str">
        <f>IF(Table1[[#This Row],[Billing Amount]]&lt;5000,"Low",IF(Table1[[#This Row],[Billing Amount]]&lt;=15000,"Medium","High"))</f>
        <v>Medium</v>
      </c>
      <c r="Q1733" s="3" t="str">
        <f>IF(Table1[[#This Row],[Discharge Date]]="Yes","Discharged","Under Treatment")</f>
        <v>Under Treatment</v>
      </c>
      <c r="R1733" s="3" t="str">
        <f>IF(Table1[[#This Row],[Test Results]]&gt;120,"High Risk","Normal")</f>
        <v>High Risk</v>
      </c>
      <c r="S1733" s="3" t="str">
        <f>IF(Table1[[#This Row],[Age]]&lt;=18,"0-18",IF(Table1[[#This Row],[Age]]&lt;=35,"19-35",IF(Table1[[#This Row],[Age]]&lt;=50,"36-50",IF(Table1[[#This Row],[Age]]&lt;=65,"51-65","65+"))))</f>
        <v>36-50</v>
      </c>
    </row>
    <row r="1734" spans="1:19" x14ac:dyDescent="0.3">
      <c r="A1734" s="3" t="s">
        <v>5200</v>
      </c>
      <c r="B1734" s="3">
        <v>81</v>
      </c>
      <c r="C1734" s="3" t="s">
        <v>16</v>
      </c>
      <c r="D1734" s="3" t="s">
        <v>49</v>
      </c>
      <c r="E1734" s="3" t="s">
        <v>43</v>
      </c>
      <c r="F1734" s="4">
        <v>45128</v>
      </c>
      <c r="G1734" s="3" t="s">
        <v>5201</v>
      </c>
      <c r="H1734" s="3" t="s">
        <v>4897</v>
      </c>
      <c r="I1734" s="3" t="s">
        <v>39</v>
      </c>
      <c r="J1734" s="5">
        <v>6061.4615940864396</v>
      </c>
      <c r="K1734" s="3">
        <v>462</v>
      </c>
      <c r="L1734" s="3" t="s">
        <v>46</v>
      </c>
      <c r="M1734" s="4">
        <v>45150</v>
      </c>
      <c r="N1734" s="3" t="s">
        <v>40</v>
      </c>
      <c r="O1734" s="3" t="s">
        <v>24</v>
      </c>
      <c r="P1734" s="3" t="str">
        <f>IF(Table1[[#This Row],[Billing Amount]]&lt;5000,"Low",IF(Table1[[#This Row],[Billing Amount]]&lt;=15000,"Medium","High"))</f>
        <v>Medium</v>
      </c>
      <c r="Q1734" s="3" t="str">
        <f>IF(Table1[[#This Row],[Discharge Date]]="Yes","Discharged","Under Treatment")</f>
        <v>Under Treatment</v>
      </c>
      <c r="R1734" s="3" t="str">
        <f>IF(Table1[[#This Row],[Test Results]]&gt;120,"High Risk","Normal")</f>
        <v>High Risk</v>
      </c>
      <c r="S1734" s="3" t="str">
        <f>IF(Table1[[#This Row],[Age]]&lt;=18,"0-18",IF(Table1[[#This Row],[Age]]&lt;=35,"19-35",IF(Table1[[#This Row],[Age]]&lt;=50,"36-50",IF(Table1[[#This Row],[Age]]&lt;=65,"51-65","65+"))))</f>
        <v>65+</v>
      </c>
    </row>
    <row r="1735" spans="1:19" x14ac:dyDescent="0.3">
      <c r="A1735" s="3" t="s">
        <v>5202</v>
      </c>
      <c r="B1735" s="3">
        <v>77</v>
      </c>
      <c r="C1735" s="3" t="s">
        <v>16</v>
      </c>
      <c r="D1735" s="3" t="s">
        <v>49</v>
      </c>
      <c r="E1735" s="3" t="s">
        <v>76</v>
      </c>
      <c r="F1735" s="4">
        <v>43812</v>
      </c>
      <c r="G1735" s="3" t="s">
        <v>5203</v>
      </c>
      <c r="H1735" s="3" t="s">
        <v>5204</v>
      </c>
      <c r="I1735" s="3" t="s">
        <v>57</v>
      </c>
      <c r="J1735" s="5">
        <v>6245.7229166301304</v>
      </c>
      <c r="K1735" s="3">
        <v>298</v>
      </c>
      <c r="L1735" s="3" t="s">
        <v>22</v>
      </c>
      <c r="M1735" s="4">
        <v>43839</v>
      </c>
      <c r="N1735" s="3" t="s">
        <v>52</v>
      </c>
      <c r="O1735" s="3" t="s">
        <v>33</v>
      </c>
      <c r="P1735" s="3" t="str">
        <f>IF(Table1[[#This Row],[Billing Amount]]&lt;5000,"Low",IF(Table1[[#This Row],[Billing Amount]]&lt;=15000,"Medium","High"))</f>
        <v>Medium</v>
      </c>
      <c r="Q1735" s="3" t="str">
        <f>IF(Table1[[#This Row],[Discharge Date]]="Yes","Discharged","Under Treatment")</f>
        <v>Under Treatment</v>
      </c>
      <c r="R1735" s="3" t="str">
        <f>IF(Table1[[#This Row],[Test Results]]&gt;120,"High Risk","Normal")</f>
        <v>High Risk</v>
      </c>
      <c r="S1735" s="3" t="str">
        <f>IF(Table1[[#This Row],[Age]]&lt;=18,"0-18",IF(Table1[[#This Row],[Age]]&lt;=35,"19-35",IF(Table1[[#This Row],[Age]]&lt;=50,"36-50",IF(Table1[[#This Row],[Age]]&lt;=65,"51-65","65+"))))</f>
        <v>65+</v>
      </c>
    </row>
    <row r="1736" spans="1:19" x14ac:dyDescent="0.3">
      <c r="A1736" s="3" t="s">
        <v>5205</v>
      </c>
      <c r="B1736" s="3">
        <v>22</v>
      </c>
      <c r="C1736" s="3" t="s">
        <v>35</v>
      </c>
      <c r="D1736" s="3" t="s">
        <v>42</v>
      </c>
      <c r="E1736" s="3" t="s">
        <v>76</v>
      </c>
      <c r="F1736" s="4">
        <v>44974</v>
      </c>
      <c r="G1736" s="3" t="s">
        <v>5206</v>
      </c>
      <c r="H1736" s="3" t="s">
        <v>5207</v>
      </c>
      <c r="I1736" s="3" t="s">
        <v>21</v>
      </c>
      <c r="J1736" s="5">
        <v>33341.547755647</v>
      </c>
      <c r="K1736" s="3">
        <v>411</v>
      </c>
      <c r="L1736" s="3" t="s">
        <v>46</v>
      </c>
      <c r="M1736" s="4">
        <v>44998</v>
      </c>
      <c r="N1736" s="3" t="s">
        <v>23</v>
      </c>
      <c r="O1736" s="3" t="s">
        <v>47</v>
      </c>
      <c r="P1736" s="3" t="str">
        <f>IF(Table1[[#This Row],[Billing Amount]]&lt;5000,"Low",IF(Table1[[#This Row],[Billing Amount]]&lt;=15000,"Medium","High"))</f>
        <v>High</v>
      </c>
      <c r="Q1736" s="3" t="str">
        <f>IF(Table1[[#This Row],[Discharge Date]]="Yes","Discharged","Under Treatment")</f>
        <v>Under Treatment</v>
      </c>
      <c r="R1736" s="3" t="str">
        <f>IF(Table1[[#This Row],[Test Results]]&gt;120,"High Risk","Normal")</f>
        <v>High Risk</v>
      </c>
      <c r="S1736" s="3" t="str">
        <f>IF(Table1[[#This Row],[Age]]&lt;=18,"0-18",IF(Table1[[#This Row],[Age]]&lt;=35,"19-35",IF(Table1[[#This Row],[Age]]&lt;=50,"36-50",IF(Table1[[#This Row],[Age]]&lt;=65,"51-65","65+"))))</f>
        <v>19-35</v>
      </c>
    </row>
    <row r="1737" spans="1:19" x14ac:dyDescent="0.3">
      <c r="A1737" s="3" t="s">
        <v>5208</v>
      </c>
      <c r="B1737" s="3">
        <v>32</v>
      </c>
      <c r="C1737" s="3" t="s">
        <v>35</v>
      </c>
      <c r="D1737" s="3" t="s">
        <v>122</v>
      </c>
      <c r="E1737" s="3" t="s">
        <v>18</v>
      </c>
      <c r="F1737" s="4">
        <v>44686</v>
      </c>
      <c r="G1737" s="3" t="s">
        <v>5209</v>
      </c>
      <c r="H1737" s="3" t="s">
        <v>5210</v>
      </c>
      <c r="I1737" s="3" t="s">
        <v>39</v>
      </c>
      <c r="J1737" s="5">
        <v>9478.3323315987509</v>
      </c>
      <c r="K1737" s="3">
        <v>457</v>
      </c>
      <c r="L1737" s="3" t="s">
        <v>31</v>
      </c>
      <c r="M1737" s="4">
        <v>44692</v>
      </c>
      <c r="N1737" s="3" t="s">
        <v>52</v>
      </c>
      <c r="O1737" s="3" t="s">
        <v>24</v>
      </c>
      <c r="P1737" s="3" t="str">
        <f>IF(Table1[[#This Row],[Billing Amount]]&lt;5000,"Low",IF(Table1[[#This Row],[Billing Amount]]&lt;=15000,"Medium","High"))</f>
        <v>Medium</v>
      </c>
      <c r="Q1737" s="3" t="str">
        <f>IF(Table1[[#This Row],[Discharge Date]]="Yes","Discharged","Under Treatment")</f>
        <v>Under Treatment</v>
      </c>
      <c r="R1737" s="3" t="str">
        <f>IF(Table1[[#This Row],[Test Results]]&gt;120,"High Risk","Normal")</f>
        <v>High Risk</v>
      </c>
      <c r="S1737" s="3" t="str">
        <f>IF(Table1[[#This Row],[Age]]&lt;=18,"0-18",IF(Table1[[#This Row],[Age]]&lt;=35,"19-35",IF(Table1[[#This Row],[Age]]&lt;=50,"36-50",IF(Table1[[#This Row],[Age]]&lt;=65,"51-65","65+"))))</f>
        <v>19-35</v>
      </c>
    </row>
    <row r="1738" spans="1:19" x14ac:dyDescent="0.3">
      <c r="A1738" s="3" t="s">
        <v>5211</v>
      </c>
      <c r="B1738" s="3">
        <v>55</v>
      </c>
      <c r="C1738" s="3" t="s">
        <v>35</v>
      </c>
      <c r="D1738" s="3" t="s">
        <v>122</v>
      </c>
      <c r="E1738" s="3" t="s">
        <v>93</v>
      </c>
      <c r="F1738" s="4">
        <v>44012</v>
      </c>
      <c r="G1738" s="3" t="s">
        <v>5212</v>
      </c>
      <c r="H1738" s="3" t="s">
        <v>5213</v>
      </c>
      <c r="I1738" s="3" t="s">
        <v>30</v>
      </c>
      <c r="J1738" s="5">
        <v>5583.2221581855401</v>
      </c>
      <c r="K1738" s="3">
        <v>221</v>
      </c>
      <c r="L1738" s="3" t="s">
        <v>31</v>
      </c>
      <c r="M1738" s="4">
        <v>44022</v>
      </c>
      <c r="N1738" s="3" t="s">
        <v>52</v>
      </c>
      <c r="O1738" s="3" t="s">
        <v>24</v>
      </c>
      <c r="P1738" s="3" t="str">
        <f>IF(Table1[[#This Row],[Billing Amount]]&lt;5000,"Low",IF(Table1[[#This Row],[Billing Amount]]&lt;=15000,"Medium","High"))</f>
        <v>Medium</v>
      </c>
      <c r="Q1738" s="3" t="str">
        <f>IF(Table1[[#This Row],[Discharge Date]]="Yes","Discharged","Under Treatment")</f>
        <v>Under Treatment</v>
      </c>
      <c r="R1738" s="3" t="str">
        <f>IF(Table1[[#This Row],[Test Results]]&gt;120,"High Risk","Normal")</f>
        <v>High Risk</v>
      </c>
      <c r="S1738" s="3" t="str">
        <f>IF(Table1[[#This Row],[Age]]&lt;=18,"0-18",IF(Table1[[#This Row],[Age]]&lt;=35,"19-35",IF(Table1[[#This Row],[Age]]&lt;=50,"36-50",IF(Table1[[#This Row],[Age]]&lt;=65,"51-65","65+"))))</f>
        <v>51-65</v>
      </c>
    </row>
    <row r="1739" spans="1:19" x14ac:dyDescent="0.3">
      <c r="A1739" s="3" t="s">
        <v>5214</v>
      </c>
      <c r="B1739" s="3">
        <v>81</v>
      </c>
      <c r="C1739" s="3" t="s">
        <v>35</v>
      </c>
      <c r="D1739" s="3" t="s">
        <v>103</v>
      </c>
      <c r="E1739" s="3" t="s">
        <v>18</v>
      </c>
      <c r="F1739" s="4">
        <v>43718</v>
      </c>
      <c r="G1739" s="3" t="s">
        <v>5215</v>
      </c>
      <c r="H1739" s="3" t="s">
        <v>5216</v>
      </c>
      <c r="I1739" s="3" t="s">
        <v>39</v>
      </c>
      <c r="J1739" s="5">
        <v>20491.8595610968</v>
      </c>
      <c r="K1739" s="3">
        <v>309</v>
      </c>
      <c r="L1739" s="3" t="s">
        <v>46</v>
      </c>
      <c r="M1739" s="4">
        <v>43730</v>
      </c>
      <c r="N1739" s="3" t="s">
        <v>32</v>
      </c>
      <c r="O1739" s="3" t="s">
        <v>47</v>
      </c>
      <c r="P1739" s="3" t="str">
        <f>IF(Table1[[#This Row],[Billing Amount]]&lt;5000,"Low",IF(Table1[[#This Row],[Billing Amount]]&lt;=15000,"Medium","High"))</f>
        <v>High</v>
      </c>
      <c r="Q1739" s="3" t="str">
        <f>IF(Table1[[#This Row],[Discharge Date]]="Yes","Discharged","Under Treatment")</f>
        <v>Under Treatment</v>
      </c>
      <c r="R1739" s="3" t="str">
        <f>IF(Table1[[#This Row],[Test Results]]&gt;120,"High Risk","Normal")</f>
        <v>High Risk</v>
      </c>
      <c r="S1739" s="3" t="str">
        <f>IF(Table1[[#This Row],[Age]]&lt;=18,"0-18",IF(Table1[[#This Row],[Age]]&lt;=35,"19-35",IF(Table1[[#This Row],[Age]]&lt;=50,"36-50",IF(Table1[[#This Row],[Age]]&lt;=65,"51-65","65+"))))</f>
        <v>65+</v>
      </c>
    </row>
    <row r="1740" spans="1:19" x14ac:dyDescent="0.3">
      <c r="A1740" s="3" t="s">
        <v>5217</v>
      </c>
      <c r="B1740" s="3">
        <v>65</v>
      </c>
      <c r="C1740" s="3" t="s">
        <v>35</v>
      </c>
      <c r="D1740" s="3" t="s">
        <v>122</v>
      </c>
      <c r="E1740" s="3" t="s">
        <v>54</v>
      </c>
      <c r="F1740" s="4">
        <v>43855</v>
      </c>
      <c r="G1740" s="3" t="s">
        <v>5218</v>
      </c>
      <c r="H1740" s="3" t="s">
        <v>5219</v>
      </c>
      <c r="I1740" s="3" t="s">
        <v>65</v>
      </c>
      <c r="J1740" s="5">
        <v>30338.104934181101</v>
      </c>
      <c r="K1740" s="3">
        <v>463</v>
      </c>
      <c r="L1740" s="3" t="s">
        <v>46</v>
      </c>
      <c r="M1740" s="4">
        <v>43866</v>
      </c>
      <c r="N1740" s="3" t="s">
        <v>52</v>
      </c>
      <c r="O1740" s="3" t="s">
        <v>24</v>
      </c>
      <c r="P1740" s="3" t="str">
        <f>IF(Table1[[#This Row],[Billing Amount]]&lt;5000,"Low",IF(Table1[[#This Row],[Billing Amount]]&lt;=15000,"Medium","High"))</f>
        <v>High</v>
      </c>
      <c r="Q1740" s="3" t="str">
        <f>IF(Table1[[#This Row],[Discharge Date]]="Yes","Discharged","Under Treatment")</f>
        <v>Under Treatment</v>
      </c>
      <c r="R1740" s="3" t="str">
        <f>IF(Table1[[#This Row],[Test Results]]&gt;120,"High Risk","Normal")</f>
        <v>High Risk</v>
      </c>
      <c r="S1740" s="3" t="str">
        <f>IF(Table1[[#This Row],[Age]]&lt;=18,"0-18",IF(Table1[[#This Row],[Age]]&lt;=35,"19-35",IF(Table1[[#This Row],[Age]]&lt;=50,"36-50",IF(Table1[[#This Row],[Age]]&lt;=65,"51-65","65+"))))</f>
        <v>51-65</v>
      </c>
    </row>
    <row r="1741" spans="1:19" x14ac:dyDescent="0.3">
      <c r="A1741" s="3" t="s">
        <v>5220</v>
      </c>
      <c r="B1741" s="3">
        <v>47</v>
      </c>
      <c r="C1741" s="3" t="s">
        <v>35</v>
      </c>
      <c r="D1741" s="3" t="s">
        <v>36</v>
      </c>
      <c r="E1741" s="3" t="s">
        <v>18</v>
      </c>
      <c r="F1741" s="4">
        <v>43788</v>
      </c>
      <c r="G1741" s="3" t="s">
        <v>5221</v>
      </c>
      <c r="H1741" s="3" t="s">
        <v>5222</v>
      </c>
      <c r="I1741" s="3" t="s">
        <v>65</v>
      </c>
      <c r="J1741" s="5">
        <v>40605.870464390297</v>
      </c>
      <c r="K1741" s="3">
        <v>462</v>
      </c>
      <c r="L1741" s="3" t="s">
        <v>31</v>
      </c>
      <c r="M1741" s="4">
        <v>43816</v>
      </c>
      <c r="N1741" s="3" t="s">
        <v>52</v>
      </c>
      <c r="O1741" s="3" t="s">
        <v>47</v>
      </c>
      <c r="P1741" s="3" t="str">
        <f>IF(Table1[[#This Row],[Billing Amount]]&lt;5000,"Low",IF(Table1[[#This Row],[Billing Amount]]&lt;=15000,"Medium","High"))</f>
        <v>High</v>
      </c>
      <c r="Q1741" s="3" t="str">
        <f>IF(Table1[[#This Row],[Discharge Date]]="Yes","Discharged","Under Treatment")</f>
        <v>Under Treatment</v>
      </c>
      <c r="R1741" s="3" t="str">
        <f>IF(Table1[[#This Row],[Test Results]]&gt;120,"High Risk","Normal")</f>
        <v>High Risk</v>
      </c>
      <c r="S1741" s="3" t="str">
        <f>IF(Table1[[#This Row],[Age]]&lt;=18,"0-18",IF(Table1[[#This Row],[Age]]&lt;=35,"19-35",IF(Table1[[#This Row],[Age]]&lt;=50,"36-50",IF(Table1[[#This Row],[Age]]&lt;=65,"51-65","65+"))))</f>
        <v>36-50</v>
      </c>
    </row>
    <row r="1742" spans="1:19" x14ac:dyDescent="0.3">
      <c r="A1742" s="3" t="s">
        <v>5223</v>
      </c>
      <c r="B1742" s="3">
        <v>40</v>
      </c>
      <c r="C1742" s="3" t="s">
        <v>16</v>
      </c>
      <c r="D1742" s="3" t="s">
        <v>49</v>
      </c>
      <c r="E1742" s="3" t="s">
        <v>76</v>
      </c>
      <c r="F1742" s="4">
        <v>44224</v>
      </c>
      <c r="G1742" s="3" t="s">
        <v>5224</v>
      </c>
      <c r="H1742" s="3" t="s">
        <v>5225</v>
      </c>
      <c r="I1742" s="3" t="s">
        <v>30</v>
      </c>
      <c r="J1742" s="5">
        <v>48451.451210005704</v>
      </c>
      <c r="K1742" s="3">
        <v>373</v>
      </c>
      <c r="L1742" s="3" t="s">
        <v>46</v>
      </c>
      <c r="M1742" s="4">
        <v>44236</v>
      </c>
      <c r="N1742" s="3" t="s">
        <v>40</v>
      </c>
      <c r="O1742" s="3" t="s">
        <v>33</v>
      </c>
      <c r="P1742" s="3" t="str">
        <f>IF(Table1[[#This Row],[Billing Amount]]&lt;5000,"Low",IF(Table1[[#This Row],[Billing Amount]]&lt;=15000,"Medium","High"))</f>
        <v>High</v>
      </c>
      <c r="Q1742" s="3" t="str">
        <f>IF(Table1[[#This Row],[Discharge Date]]="Yes","Discharged","Under Treatment")</f>
        <v>Under Treatment</v>
      </c>
      <c r="R1742" s="3" t="str">
        <f>IF(Table1[[#This Row],[Test Results]]&gt;120,"High Risk","Normal")</f>
        <v>High Risk</v>
      </c>
      <c r="S1742" s="3" t="str">
        <f>IF(Table1[[#This Row],[Age]]&lt;=18,"0-18",IF(Table1[[#This Row],[Age]]&lt;=35,"19-35",IF(Table1[[#This Row],[Age]]&lt;=50,"36-50",IF(Table1[[#This Row],[Age]]&lt;=65,"51-65","65+"))))</f>
        <v>36-50</v>
      </c>
    </row>
    <row r="1743" spans="1:19" x14ac:dyDescent="0.3">
      <c r="A1743" s="3" t="s">
        <v>5227</v>
      </c>
      <c r="B1743" s="3">
        <v>22</v>
      </c>
      <c r="C1743" s="3" t="s">
        <v>35</v>
      </c>
      <c r="D1743" s="3" t="s">
        <v>49</v>
      </c>
      <c r="E1743" s="3" t="s">
        <v>43</v>
      </c>
      <c r="F1743" s="4">
        <v>43958</v>
      </c>
      <c r="G1743" s="3" t="s">
        <v>5228</v>
      </c>
      <c r="H1743" s="3" t="s">
        <v>5229</v>
      </c>
      <c r="I1743" s="3" t="s">
        <v>30</v>
      </c>
      <c r="J1743" s="5">
        <v>4052.8887633785098</v>
      </c>
      <c r="K1743" s="3">
        <v>246</v>
      </c>
      <c r="L1743" s="3" t="s">
        <v>31</v>
      </c>
      <c r="M1743" s="4">
        <v>43973</v>
      </c>
      <c r="N1743" s="3" t="s">
        <v>52</v>
      </c>
      <c r="O1743" s="3" t="s">
        <v>24</v>
      </c>
      <c r="P1743" s="3" t="str">
        <f>IF(Table1[[#This Row],[Billing Amount]]&lt;5000,"Low",IF(Table1[[#This Row],[Billing Amount]]&lt;=15000,"Medium","High"))</f>
        <v>Low</v>
      </c>
      <c r="Q1743" s="3" t="str">
        <f>IF(Table1[[#This Row],[Discharge Date]]="Yes","Discharged","Under Treatment")</f>
        <v>Under Treatment</v>
      </c>
      <c r="R1743" s="3" t="str">
        <f>IF(Table1[[#This Row],[Test Results]]&gt;120,"High Risk","Normal")</f>
        <v>High Risk</v>
      </c>
      <c r="S1743" s="3" t="str">
        <f>IF(Table1[[#This Row],[Age]]&lt;=18,"0-18",IF(Table1[[#This Row],[Age]]&lt;=35,"19-35",IF(Table1[[#This Row],[Age]]&lt;=50,"36-50",IF(Table1[[#This Row],[Age]]&lt;=65,"51-65","65+"))))</f>
        <v>19-35</v>
      </c>
    </row>
    <row r="1744" spans="1:19" x14ac:dyDescent="0.3">
      <c r="A1744" s="3" t="s">
        <v>5230</v>
      </c>
      <c r="B1744" s="3">
        <v>83</v>
      </c>
      <c r="C1744" s="3" t="s">
        <v>16</v>
      </c>
      <c r="D1744" s="3" t="s">
        <v>17</v>
      </c>
      <c r="E1744" s="3" t="s">
        <v>93</v>
      </c>
      <c r="F1744" s="4">
        <v>44465</v>
      </c>
      <c r="G1744" s="3" t="s">
        <v>5231</v>
      </c>
      <c r="H1744" s="3" t="s">
        <v>5232</v>
      </c>
      <c r="I1744" s="3" t="s">
        <v>65</v>
      </c>
      <c r="J1744" s="5">
        <v>28447.44004446</v>
      </c>
      <c r="K1744" s="3">
        <v>117</v>
      </c>
      <c r="L1744" s="3" t="s">
        <v>22</v>
      </c>
      <c r="M1744" s="4">
        <v>44470</v>
      </c>
      <c r="N1744" s="3" t="s">
        <v>32</v>
      </c>
      <c r="O1744" s="3" t="s">
        <v>24</v>
      </c>
      <c r="P1744" s="3" t="str">
        <f>IF(Table1[[#This Row],[Billing Amount]]&lt;5000,"Low",IF(Table1[[#This Row],[Billing Amount]]&lt;=15000,"Medium","High"))</f>
        <v>High</v>
      </c>
      <c r="Q1744" s="3" t="str">
        <f>IF(Table1[[#This Row],[Discharge Date]]="Yes","Discharged","Under Treatment")</f>
        <v>Under Treatment</v>
      </c>
      <c r="R1744" s="3" t="str">
        <f>IF(Table1[[#This Row],[Test Results]]&gt;120,"High Risk","Normal")</f>
        <v>High Risk</v>
      </c>
      <c r="S1744" s="3" t="str">
        <f>IF(Table1[[#This Row],[Age]]&lt;=18,"0-18",IF(Table1[[#This Row],[Age]]&lt;=35,"19-35",IF(Table1[[#This Row],[Age]]&lt;=50,"36-50",IF(Table1[[#This Row],[Age]]&lt;=65,"51-65","65+"))))</f>
        <v>65+</v>
      </c>
    </row>
    <row r="1745" spans="1:19" x14ac:dyDescent="0.3">
      <c r="A1745" s="3" t="s">
        <v>5233</v>
      </c>
      <c r="B1745" s="3">
        <v>35</v>
      </c>
      <c r="C1745" s="3" t="s">
        <v>35</v>
      </c>
      <c r="D1745" s="3" t="s">
        <v>36</v>
      </c>
      <c r="E1745" s="3" t="s">
        <v>18</v>
      </c>
      <c r="F1745" s="4">
        <v>44065</v>
      </c>
      <c r="G1745" s="3" t="s">
        <v>5234</v>
      </c>
      <c r="H1745" s="3" t="s">
        <v>5235</v>
      </c>
      <c r="I1745" s="3" t="s">
        <v>57</v>
      </c>
      <c r="J1745" s="5">
        <v>22732.388557564002</v>
      </c>
      <c r="K1745" s="3">
        <v>500</v>
      </c>
      <c r="L1745" s="3" t="s">
        <v>22</v>
      </c>
      <c r="M1745" s="4">
        <v>44082</v>
      </c>
      <c r="N1745" s="3" t="s">
        <v>79</v>
      </c>
      <c r="O1745" s="3" t="s">
        <v>47</v>
      </c>
      <c r="P1745" s="3" t="str">
        <f>IF(Table1[[#This Row],[Billing Amount]]&lt;5000,"Low",IF(Table1[[#This Row],[Billing Amount]]&lt;=15000,"Medium","High"))</f>
        <v>High</v>
      </c>
      <c r="Q1745" s="3" t="str">
        <f>IF(Table1[[#This Row],[Discharge Date]]="Yes","Discharged","Under Treatment")</f>
        <v>Under Treatment</v>
      </c>
      <c r="R1745" s="3" t="str">
        <f>IF(Table1[[#This Row],[Test Results]]&gt;120,"High Risk","Normal")</f>
        <v>High Risk</v>
      </c>
      <c r="S1745" s="3" t="str">
        <f>IF(Table1[[#This Row],[Age]]&lt;=18,"0-18",IF(Table1[[#This Row],[Age]]&lt;=35,"19-35",IF(Table1[[#This Row],[Age]]&lt;=50,"36-50",IF(Table1[[#This Row],[Age]]&lt;=65,"51-65","65+"))))</f>
        <v>19-35</v>
      </c>
    </row>
    <row r="1746" spans="1:19" x14ac:dyDescent="0.3">
      <c r="A1746" s="3" t="s">
        <v>5236</v>
      </c>
      <c r="B1746" s="3">
        <v>54</v>
      </c>
      <c r="C1746" s="3" t="s">
        <v>16</v>
      </c>
      <c r="D1746" s="3" t="s">
        <v>36</v>
      </c>
      <c r="E1746" s="3" t="s">
        <v>18</v>
      </c>
      <c r="F1746" s="4">
        <v>44491</v>
      </c>
      <c r="G1746" s="3" t="s">
        <v>5237</v>
      </c>
      <c r="H1746" s="3" t="s">
        <v>5238</v>
      </c>
      <c r="I1746" s="3" t="s">
        <v>65</v>
      </c>
      <c r="J1746" s="5">
        <v>29089.728673887799</v>
      </c>
      <c r="K1746" s="3">
        <v>200</v>
      </c>
      <c r="L1746" s="3" t="s">
        <v>22</v>
      </c>
      <c r="M1746" s="4">
        <v>44509</v>
      </c>
      <c r="N1746" s="3" t="s">
        <v>52</v>
      </c>
      <c r="O1746" s="3" t="s">
        <v>47</v>
      </c>
      <c r="P1746" s="3" t="str">
        <f>IF(Table1[[#This Row],[Billing Amount]]&lt;5000,"Low",IF(Table1[[#This Row],[Billing Amount]]&lt;=15000,"Medium","High"))</f>
        <v>High</v>
      </c>
      <c r="Q1746" s="3" t="str">
        <f>IF(Table1[[#This Row],[Discharge Date]]="Yes","Discharged","Under Treatment")</f>
        <v>Under Treatment</v>
      </c>
      <c r="R1746" s="3" t="str">
        <f>IF(Table1[[#This Row],[Test Results]]&gt;120,"High Risk","Normal")</f>
        <v>High Risk</v>
      </c>
      <c r="S1746" s="3" t="str">
        <f>IF(Table1[[#This Row],[Age]]&lt;=18,"0-18",IF(Table1[[#This Row],[Age]]&lt;=35,"19-35",IF(Table1[[#This Row],[Age]]&lt;=50,"36-50",IF(Table1[[#This Row],[Age]]&lt;=65,"51-65","65+"))))</f>
        <v>51-65</v>
      </c>
    </row>
    <row r="1747" spans="1:19" x14ac:dyDescent="0.3">
      <c r="A1747" s="3" t="s">
        <v>5239</v>
      </c>
      <c r="B1747" s="3">
        <v>66</v>
      </c>
      <c r="C1747" s="3" t="s">
        <v>35</v>
      </c>
      <c r="D1747" s="3" t="s">
        <v>42</v>
      </c>
      <c r="E1747" s="3" t="s">
        <v>27</v>
      </c>
      <c r="F1747" s="4">
        <v>43644</v>
      </c>
      <c r="G1747" s="3" t="s">
        <v>5240</v>
      </c>
      <c r="H1747" s="3" t="s">
        <v>5241</v>
      </c>
      <c r="I1747" s="3" t="s">
        <v>30</v>
      </c>
      <c r="J1747" s="5">
        <v>35356.027925674003</v>
      </c>
      <c r="K1747" s="3">
        <v>383</v>
      </c>
      <c r="L1747" s="3" t="s">
        <v>22</v>
      </c>
      <c r="M1747" s="4">
        <v>43653</v>
      </c>
      <c r="N1747" s="3" t="s">
        <v>79</v>
      </c>
      <c r="O1747" s="3" t="s">
        <v>24</v>
      </c>
      <c r="P1747" s="3" t="str">
        <f>IF(Table1[[#This Row],[Billing Amount]]&lt;5000,"Low",IF(Table1[[#This Row],[Billing Amount]]&lt;=15000,"Medium","High"))</f>
        <v>High</v>
      </c>
      <c r="Q1747" s="3" t="str">
        <f>IF(Table1[[#This Row],[Discharge Date]]="Yes","Discharged","Under Treatment")</f>
        <v>Under Treatment</v>
      </c>
      <c r="R1747" s="3" t="str">
        <f>IF(Table1[[#This Row],[Test Results]]&gt;120,"High Risk","Normal")</f>
        <v>High Risk</v>
      </c>
      <c r="S1747" s="3" t="str">
        <f>IF(Table1[[#This Row],[Age]]&lt;=18,"0-18",IF(Table1[[#This Row],[Age]]&lt;=35,"19-35",IF(Table1[[#This Row],[Age]]&lt;=50,"36-50",IF(Table1[[#This Row],[Age]]&lt;=65,"51-65","65+"))))</f>
        <v>65+</v>
      </c>
    </row>
    <row r="1748" spans="1:19" x14ac:dyDescent="0.3">
      <c r="A1748" s="3" t="s">
        <v>5242</v>
      </c>
      <c r="B1748" s="3">
        <v>45</v>
      </c>
      <c r="C1748" s="3" t="s">
        <v>16</v>
      </c>
      <c r="D1748" s="3" t="s">
        <v>103</v>
      </c>
      <c r="E1748" s="3" t="s">
        <v>54</v>
      </c>
      <c r="F1748" s="4">
        <v>44935</v>
      </c>
      <c r="G1748" s="3" t="s">
        <v>5243</v>
      </c>
      <c r="H1748" s="3" t="s">
        <v>2404</v>
      </c>
      <c r="I1748" s="3" t="s">
        <v>21</v>
      </c>
      <c r="J1748" s="5">
        <v>13959.2961686008</v>
      </c>
      <c r="K1748" s="3">
        <v>197</v>
      </c>
      <c r="L1748" s="3" t="s">
        <v>46</v>
      </c>
      <c r="M1748" s="4">
        <v>44964</v>
      </c>
      <c r="N1748" s="3" t="s">
        <v>52</v>
      </c>
      <c r="O1748" s="3" t="s">
        <v>24</v>
      </c>
      <c r="P1748" s="3" t="str">
        <f>IF(Table1[[#This Row],[Billing Amount]]&lt;5000,"Low",IF(Table1[[#This Row],[Billing Amount]]&lt;=15000,"Medium","High"))</f>
        <v>Medium</v>
      </c>
      <c r="Q1748" s="3" t="str">
        <f>IF(Table1[[#This Row],[Discharge Date]]="Yes","Discharged","Under Treatment")</f>
        <v>Under Treatment</v>
      </c>
      <c r="R1748" s="3" t="str">
        <f>IF(Table1[[#This Row],[Test Results]]&gt;120,"High Risk","Normal")</f>
        <v>High Risk</v>
      </c>
      <c r="S1748" s="3" t="str">
        <f>IF(Table1[[#This Row],[Age]]&lt;=18,"0-18",IF(Table1[[#This Row],[Age]]&lt;=35,"19-35",IF(Table1[[#This Row],[Age]]&lt;=50,"36-50",IF(Table1[[#This Row],[Age]]&lt;=65,"51-65","65+"))))</f>
        <v>36-50</v>
      </c>
    </row>
    <row r="1749" spans="1:19" x14ac:dyDescent="0.3">
      <c r="A1749" s="3" t="s">
        <v>5244</v>
      </c>
      <c r="B1749" s="3">
        <v>42</v>
      </c>
      <c r="C1749" s="3" t="s">
        <v>35</v>
      </c>
      <c r="D1749" s="3" t="s">
        <v>36</v>
      </c>
      <c r="E1749" s="3" t="s">
        <v>54</v>
      </c>
      <c r="F1749" s="4">
        <v>44827</v>
      </c>
      <c r="G1749" s="3" t="s">
        <v>5245</v>
      </c>
      <c r="H1749" s="3" t="s">
        <v>5246</v>
      </c>
      <c r="I1749" s="3" t="s">
        <v>65</v>
      </c>
      <c r="J1749" s="5">
        <v>42178.843634376302</v>
      </c>
      <c r="K1749" s="3">
        <v>406</v>
      </c>
      <c r="L1749" s="3" t="s">
        <v>46</v>
      </c>
      <c r="M1749" s="4">
        <v>44850</v>
      </c>
      <c r="N1749" s="3" t="s">
        <v>23</v>
      </c>
      <c r="O1749" s="3" t="s">
        <v>24</v>
      </c>
      <c r="P1749" s="3" t="str">
        <f>IF(Table1[[#This Row],[Billing Amount]]&lt;5000,"Low",IF(Table1[[#This Row],[Billing Amount]]&lt;=15000,"Medium","High"))</f>
        <v>High</v>
      </c>
      <c r="Q1749" s="3" t="str">
        <f>IF(Table1[[#This Row],[Discharge Date]]="Yes","Discharged","Under Treatment")</f>
        <v>Under Treatment</v>
      </c>
      <c r="R1749" s="3" t="str">
        <f>IF(Table1[[#This Row],[Test Results]]&gt;120,"High Risk","Normal")</f>
        <v>High Risk</v>
      </c>
      <c r="S1749" s="3" t="str">
        <f>IF(Table1[[#This Row],[Age]]&lt;=18,"0-18",IF(Table1[[#This Row],[Age]]&lt;=35,"19-35",IF(Table1[[#This Row],[Age]]&lt;=50,"36-50",IF(Table1[[#This Row],[Age]]&lt;=65,"51-65","65+"))))</f>
        <v>36-50</v>
      </c>
    </row>
    <row r="1750" spans="1:19" x14ac:dyDescent="0.3">
      <c r="A1750" s="3" t="s">
        <v>5247</v>
      </c>
      <c r="B1750" s="3">
        <v>26</v>
      </c>
      <c r="C1750" s="3" t="s">
        <v>35</v>
      </c>
      <c r="D1750" s="3" t="s">
        <v>122</v>
      </c>
      <c r="E1750" s="3" t="s">
        <v>18</v>
      </c>
      <c r="F1750" s="4">
        <v>45171</v>
      </c>
      <c r="G1750" s="3" t="s">
        <v>5248</v>
      </c>
      <c r="H1750" s="3" t="s">
        <v>5249</v>
      </c>
      <c r="I1750" s="3" t="s">
        <v>65</v>
      </c>
      <c r="J1750" s="5">
        <v>2612.1543741893802</v>
      </c>
      <c r="K1750" s="3">
        <v>302</v>
      </c>
      <c r="L1750" s="3" t="s">
        <v>31</v>
      </c>
      <c r="M1750" s="4">
        <v>45194</v>
      </c>
      <c r="N1750" s="3" t="s">
        <v>40</v>
      </c>
      <c r="O1750" s="3" t="s">
        <v>24</v>
      </c>
      <c r="P1750" s="3" t="str">
        <f>IF(Table1[[#This Row],[Billing Amount]]&lt;5000,"Low",IF(Table1[[#This Row],[Billing Amount]]&lt;=15000,"Medium","High"))</f>
        <v>Low</v>
      </c>
      <c r="Q1750" s="3" t="str">
        <f>IF(Table1[[#This Row],[Discharge Date]]="Yes","Discharged","Under Treatment")</f>
        <v>Under Treatment</v>
      </c>
      <c r="R1750" s="3" t="str">
        <f>IF(Table1[[#This Row],[Test Results]]&gt;120,"High Risk","Normal")</f>
        <v>High Risk</v>
      </c>
      <c r="S1750" s="3" t="str">
        <f>IF(Table1[[#This Row],[Age]]&lt;=18,"0-18",IF(Table1[[#This Row],[Age]]&lt;=35,"19-35",IF(Table1[[#This Row],[Age]]&lt;=50,"36-50",IF(Table1[[#This Row],[Age]]&lt;=65,"51-65","65+"))))</f>
        <v>19-35</v>
      </c>
    </row>
    <row r="1751" spans="1:19" x14ac:dyDescent="0.3">
      <c r="A1751" s="3" t="s">
        <v>5250</v>
      </c>
      <c r="B1751" s="3">
        <v>45</v>
      </c>
      <c r="C1751" s="3" t="s">
        <v>16</v>
      </c>
      <c r="D1751" s="3" t="s">
        <v>49</v>
      </c>
      <c r="E1751" s="3" t="s">
        <v>27</v>
      </c>
      <c r="F1751" s="4">
        <v>44306</v>
      </c>
      <c r="G1751" s="3" t="s">
        <v>5251</v>
      </c>
      <c r="H1751" s="3" t="s">
        <v>5252</v>
      </c>
      <c r="I1751" s="3" t="s">
        <v>65</v>
      </c>
      <c r="J1751" s="5">
        <v>2188.15334682913</v>
      </c>
      <c r="K1751" s="3">
        <v>494</v>
      </c>
      <c r="L1751" s="3" t="s">
        <v>31</v>
      </c>
      <c r="M1751" s="4">
        <v>44312</v>
      </c>
      <c r="N1751" s="3" t="s">
        <v>52</v>
      </c>
      <c r="O1751" s="3" t="s">
        <v>24</v>
      </c>
      <c r="P1751" s="3" t="str">
        <f>IF(Table1[[#This Row],[Billing Amount]]&lt;5000,"Low",IF(Table1[[#This Row],[Billing Amount]]&lt;=15000,"Medium","High"))</f>
        <v>Low</v>
      </c>
      <c r="Q1751" s="3" t="str">
        <f>IF(Table1[[#This Row],[Discharge Date]]="Yes","Discharged","Under Treatment")</f>
        <v>Under Treatment</v>
      </c>
      <c r="R1751" s="3" t="str">
        <f>IF(Table1[[#This Row],[Test Results]]&gt;120,"High Risk","Normal")</f>
        <v>High Risk</v>
      </c>
      <c r="S1751" s="3" t="str">
        <f>IF(Table1[[#This Row],[Age]]&lt;=18,"0-18",IF(Table1[[#This Row],[Age]]&lt;=35,"19-35",IF(Table1[[#This Row],[Age]]&lt;=50,"36-50",IF(Table1[[#This Row],[Age]]&lt;=65,"51-65","65+"))))</f>
        <v>36-50</v>
      </c>
    </row>
    <row r="1752" spans="1:19" x14ac:dyDescent="0.3">
      <c r="A1752" s="3" t="s">
        <v>5253</v>
      </c>
      <c r="B1752" s="3">
        <v>30</v>
      </c>
      <c r="C1752" s="3" t="s">
        <v>35</v>
      </c>
      <c r="D1752" s="3" t="s">
        <v>26</v>
      </c>
      <c r="E1752" s="3" t="s">
        <v>18</v>
      </c>
      <c r="F1752" s="4">
        <v>45083</v>
      </c>
      <c r="G1752" s="3" t="s">
        <v>5254</v>
      </c>
      <c r="H1752" s="3" t="s">
        <v>5255</v>
      </c>
      <c r="I1752" s="3" t="s">
        <v>21</v>
      </c>
      <c r="J1752" s="5">
        <v>35927.161964523402</v>
      </c>
      <c r="K1752" s="3">
        <v>284</v>
      </c>
      <c r="L1752" s="3" t="s">
        <v>46</v>
      </c>
      <c r="M1752" s="4">
        <v>45095</v>
      </c>
      <c r="N1752" s="3" t="s">
        <v>79</v>
      </c>
      <c r="O1752" s="3" t="s">
        <v>24</v>
      </c>
      <c r="P1752" s="3" t="str">
        <f>IF(Table1[[#This Row],[Billing Amount]]&lt;5000,"Low",IF(Table1[[#This Row],[Billing Amount]]&lt;=15000,"Medium","High"))</f>
        <v>High</v>
      </c>
      <c r="Q1752" s="3" t="str">
        <f>IF(Table1[[#This Row],[Discharge Date]]="Yes","Discharged","Under Treatment")</f>
        <v>Under Treatment</v>
      </c>
      <c r="R1752" s="3" t="str">
        <f>IF(Table1[[#This Row],[Test Results]]&gt;120,"High Risk","Normal")</f>
        <v>High Risk</v>
      </c>
      <c r="S1752" s="3" t="str">
        <f>IF(Table1[[#This Row],[Age]]&lt;=18,"0-18",IF(Table1[[#This Row],[Age]]&lt;=35,"19-35",IF(Table1[[#This Row],[Age]]&lt;=50,"36-50",IF(Table1[[#This Row],[Age]]&lt;=65,"51-65","65+"))))</f>
        <v>19-35</v>
      </c>
    </row>
    <row r="1753" spans="1:19" x14ac:dyDescent="0.3">
      <c r="A1753" s="3" t="s">
        <v>5256</v>
      </c>
      <c r="B1753" s="3">
        <v>77</v>
      </c>
      <c r="C1753" s="3" t="s">
        <v>35</v>
      </c>
      <c r="D1753" s="3" t="s">
        <v>17</v>
      </c>
      <c r="E1753" s="3" t="s">
        <v>54</v>
      </c>
      <c r="F1753" s="4">
        <v>44162</v>
      </c>
      <c r="G1753" s="3" t="s">
        <v>5257</v>
      </c>
      <c r="H1753" s="3" t="s">
        <v>3678</v>
      </c>
      <c r="I1753" s="3" t="s">
        <v>65</v>
      </c>
      <c r="J1753" s="5">
        <v>34758.545655583701</v>
      </c>
      <c r="K1753" s="3">
        <v>164</v>
      </c>
      <c r="L1753" s="3" t="s">
        <v>22</v>
      </c>
      <c r="M1753" s="4">
        <v>44191</v>
      </c>
      <c r="N1753" s="3" t="s">
        <v>79</v>
      </c>
      <c r="O1753" s="3" t="s">
        <v>33</v>
      </c>
      <c r="P1753" s="3" t="str">
        <f>IF(Table1[[#This Row],[Billing Amount]]&lt;5000,"Low",IF(Table1[[#This Row],[Billing Amount]]&lt;=15000,"Medium","High"))</f>
        <v>High</v>
      </c>
      <c r="Q1753" s="3" t="str">
        <f>IF(Table1[[#This Row],[Discharge Date]]="Yes","Discharged","Under Treatment")</f>
        <v>Under Treatment</v>
      </c>
      <c r="R1753" s="3" t="str">
        <f>IF(Table1[[#This Row],[Test Results]]&gt;120,"High Risk","Normal")</f>
        <v>High Risk</v>
      </c>
      <c r="S1753" s="3" t="str">
        <f>IF(Table1[[#This Row],[Age]]&lt;=18,"0-18",IF(Table1[[#This Row],[Age]]&lt;=35,"19-35",IF(Table1[[#This Row],[Age]]&lt;=50,"36-50",IF(Table1[[#This Row],[Age]]&lt;=65,"51-65","65+"))))</f>
        <v>65+</v>
      </c>
    </row>
    <row r="1754" spans="1:19" x14ac:dyDescent="0.3">
      <c r="A1754" s="3" t="s">
        <v>5258</v>
      </c>
      <c r="B1754" s="3">
        <v>58</v>
      </c>
      <c r="C1754" s="3" t="s">
        <v>35</v>
      </c>
      <c r="D1754" s="3" t="s">
        <v>36</v>
      </c>
      <c r="E1754" s="3" t="s">
        <v>18</v>
      </c>
      <c r="F1754" s="4">
        <v>44467</v>
      </c>
      <c r="G1754" s="3" t="s">
        <v>5259</v>
      </c>
      <c r="H1754" s="3" t="s">
        <v>5260</v>
      </c>
      <c r="I1754" s="3" t="s">
        <v>21</v>
      </c>
      <c r="J1754" s="5">
        <v>14783.102287223999</v>
      </c>
      <c r="K1754" s="3">
        <v>326</v>
      </c>
      <c r="L1754" s="3" t="s">
        <v>46</v>
      </c>
      <c r="M1754" s="4">
        <v>44486</v>
      </c>
      <c r="N1754" s="3" t="s">
        <v>32</v>
      </c>
      <c r="O1754" s="3" t="s">
        <v>47</v>
      </c>
      <c r="P1754" s="3" t="str">
        <f>IF(Table1[[#This Row],[Billing Amount]]&lt;5000,"Low",IF(Table1[[#This Row],[Billing Amount]]&lt;=15000,"Medium","High"))</f>
        <v>Medium</v>
      </c>
      <c r="Q1754" s="3" t="str">
        <f>IF(Table1[[#This Row],[Discharge Date]]="Yes","Discharged","Under Treatment")</f>
        <v>Under Treatment</v>
      </c>
      <c r="R1754" s="3" t="str">
        <f>IF(Table1[[#This Row],[Test Results]]&gt;120,"High Risk","Normal")</f>
        <v>High Risk</v>
      </c>
      <c r="S1754" s="3" t="str">
        <f>IF(Table1[[#This Row],[Age]]&lt;=18,"0-18",IF(Table1[[#This Row],[Age]]&lt;=35,"19-35",IF(Table1[[#This Row],[Age]]&lt;=50,"36-50",IF(Table1[[#This Row],[Age]]&lt;=65,"51-65","65+"))))</f>
        <v>51-65</v>
      </c>
    </row>
    <row r="1755" spans="1:19" x14ac:dyDescent="0.3">
      <c r="A1755" s="3" t="s">
        <v>5261</v>
      </c>
      <c r="B1755" s="3">
        <v>34</v>
      </c>
      <c r="C1755" s="3" t="s">
        <v>16</v>
      </c>
      <c r="D1755" s="3" t="s">
        <v>103</v>
      </c>
      <c r="E1755" s="3" t="s">
        <v>18</v>
      </c>
      <c r="F1755" s="4">
        <v>45341</v>
      </c>
      <c r="G1755" s="3" t="s">
        <v>5262</v>
      </c>
      <c r="H1755" s="3" t="s">
        <v>5069</v>
      </c>
      <c r="I1755" s="3" t="s">
        <v>57</v>
      </c>
      <c r="J1755" s="5">
        <v>44954.131241576099</v>
      </c>
      <c r="K1755" s="3">
        <v>334</v>
      </c>
      <c r="L1755" s="3" t="s">
        <v>46</v>
      </c>
      <c r="M1755" s="4">
        <v>45355</v>
      </c>
      <c r="N1755" s="3" t="s">
        <v>23</v>
      </c>
      <c r="O1755" s="3" t="s">
        <v>47</v>
      </c>
      <c r="P1755" s="3" t="str">
        <f>IF(Table1[[#This Row],[Billing Amount]]&lt;5000,"Low",IF(Table1[[#This Row],[Billing Amount]]&lt;=15000,"Medium","High"))</f>
        <v>High</v>
      </c>
      <c r="Q1755" s="3" t="str">
        <f>IF(Table1[[#This Row],[Discharge Date]]="Yes","Discharged","Under Treatment")</f>
        <v>Under Treatment</v>
      </c>
      <c r="R1755" s="3" t="str">
        <f>IF(Table1[[#This Row],[Test Results]]&gt;120,"High Risk","Normal")</f>
        <v>High Risk</v>
      </c>
      <c r="S1755" s="3" t="str">
        <f>IF(Table1[[#This Row],[Age]]&lt;=18,"0-18",IF(Table1[[#This Row],[Age]]&lt;=35,"19-35",IF(Table1[[#This Row],[Age]]&lt;=50,"36-50",IF(Table1[[#This Row],[Age]]&lt;=65,"51-65","65+"))))</f>
        <v>19-35</v>
      </c>
    </row>
    <row r="1756" spans="1:19" x14ac:dyDescent="0.3">
      <c r="A1756" s="3" t="s">
        <v>5263</v>
      </c>
      <c r="B1756" s="3">
        <v>69</v>
      </c>
      <c r="C1756" s="3" t="s">
        <v>35</v>
      </c>
      <c r="D1756" s="3" t="s">
        <v>26</v>
      </c>
      <c r="E1756" s="3" t="s">
        <v>54</v>
      </c>
      <c r="F1756" s="4">
        <v>44058</v>
      </c>
      <c r="G1756" s="3" t="s">
        <v>5264</v>
      </c>
      <c r="H1756" s="3" t="s">
        <v>5265</v>
      </c>
      <c r="I1756" s="3" t="s">
        <v>39</v>
      </c>
      <c r="J1756" s="5">
        <v>37975.129299099899</v>
      </c>
      <c r="K1756" s="3">
        <v>223</v>
      </c>
      <c r="L1756" s="3" t="s">
        <v>46</v>
      </c>
      <c r="M1756" s="4">
        <v>44077</v>
      </c>
      <c r="N1756" s="3" t="s">
        <v>40</v>
      </c>
      <c r="O1756" s="3" t="s">
        <v>33</v>
      </c>
      <c r="P1756" s="3" t="str">
        <f>IF(Table1[[#This Row],[Billing Amount]]&lt;5000,"Low",IF(Table1[[#This Row],[Billing Amount]]&lt;=15000,"Medium","High"))</f>
        <v>High</v>
      </c>
      <c r="Q1756" s="3" t="str">
        <f>IF(Table1[[#This Row],[Discharge Date]]="Yes","Discharged","Under Treatment")</f>
        <v>Under Treatment</v>
      </c>
      <c r="R1756" s="3" t="str">
        <f>IF(Table1[[#This Row],[Test Results]]&gt;120,"High Risk","Normal")</f>
        <v>High Risk</v>
      </c>
      <c r="S1756" s="3" t="str">
        <f>IF(Table1[[#This Row],[Age]]&lt;=18,"0-18",IF(Table1[[#This Row],[Age]]&lt;=35,"19-35",IF(Table1[[#This Row],[Age]]&lt;=50,"36-50",IF(Table1[[#This Row],[Age]]&lt;=65,"51-65","65+"))))</f>
        <v>65+</v>
      </c>
    </row>
    <row r="1757" spans="1:19" x14ac:dyDescent="0.3">
      <c r="A1757" s="3" t="s">
        <v>5266</v>
      </c>
      <c r="B1757" s="3">
        <v>83</v>
      </c>
      <c r="C1757" s="3" t="s">
        <v>35</v>
      </c>
      <c r="D1757" s="3" t="s">
        <v>17</v>
      </c>
      <c r="E1757" s="3" t="s">
        <v>93</v>
      </c>
      <c r="F1757" s="4">
        <v>45029</v>
      </c>
      <c r="G1757" s="3" t="s">
        <v>5267</v>
      </c>
      <c r="H1757" s="3" t="s">
        <v>5268</v>
      </c>
      <c r="I1757" s="3" t="s">
        <v>30</v>
      </c>
      <c r="J1757" s="5">
        <v>34693.648023745998</v>
      </c>
      <c r="K1757" s="3">
        <v>271</v>
      </c>
      <c r="L1757" s="3" t="s">
        <v>22</v>
      </c>
      <c r="M1757" s="4">
        <v>45036</v>
      </c>
      <c r="N1757" s="3" t="s">
        <v>23</v>
      </c>
      <c r="O1757" s="3" t="s">
        <v>33</v>
      </c>
      <c r="P1757" s="3" t="str">
        <f>IF(Table1[[#This Row],[Billing Amount]]&lt;5000,"Low",IF(Table1[[#This Row],[Billing Amount]]&lt;=15000,"Medium","High"))</f>
        <v>High</v>
      </c>
      <c r="Q1757" s="3" t="str">
        <f>IF(Table1[[#This Row],[Discharge Date]]="Yes","Discharged","Under Treatment")</f>
        <v>Under Treatment</v>
      </c>
      <c r="R1757" s="3" t="str">
        <f>IF(Table1[[#This Row],[Test Results]]&gt;120,"High Risk","Normal")</f>
        <v>High Risk</v>
      </c>
      <c r="S1757" s="3" t="str">
        <f>IF(Table1[[#This Row],[Age]]&lt;=18,"0-18",IF(Table1[[#This Row],[Age]]&lt;=35,"19-35",IF(Table1[[#This Row],[Age]]&lt;=50,"36-50",IF(Table1[[#This Row],[Age]]&lt;=65,"51-65","65+"))))</f>
        <v>65+</v>
      </c>
    </row>
    <row r="1758" spans="1:19" x14ac:dyDescent="0.3">
      <c r="A1758" s="3" t="s">
        <v>5269</v>
      </c>
      <c r="B1758" s="3">
        <v>61</v>
      </c>
      <c r="C1758" s="3" t="s">
        <v>35</v>
      </c>
      <c r="D1758" s="3" t="s">
        <v>103</v>
      </c>
      <c r="E1758" s="3" t="s">
        <v>43</v>
      </c>
      <c r="F1758" s="4">
        <v>44421</v>
      </c>
      <c r="G1758" s="3" t="s">
        <v>5270</v>
      </c>
      <c r="H1758" s="3" t="s">
        <v>5271</v>
      </c>
      <c r="I1758" s="3" t="s">
        <v>65</v>
      </c>
      <c r="J1758" s="5">
        <v>34134.121007855203</v>
      </c>
      <c r="K1758" s="3">
        <v>394</v>
      </c>
      <c r="L1758" s="3" t="s">
        <v>31</v>
      </c>
      <c r="M1758" s="4">
        <v>44447</v>
      </c>
      <c r="N1758" s="3" t="s">
        <v>79</v>
      </c>
      <c r="O1758" s="3" t="s">
        <v>33</v>
      </c>
      <c r="P1758" s="3" t="str">
        <f>IF(Table1[[#This Row],[Billing Amount]]&lt;5000,"Low",IF(Table1[[#This Row],[Billing Amount]]&lt;=15000,"Medium","High"))</f>
        <v>High</v>
      </c>
      <c r="Q1758" s="3" t="str">
        <f>IF(Table1[[#This Row],[Discharge Date]]="Yes","Discharged","Under Treatment")</f>
        <v>Under Treatment</v>
      </c>
      <c r="R1758" s="3" t="str">
        <f>IF(Table1[[#This Row],[Test Results]]&gt;120,"High Risk","Normal")</f>
        <v>High Risk</v>
      </c>
      <c r="S1758" s="3" t="str">
        <f>IF(Table1[[#This Row],[Age]]&lt;=18,"0-18",IF(Table1[[#This Row],[Age]]&lt;=35,"19-35",IF(Table1[[#This Row],[Age]]&lt;=50,"36-50",IF(Table1[[#This Row],[Age]]&lt;=65,"51-65","65+"))))</f>
        <v>51-65</v>
      </c>
    </row>
    <row r="1759" spans="1:19" x14ac:dyDescent="0.3">
      <c r="A1759" s="3" t="s">
        <v>5272</v>
      </c>
      <c r="B1759" s="3">
        <v>77</v>
      </c>
      <c r="C1759" s="3" t="s">
        <v>16</v>
      </c>
      <c r="D1759" s="3" t="s">
        <v>59</v>
      </c>
      <c r="E1759" s="3" t="s">
        <v>54</v>
      </c>
      <c r="F1759" s="4">
        <v>44257</v>
      </c>
      <c r="G1759" s="3" t="s">
        <v>5273</v>
      </c>
      <c r="H1759" s="3" t="s">
        <v>5274</v>
      </c>
      <c r="I1759" s="3" t="s">
        <v>21</v>
      </c>
      <c r="J1759" s="5">
        <v>49538.151547916903</v>
      </c>
      <c r="K1759" s="3">
        <v>335</v>
      </c>
      <c r="L1759" s="3" t="s">
        <v>22</v>
      </c>
      <c r="M1759" s="4">
        <v>44262</v>
      </c>
      <c r="N1759" s="3" t="s">
        <v>40</v>
      </c>
      <c r="O1759" s="3" t="s">
        <v>24</v>
      </c>
      <c r="P1759" s="3" t="str">
        <f>IF(Table1[[#This Row],[Billing Amount]]&lt;5000,"Low",IF(Table1[[#This Row],[Billing Amount]]&lt;=15000,"Medium","High"))</f>
        <v>High</v>
      </c>
      <c r="Q1759" s="3" t="str">
        <f>IF(Table1[[#This Row],[Discharge Date]]="Yes","Discharged","Under Treatment")</f>
        <v>Under Treatment</v>
      </c>
      <c r="R1759" s="3" t="str">
        <f>IF(Table1[[#This Row],[Test Results]]&gt;120,"High Risk","Normal")</f>
        <v>High Risk</v>
      </c>
      <c r="S1759" s="3" t="str">
        <f>IF(Table1[[#This Row],[Age]]&lt;=18,"0-18",IF(Table1[[#This Row],[Age]]&lt;=35,"19-35",IF(Table1[[#This Row],[Age]]&lt;=50,"36-50",IF(Table1[[#This Row],[Age]]&lt;=65,"51-65","65+"))))</f>
        <v>65+</v>
      </c>
    </row>
    <row r="1760" spans="1:19" x14ac:dyDescent="0.3">
      <c r="A1760" s="3" t="s">
        <v>5275</v>
      </c>
      <c r="B1760" s="3">
        <v>26</v>
      </c>
      <c r="C1760" s="3" t="s">
        <v>16</v>
      </c>
      <c r="D1760" s="3" t="s">
        <v>49</v>
      </c>
      <c r="E1760" s="3" t="s">
        <v>54</v>
      </c>
      <c r="F1760" s="4">
        <v>44643</v>
      </c>
      <c r="G1760" s="3" t="s">
        <v>5276</v>
      </c>
      <c r="H1760" s="3" t="s">
        <v>5277</v>
      </c>
      <c r="I1760" s="3" t="s">
        <v>30</v>
      </c>
      <c r="J1760" s="5">
        <v>14447.7953403762</v>
      </c>
      <c r="K1760" s="3">
        <v>409</v>
      </c>
      <c r="L1760" s="3" t="s">
        <v>22</v>
      </c>
      <c r="M1760" s="4">
        <v>44673</v>
      </c>
      <c r="N1760" s="3" t="s">
        <v>32</v>
      </c>
      <c r="O1760" s="3" t="s">
        <v>24</v>
      </c>
      <c r="P1760" s="3" t="str">
        <f>IF(Table1[[#This Row],[Billing Amount]]&lt;5000,"Low",IF(Table1[[#This Row],[Billing Amount]]&lt;=15000,"Medium","High"))</f>
        <v>Medium</v>
      </c>
      <c r="Q1760" s="3" t="str">
        <f>IF(Table1[[#This Row],[Discharge Date]]="Yes","Discharged","Under Treatment")</f>
        <v>Under Treatment</v>
      </c>
      <c r="R1760" s="3" t="str">
        <f>IF(Table1[[#This Row],[Test Results]]&gt;120,"High Risk","Normal")</f>
        <v>High Risk</v>
      </c>
      <c r="S1760" s="3" t="str">
        <f>IF(Table1[[#This Row],[Age]]&lt;=18,"0-18",IF(Table1[[#This Row],[Age]]&lt;=35,"19-35",IF(Table1[[#This Row],[Age]]&lt;=50,"36-50",IF(Table1[[#This Row],[Age]]&lt;=65,"51-65","65+"))))</f>
        <v>19-35</v>
      </c>
    </row>
    <row r="1761" spans="1:19" x14ac:dyDescent="0.3">
      <c r="A1761" s="3" t="s">
        <v>5278</v>
      </c>
      <c r="B1761" s="3">
        <v>83</v>
      </c>
      <c r="C1761" s="3" t="s">
        <v>35</v>
      </c>
      <c r="D1761" s="3" t="s">
        <v>42</v>
      </c>
      <c r="E1761" s="3" t="s">
        <v>76</v>
      </c>
      <c r="F1761" s="4">
        <v>44396</v>
      </c>
      <c r="G1761" s="3" t="s">
        <v>5279</v>
      </c>
      <c r="H1761" s="3" t="s">
        <v>5280</v>
      </c>
      <c r="I1761" s="3" t="s">
        <v>21</v>
      </c>
      <c r="J1761" s="5">
        <v>30046.437432808299</v>
      </c>
      <c r="K1761" s="3">
        <v>122</v>
      </c>
      <c r="L1761" s="3" t="s">
        <v>46</v>
      </c>
      <c r="M1761" s="4">
        <v>44423</v>
      </c>
      <c r="N1761" s="3" t="s">
        <v>32</v>
      </c>
      <c r="O1761" s="3" t="s">
        <v>24</v>
      </c>
      <c r="P1761" s="3" t="str">
        <f>IF(Table1[[#This Row],[Billing Amount]]&lt;5000,"Low",IF(Table1[[#This Row],[Billing Amount]]&lt;=15000,"Medium","High"))</f>
        <v>High</v>
      </c>
      <c r="Q1761" s="3" t="str">
        <f>IF(Table1[[#This Row],[Discharge Date]]="Yes","Discharged","Under Treatment")</f>
        <v>Under Treatment</v>
      </c>
      <c r="R1761" s="3" t="str">
        <f>IF(Table1[[#This Row],[Test Results]]&gt;120,"High Risk","Normal")</f>
        <v>High Risk</v>
      </c>
      <c r="S1761" s="3" t="str">
        <f>IF(Table1[[#This Row],[Age]]&lt;=18,"0-18",IF(Table1[[#This Row],[Age]]&lt;=35,"19-35",IF(Table1[[#This Row],[Age]]&lt;=50,"36-50",IF(Table1[[#This Row],[Age]]&lt;=65,"51-65","65+"))))</f>
        <v>65+</v>
      </c>
    </row>
    <row r="1762" spans="1:19" x14ac:dyDescent="0.3">
      <c r="A1762" s="3" t="s">
        <v>5281</v>
      </c>
      <c r="B1762" s="3">
        <v>51</v>
      </c>
      <c r="C1762" s="3" t="s">
        <v>16</v>
      </c>
      <c r="D1762" s="3" t="s">
        <v>17</v>
      </c>
      <c r="E1762" s="3" t="s">
        <v>18</v>
      </c>
      <c r="F1762" s="4">
        <v>44376</v>
      </c>
      <c r="G1762" s="3" t="s">
        <v>5282</v>
      </c>
      <c r="H1762" s="3" t="s">
        <v>5283</v>
      </c>
      <c r="I1762" s="3" t="s">
        <v>65</v>
      </c>
      <c r="J1762" s="5">
        <v>10011.8004079404</v>
      </c>
      <c r="K1762" s="3">
        <v>471</v>
      </c>
      <c r="L1762" s="3" t="s">
        <v>31</v>
      </c>
      <c r="M1762" s="4">
        <v>44402</v>
      </c>
      <c r="N1762" s="3" t="s">
        <v>32</v>
      </c>
      <c r="O1762" s="3" t="s">
        <v>33</v>
      </c>
      <c r="P1762" s="3" t="str">
        <f>IF(Table1[[#This Row],[Billing Amount]]&lt;5000,"Low",IF(Table1[[#This Row],[Billing Amount]]&lt;=15000,"Medium","High"))</f>
        <v>Medium</v>
      </c>
      <c r="Q1762" s="3" t="str">
        <f>IF(Table1[[#This Row],[Discharge Date]]="Yes","Discharged","Under Treatment")</f>
        <v>Under Treatment</v>
      </c>
      <c r="R1762" s="3" t="str">
        <f>IF(Table1[[#This Row],[Test Results]]&gt;120,"High Risk","Normal")</f>
        <v>High Risk</v>
      </c>
      <c r="S1762" s="3" t="str">
        <f>IF(Table1[[#This Row],[Age]]&lt;=18,"0-18",IF(Table1[[#This Row],[Age]]&lt;=35,"19-35",IF(Table1[[#This Row],[Age]]&lt;=50,"36-50",IF(Table1[[#This Row],[Age]]&lt;=65,"51-65","65+"))))</f>
        <v>51-65</v>
      </c>
    </row>
    <row r="1763" spans="1:19" x14ac:dyDescent="0.3">
      <c r="A1763" s="3" t="s">
        <v>5284</v>
      </c>
      <c r="B1763" s="3">
        <v>59</v>
      </c>
      <c r="C1763" s="3" t="s">
        <v>35</v>
      </c>
      <c r="D1763" s="3" t="s">
        <v>103</v>
      </c>
      <c r="E1763" s="3" t="s">
        <v>54</v>
      </c>
      <c r="F1763" s="4">
        <v>45255</v>
      </c>
      <c r="G1763" s="3" t="s">
        <v>5285</v>
      </c>
      <c r="H1763" s="3" t="s">
        <v>5286</v>
      </c>
      <c r="I1763" s="3" t="s">
        <v>21</v>
      </c>
      <c r="J1763" s="5">
        <v>17383.9055335425</v>
      </c>
      <c r="K1763" s="3">
        <v>368</v>
      </c>
      <c r="L1763" s="3" t="s">
        <v>31</v>
      </c>
      <c r="M1763" s="4">
        <v>45259</v>
      </c>
      <c r="N1763" s="3" t="s">
        <v>23</v>
      </c>
      <c r="O1763" s="3" t="s">
        <v>33</v>
      </c>
      <c r="P1763" s="3" t="str">
        <f>IF(Table1[[#This Row],[Billing Amount]]&lt;5000,"Low",IF(Table1[[#This Row],[Billing Amount]]&lt;=15000,"Medium","High"))</f>
        <v>High</v>
      </c>
      <c r="Q1763" s="3" t="str">
        <f>IF(Table1[[#This Row],[Discharge Date]]="Yes","Discharged","Under Treatment")</f>
        <v>Under Treatment</v>
      </c>
      <c r="R1763" s="3" t="str">
        <f>IF(Table1[[#This Row],[Test Results]]&gt;120,"High Risk","Normal")</f>
        <v>High Risk</v>
      </c>
      <c r="S1763" s="3" t="str">
        <f>IF(Table1[[#This Row],[Age]]&lt;=18,"0-18",IF(Table1[[#This Row],[Age]]&lt;=35,"19-35",IF(Table1[[#This Row],[Age]]&lt;=50,"36-50",IF(Table1[[#This Row],[Age]]&lt;=65,"51-65","65+"))))</f>
        <v>51-65</v>
      </c>
    </row>
    <row r="1764" spans="1:19" x14ac:dyDescent="0.3">
      <c r="A1764" s="3" t="s">
        <v>5287</v>
      </c>
      <c r="B1764" s="3">
        <v>44</v>
      </c>
      <c r="C1764" s="3" t="s">
        <v>35</v>
      </c>
      <c r="D1764" s="3" t="s">
        <v>17</v>
      </c>
      <c r="E1764" s="3" t="s">
        <v>18</v>
      </c>
      <c r="F1764" s="4">
        <v>44856</v>
      </c>
      <c r="G1764" s="3" t="s">
        <v>5288</v>
      </c>
      <c r="H1764" s="3" t="s">
        <v>5289</v>
      </c>
      <c r="I1764" s="3" t="s">
        <v>65</v>
      </c>
      <c r="J1764" s="5">
        <v>41723.047848739297</v>
      </c>
      <c r="K1764" s="3">
        <v>363</v>
      </c>
      <c r="L1764" s="3" t="s">
        <v>46</v>
      </c>
      <c r="M1764" s="4">
        <v>44866</v>
      </c>
      <c r="N1764" s="3" t="s">
        <v>52</v>
      </c>
      <c r="O1764" s="3" t="s">
        <v>33</v>
      </c>
      <c r="P1764" s="3" t="str">
        <f>IF(Table1[[#This Row],[Billing Amount]]&lt;5000,"Low",IF(Table1[[#This Row],[Billing Amount]]&lt;=15000,"Medium","High"))</f>
        <v>High</v>
      </c>
      <c r="Q1764" s="3" t="str">
        <f>IF(Table1[[#This Row],[Discharge Date]]="Yes","Discharged","Under Treatment")</f>
        <v>Under Treatment</v>
      </c>
      <c r="R1764" s="3" t="str">
        <f>IF(Table1[[#This Row],[Test Results]]&gt;120,"High Risk","Normal")</f>
        <v>High Risk</v>
      </c>
      <c r="S1764" s="3" t="str">
        <f>IF(Table1[[#This Row],[Age]]&lt;=18,"0-18",IF(Table1[[#This Row],[Age]]&lt;=35,"19-35",IF(Table1[[#This Row],[Age]]&lt;=50,"36-50",IF(Table1[[#This Row],[Age]]&lt;=65,"51-65","65+"))))</f>
        <v>36-50</v>
      </c>
    </row>
    <row r="1765" spans="1:19" x14ac:dyDescent="0.3">
      <c r="A1765" s="3" t="s">
        <v>5290</v>
      </c>
      <c r="B1765" s="3">
        <v>18</v>
      </c>
      <c r="C1765" s="3" t="s">
        <v>16</v>
      </c>
      <c r="D1765" s="3" t="s">
        <v>122</v>
      </c>
      <c r="E1765" s="3" t="s">
        <v>93</v>
      </c>
      <c r="F1765" s="4">
        <v>44367</v>
      </c>
      <c r="G1765" s="3" t="s">
        <v>5291</v>
      </c>
      <c r="H1765" s="3" t="s">
        <v>5292</v>
      </c>
      <c r="I1765" s="3" t="s">
        <v>21</v>
      </c>
      <c r="J1765" s="5">
        <v>1539.61129671658</v>
      </c>
      <c r="K1765" s="3">
        <v>238</v>
      </c>
      <c r="L1765" s="3" t="s">
        <v>46</v>
      </c>
      <c r="M1765" s="4">
        <v>44375</v>
      </c>
      <c r="N1765" s="3" t="s">
        <v>40</v>
      </c>
      <c r="O1765" s="3" t="s">
        <v>47</v>
      </c>
      <c r="P1765" s="3" t="str">
        <f>IF(Table1[[#This Row],[Billing Amount]]&lt;5000,"Low",IF(Table1[[#This Row],[Billing Amount]]&lt;=15000,"Medium","High"))</f>
        <v>Low</v>
      </c>
      <c r="Q1765" s="3" t="str">
        <f>IF(Table1[[#This Row],[Discharge Date]]="Yes","Discharged","Under Treatment")</f>
        <v>Under Treatment</v>
      </c>
      <c r="R1765" s="3" t="str">
        <f>IF(Table1[[#This Row],[Test Results]]&gt;120,"High Risk","Normal")</f>
        <v>High Risk</v>
      </c>
      <c r="S1765" s="3" t="str">
        <f>IF(Table1[[#This Row],[Age]]&lt;=18,"0-18",IF(Table1[[#This Row],[Age]]&lt;=35,"19-35",IF(Table1[[#This Row],[Age]]&lt;=50,"36-50",IF(Table1[[#This Row],[Age]]&lt;=65,"51-65","65+"))))</f>
        <v>0-18</v>
      </c>
    </row>
    <row r="1766" spans="1:19" x14ac:dyDescent="0.3">
      <c r="A1766" s="3" t="s">
        <v>5293</v>
      </c>
      <c r="B1766" s="3">
        <v>75</v>
      </c>
      <c r="C1766" s="3" t="s">
        <v>35</v>
      </c>
      <c r="D1766" s="3" t="s">
        <v>122</v>
      </c>
      <c r="E1766" s="3" t="s">
        <v>76</v>
      </c>
      <c r="F1766" s="4">
        <v>44070</v>
      </c>
      <c r="G1766" s="3" t="s">
        <v>3316</v>
      </c>
      <c r="H1766" s="3" t="s">
        <v>5294</v>
      </c>
      <c r="I1766" s="3" t="s">
        <v>65</v>
      </c>
      <c r="J1766" s="5">
        <v>8631.9410779243299</v>
      </c>
      <c r="K1766" s="3">
        <v>152</v>
      </c>
      <c r="L1766" s="3" t="s">
        <v>22</v>
      </c>
      <c r="M1766" s="4">
        <v>44078</v>
      </c>
      <c r="N1766" s="3" t="s">
        <v>52</v>
      </c>
      <c r="O1766" s="3" t="s">
        <v>33</v>
      </c>
      <c r="P1766" s="3" t="str">
        <f>IF(Table1[[#This Row],[Billing Amount]]&lt;5000,"Low",IF(Table1[[#This Row],[Billing Amount]]&lt;=15000,"Medium","High"))</f>
        <v>Medium</v>
      </c>
      <c r="Q1766" s="3" t="str">
        <f>IF(Table1[[#This Row],[Discharge Date]]="Yes","Discharged","Under Treatment")</f>
        <v>Under Treatment</v>
      </c>
      <c r="R1766" s="3" t="str">
        <f>IF(Table1[[#This Row],[Test Results]]&gt;120,"High Risk","Normal")</f>
        <v>High Risk</v>
      </c>
      <c r="S1766" s="3" t="str">
        <f>IF(Table1[[#This Row],[Age]]&lt;=18,"0-18",IF(Table1[[#This Row],[Age]]&lt;=35,"19-35",IF(Table1[[#This Row],[Age]]&lt;=50,"36-50",IF(Table1[[#This Row],[Age]]&lt;=65,"51-65","65+"))))</f>
        <v>65+</v>
      </c>
    </row>
    <row r="1767" spans="1:19" x14ac:dyDescent="0.3">
      <c r="A1767" s="3" t="s">
        <v>5295</v>
      </c>
      <c r="B1767" s="3">
        <v>64</v>
      </c>
      <c r="C1767" s="3" t="s">
        <v>35</v>
      </c>
      <c r="D1767" s="3" t="s">
        <v>122</v>
      </c>
      <c r="E1767" s="3" t="s">
        <v>43</v>
      </c>
      <c r="F1767" s="4">
        <v>45024</v>
      </c>
      <c r="G1767" s="3" t="s">
        <v>5296</v>
      </c>
      <c r="H1767" s="3" t="s">
        <v>5297</v>
      </c>
      <c r="I1767" s="3" t="s">
        <v>57</v>
      </c>
      <c r="J1767" s="5">
        <v>44097.996065537598</v>
      </c>
      <c r="K1767" s="3">
        <v>329</v>
      </c>
      <c r="L1767" s="3" t="s">
        <v>22</v>
      </c>
      <c r="M1767" s="4">
        <v>45037</v>
      </c>
      <c r="N1767" s="3" t="s">
        <v>79</v>
      </c>
      <c r="O1767" s="3" t="s">
        <v>47</v>
      </c>
      <c r="P1767" s="3" t="str">
        <f>IF(Table1[[#This Row],[Billing Amount]]&lt;5000,"Low",IF(Table1[[#This Row],[Billing Amount]]&lt;=15000,"Medium","High"))</f>
        <v>High</v>
      </c>
      <c r="Q1767" s="3" t="str">
        <f>IF(Table1[[#This Row],[Discharge Date]]="Yes","Discharged","Under Treatment")</f>
        <v>Under Treatment</v>
      </c>
      <c r="R1767" s="3" t="str">
        <f>IF(Table1[[#This Row],[Test Results]]&gt;120,"High Risk","Normal")</f>
        <v>High Risk</v>
      </c>
      <c r="S1767" s="3" t="str">
        <f>IF(Table1[[#This Row],[Age]]&lt;=18,"0-18",IF(Table1[[#This Row],[Age]]&lt;=35,"19-35",IF(Table1[[#This Row],[Age]]&lt;=50,"36-50",IF(Table1[[#This Row],[Age]]&lt;=65,"51-65","65+"))))</f>
        <v>51-65</v>
      </c>
    </row>
    <row r="1768" spans="1:19" x14ac:dyDescent="0.3">
      <c r="A1768" s="3" t="s">
        <v>5298</v>
      </c>
      <c r="B1768" s="3">
        <v>72</v>
      </c>
      <c r="C1768" s="3" t="s">
        <v>35</v>
      </c>
      <c r="D1768" s="3" t="s">
        <v>103</v>
      </c>
      <c r="E1768" s="3" t="s">
        <v>93</v>
      </c>
      <c r="F1768" s="4">
        <v>45303</v>
      </c>
      <c r="G1768" s="3" t="s">
        <v>5299</v>
      </c>
      <c r="H1768" s="3" t="s">
        <v>1958</v>
      </c>
      <c r="I1768" s="3" t="s">
        <v>39</v>
      </c>
      <c r="J1768" s="5">
        <v>11584.044409939201</v>
      </c>
      <c r="K1768" s="3">
        <v>181</v>
      </c>
      <c r="L1768" s="3" t="s">
        <v>31</v>
      </c>
      <c r="M1768" s="4">
        <v>45308</v>
      </c>
      <c r="N1768" s="3" t="s">
        <v>79</v>
      </c>
      <c r="O1768" s="3" t="s">
        <v>24</v>
      </c>
      <c r="P1768" s="3" t="str">
        <f>IF(Table1[[#This Row],[Billing Amount]]&lt;5000,"Low",IF(Table1[[#This Row],[Billing Amount]]&lt;=15000,"Medium","High"))</f>
        <v>Medium</v>
      </c>
      <c r="Q1768" s="3" t="str">
        <f>IF(Table1[[#This Row],[Discharge Date]]="Yes","Discharged","Under Treatment")</f>
        <v>Under Treatment</v>
      </c>
      <c r="R1768" s="3" t="str">
        <f>IF(Table1[[#This Row],[Test Results]]&gt;120,"High Risk","Normal")</f>
        <v>High Risk</v>
      </c>
      <c r="S1768" s="3" t="str">
        <f>IF(Table1[[#This Row],[Age]]&lt;=18,"0-18",IF(Table1[[#This Row],[Age]]&lt;=35,"19-35",IF(Table1[[#This Row],[Age]]&lt;=50,"36-50",IF(Table1[[#This Row],[Age]]&lt;=65,"51-65","65+"))))</f>
        <v>65+</v>
      </c>
    </row>
    <row r="1769" spans="1:19" x14ac:dyDescent="0.3">
      <c r="A1769" s="3" t="s">
        <v>5300</v>
      </c>
      <c r="B1769" s="3">
        <v>68</v>
      </c>
      <c r="C1769" s="3" t="s">
        <v>16</v>
      </c>
      <c r="D1769" s="3" t="s">
        <v>42</v>
      </c>
      <c r="E1769" s="3" t="s">
        <v>27</v>
      </c>
      <c r="F1769" s="4">
        <v>45186</v>
      </c>
      <c r="G1769" s="3" t="s">
        <v>5301</v>
      </c>
      <c r="H1769" s="3" t="s">
        <v>4729</v>
      </c>
      <c r="I1769" s="3" t="s">
        <v>65</v>
      </c>
      <c r="J1769" s="5">
        <v>43462.814126202298</v>
      </c>
      <c r="K1769" s="3">
        <v>290</v>
      </c>
      <c r="L1769" s="3" t="s">
        <v>46</v>
      </c>
      <c r="M1769" s="4">
        <v>45188</v>
      </c>
      <c r="N1769" s="3" t="s">
        <v>40</v>
      </c>
      <c r="O1769" s="3" t="s">
        <v>47</v>
      </c>
      <c r="P1769" s="3" t="str">
        <f>IF(Table1[[#This Row],[Billing Amount]]&lt;5000,"Low",IF(Table1[[#This Row],[Billing Amount]]&lt;=15000,"Medium","High"))</f>
        <v>High</v>
      </c>
      <c r="Q1769" s="3" t="str">
        <f>IF(Table1[[#This Row],[Discharge Date]]="Yes","Discharged","Under Treatment")</f>
        <v>Under Treatment</v>
      </c>
      <c r="R1769" s="3" t="str">
        <f>IF(Table1[[#This Row],[Test Results]]&gt;120,"High Risk","Normal")</f>
        <v>High Risk</v>
      </c>
      <c r="S1769" s="3" t="str">
        <f>IF(Table1[[#This Row],[Age]]&lt;=18,"0-18",IF(Table1[[#This Row],[Age]]&lt;=35,"19-35",IF(Table1[[#This Row],[Age]]&lt;=50,"36-50",IF(Table1[[#This Row],[Age]]&lt;=65,"51-65","65+"))))</f>
        <v>65+</v>
      </c>
    </row>
    <row r="1770" spans="1:19" x14ac:dyDescent="0.3">
      <c r="A1770" s="3" t="s">
        <v>5302</v>
      </c>
      <c r="B1770" s="3">
        <v>48</v>
      </c>
      <c r="C1770" s="3" t="s">
        <v>35</v>
      </c>
      <c r="D1770" s="3" t="s">
        <v>59</v>
      </c>
      <c r="E1770" s="3" t="s">
        <v>93</v>
      </c>
      <c r="F1770" s="4">
        <v>43664</v>
      </c>
      <c r="G1770" s="3" t="s">
        <v>5303</v>
      </c>
      <c r="H1770" s="3" t="s">
        <v>5304</v>
      </c>
      <c r="I1770" s="3" t="s">
        <v>39</v>
      </c>
      <c r="J1770" s="5">
        <v>19086.6625008792</v>
      </c>
      <c r="K1770" s="3">
        <v>120</v>
      </c>
      <c r="L1770" s="3" t="s">
        <v>22</v>
      </c>
      <c r="M1770" s="4">
        <v>43677</v>
      </c>
      <c r="N1770" s="3" t="s">
        <v>79</v>
      </c>
      <c r="O1770" s="3" t="s">
        <v>33</v>
      </c>
      <c r="P1770" s="3" t="str">
        <f>IF(Table1[[#This Row],[Billing Amount]]&lt;5000,"Low",IF(Table1[[#This Row],[Billing Amount]]&lt;=15000,"Medium","High"))</f>
        <v>High</v>
      </c>
      <c r="Q1770" s="3" t="str">
        <f>IF(Table1[[#This Row],[Discharge Date]]="Yes","Discharged","Under Treatment")</f>
        <v>Under Treatment</v>
      </c>
      <c r="R1770" s="3" t="str">
        <f>IF(Table1[[#This Row],[Test Results]]&gt;120,"High Risk","Normal")</f>
        <v>High Risk</v>
      </c>
      <c r="S1770" s="3" t="str">
        <f>IF(Table1[[#This Row],[Age]]&lt;=18,"0-18",IF(Table1[[#This Row],[Age]]&lt;=35,"19-35",IF(Table1[[#This Row],[Age]]&lt;=50,"36-50",IF(Table1[[#This Row],[Age]]&lt;=65,"51-65","65+"))))</f>
        <v>36-50</v>
      </c>
    </row>
    <row r="1771" spans="1:19" x14ac:dyDescent="0.3">
      <c r="A1771" s="3" t="s">
        <v>5305</v>
      </c>
      <c r="B1771" s="3">
        <v>39</v>
      </c>
      <c r="C1771" s="3" t="s">
        <v>35</v>
      </c>
      <c r="D1771" s="3" t="s">
        <v>122</v>
      </c>
      <c r="E1771" s="3" t="s">
        <v>54</v>
      </c>
      <c r="F1771" s="4">
        <v>44562</v>
      </c>
      <c r="G1771" s="3" t="s">
        <v>5306</v>
      </c>
      <c r="H1771" s="3" t="s">
        <v>5307</v>
      </c>
      <c r="I1771" s="3" t="s">
        <v>57</v>
      </c>
      <c r="J1771" s="5">
        <v>39637.606969307497</v>
      </c>
      <c r="K1771" s="3">
        <v>227</v>
      </c>
      <c r="L1771" s="3" t="s">
        <v>22</v>
      </c>
      <c r="M1771" s="4">
        <v>44571</v>
      </c>
      <c r="N1771" s="3" t="s">
        <v>23</v>
      </c>
      <c r="O1771" s="3" t="s">
        <v>33</v>
      </c>
      <c r="P1771" s="3" t="str">
        <f>IF(Table1[[#This Row],[Billing Amount]]&lt;5000,"Low",IF(Table1[[#This Row],[Billing Amount]]&lt;=15000,"Medium","High"))</f>
        <v>High</v>
      </c>
      <c r="Q1771" s="3" t="str">
        <f>IF(Table1[[#This Row],[Discharge Date]]="Yes","Discharged","Under Treatment")</f>
        <v>Under Treatment</v>
      </c>
      <c r="R1771" s="3" t="str">
        <f>IF(Table1[[#This Row],[Test Results]]&gt;120,"High Risk","Normal")</f>
        <v>High Risk</v>
      </c>
      <c r="S1771" s="3" t="str">
        <f>IF(Table1[[#This Row],[Age]]&lt;=18,"0-18",IF(Table1[[#This Row],[Age]]&lt;=35,"19-35",IF(Table1[[#This Row],[Age]]&lt;=50,"36-50",IF(Table1[[#This Row],[Age]]&lt;=65,"51-65","65+"))))</f>
        <v>36-50</v>
      </c>
    </row>
    <row r="1772" spans="1:19" x14ac:dyDescent="0.3">
      <c r="A1772" s="3" t="s">
        <v>5308</v>
      </c>
      <c r="B1772" s="3">
        <v>43</v>
      </c>
      <c r="C1772" s="3" t="s">
        <v>16</v>
      </c>
      <c r="D1772" s="3" t="s">
        <v>26</v>
      </c>
      <c r="E1772" s="3" t="s">
        <v>54</v>
      </c>
      <c r="F1772" s="4">
        <v>44442</v>
      </c>
      <c r="G1772" s="3" t="s">
        <v>5309</v>
      </c>
      <c r="H1772" s="3" t="s">
        <v>5310</v>
      </c>
      <c r="I1772" s="3" t="s">
        <v>39</v>
      </c>
      <c r="J1772" s="5">
        <v>39417.573247124601</v>
      </c>
      <c r="K1772" s="3">
        <v>429</v>
      </c>
      <c r="L1772" s="3" t="s">
        <v>31</v>
      </c>
      <c r="M1772" s="4">
        <v>44472</v>
      </c>
      <c r="N1772" s="3" t="s">
        <v>52</v>
      </c>
      <c r="O1772" s="3" t="s">
        <v>24</v>
      </c>
      <c r="P1772" s="3" t="str">
        <f>IF(Table1[[#This Row],[Billing Amount]]&lt;5000,"Low",IF(Table1[[#This Row],[Billing Amount]]&lt;=15000,"Medium","High"))</f>
        <v>High</v>
      </c>
      <c r="Q1772" s="3" t="str">
        <f>IF(Table1[[#This Row],[Discharge Date]]="Yes","Discharged","Under Treatment")</f>
        <v>Under Treatment</v>
      </c>
      <c r="R1772" s="3" t="str">
        <f>IF(Table1[[#This Row],[Test Results]]&gt;120,"High Risk","Normal")</f>
        <v>High Risk</v>
      </c>
      <c r="S1772" s="3" t="str">
        <f>IF(Table1[[#This Row],[Age]]&lt;=18,"0-18",IF(Table1[[#This Row],[Age]]&lt;=35,"19-35",IF(Table1[[#This Row],[Age]]&lt;=50,"36-50",IF(Table1[[#This Row],[Age]]&lt;=65,"51-65","65+"))))</f>
        <v>36-50</v>
      </c>
    </row>
    <row r="1773" spans="1:19" x14ac:dyDescent="0.3">
      <c r="A1773" s="3" t="s">
        <v>5312</v>
      </c>
      <c r="B1773" s="3">
        <v>26</v>
      </c>
      <c r="C1773" s="3" t="s">
        <v>16</v>
      </c>
      <c r="D1773" s="3" t="s">
        <v>59</v>
      </c>
      <c r="E1773" s="3" t="s">
        <v>18</v>
      </c>
      <c r="F1773" s="4">
        <v>45396</v>
      </c>
      <c r="G1773" s="3" t="s">
        <v>5313</v>
      </c>
      <c r="H1773" s="3" t="s">
        <v>4797</v>
      </c>
      <c r="I1773" s="3" t="s">
        <v>21</v>
      </c>
      <c r="J1773" s="5">
        <v>50459.9176137986</v>
      </c>
      <c r="K1773" s="3">
        <v>130</v>
      </c>
      <c r="L1773" s="3" t="s">
        <v>22</v>
      </c>
      <c r="M1773" s="4">
        <v>45404</v>
      </c>
      <c r="N1773" s="3" t="s">
        <v>79</v>
      </c>
      <c r="O1773" s="3" t="s">
        <v>24</v>
      </c>
      <c r="P1773" s="3" t="str">
        <f>IF(Table1[[#This Row],[Billing Amount]]&lt;5000,"Low",IF(Table1[[#This Row],[Billing Amount]]&lt;=15000,"Medium","High"))</f>
        <v>High</v>
      </c>
      <c r="Q1773" s="3" t="str">
        <f>IF(Table1[[#This Row],[Discharge Date]]="Yes","Discharged","Under Treatment")</f>
        <v>Under Treatment</v>
      </c>
      <c r="R1773" s="3" t="str">
        <f>IF(Table1[[#This Row],[Test Results]]&gt;120,"High Risk","Normal")</f>
        <v>High Risk</v>
      </c>
      <c r="S1773" s="3" t="str">
        <f>IF(Table1[[#This Row],[Age]]&lt;=18,"0-18",IF(Table1[[#This Row],[Age]]&lt;=35,"19-35",IF(Table1[[#This Row],[Age]]&lt;=50,"36-50",IF(Table1[[#This Row],[Age]]&lt;=65,"51-65","65+"))))</f>
        <v>19-35</v>
      </c>
    </row>
    <row r="1774" spans="1:19" x14ac:dyDescent="0.3">
      <c r="A1774" s="3" t="s">
        <v>5314</v>
      </c>
      <c r="B1774" s="3">
        <v>27</v>
      </c>
      <c r="C1774" s="3" t="s">
        <v>16</v>
      </c>
      <c r="D1774" s="3" t="s">
        <v>49</v>
      </c>
      <c r="E1774" s="3" t="s">
        <v>27</v>
      </c>
      <c r="F1774" s="4">
        <v>44696</v>
      </c>
      <c r="G1774" s="3" t="s">
        <v>5315</v>
      </c>
      <c r="H1774" s="3" t="s">
        <v>5316</v>
      </c>
      <c r="I1774" s="3" t="s">
        <v>30</v>
      </c>
      <c r="J1774" s="5">
        <v>24478.561236537498</v>
      </c>
      <c r="K1774" s="3">
        <v>452</v>
      </c>
      <c r="L1774" s="3" t="s">
        <v>22</v>
      </c>
      <c r="M1774" s="4">
        <v>44697</v>
      </c>
      <c r="N1774" s="3" t="s">
        <v>79</v>
      </c>
      <c r="O1774" s="3" t="s">
        <v>33</v>
      </c>
      <c r="P1774" s="3" t="str">
        <f>IF(Table1[[#This Row],[Billing Amount]]&lt;5000,"Low",IF(Table1[[#This Row],[Billing Amount]]&lt;=15000,"Medium","High"))</f>
        <v>High</v>
      </c>
      <c r="Q1774" s="3" t="str">
        <f>IF(Table1[[#This Row],[Discharge Date]]="Yes","Discharged","Under Treatment")</f>
        <v>Under Treatment</v>
      </c>
      <c r="R1774" s="3" t="str">
        <f>IF(Table1[[#This Row],[Test Results]]&gt;120,"High Risk","Normal")</f>
        <v>High Risk</v>
      </c>
      <c r="S1774" s="3" t="str">
        <f>IF(Table1[[#This Row],[Age]]&lt;=18,"0-18",IF(Table1[[#This Row],[Age]]&lt;=35,"19-35",IF(Table1[[#This Row],[Age]]&lt;=50,"36-50",IF(Table1[[#This Row],[Age]]&lt;=65,"51-65","65+"))))</f>
        <v>19-35</v>
      </c>
    </row>
    <row r="1775" spans="1:19" x14ac:dyDescent="0.3">
      <c r="A1775" s="3" t="s">
        <v>5317</v>
      </c>
      <c r="B1775" s="3">
        <v>47</v>
      </c>
      <c r="C1775" s="3" t="s">
        <v>16</v>
      </c>
      <c r="D1775" s="3" t="s">
        <v>17</v>
      </c>
      <c r="E1775" s="3" t="s">
        <v>27</v>
      </c>
      <c r="F1775" s="4">
        <v>44704</v>
      </c>
      <c r="G1775" s="3" t="s">
        <v>5318</v>
      </c>
      <c r="H1775" s="3" t="s">
        <v>4862</v>
      </c>
      <c r="I1775" s="3" t="s">
        <v>65</v>
      </c>
      <c r="J1775" s="5">
        <v>28405.274682395098</v>
      </c>
      <c r="K1775" s="3">
        <v>258</v>
      </c>
      <c r="L1775" s="3" t="s">
        <v>22</v>
      </c>
      <c r="M1775" s="4">
        <v>44734</v>
      </c>
      <c r="N1775" s="3" t="s">
        <v>23</v>
      </c>
      <c r="O1775" s="3" t="s">
        <v>47</v>
      </c>
      <c r="P1775" s="3" t="str">
        <f>IF(Table1[[#This Row],[Billing Amount]]&lt;5000,"Low",IF(Table1[[#This Row],[Billing Amount]]&lt;=15000,"Medium","High"))</f>
        <v>High</v>
      </c>
      <c r="Q1775" s="3" t="str">
        <f>IF(Table1[[#This Row],[Discharge Date]]="Yes","Discharged","Under Treatment")</f>
        <v>Under Treatment</v>
      </c>
      <c r="R1775" s="3" t="str">
        <f>IF(Table1[[#This Row],[Test Results]]&gt;120,"High Risk","Normal")</f>
        <v>High Risk</v>
      </c>
      <c r="S1775" s="3" t="str">
        <f>IF(Table1[[#This Row],[Age]]&lt;=18,"0-18",IF(Table1[[#This Row],[Age]]&lt;=35,"19-35",IF(Table1[[#This Row],[Age]]&lt;=50,"36-50",IF(Table1[[#This Row],[Age]]&lt;=65,"51-65","65+"))))</f>
        <v>36-50</v>
      </c>
    </row>
    <row r="1776" spans="1:19" x14ac:dyDescent="0.3">
      <c r="A1776" s="3" t="s">
        <v>5319</v>
      </c>
      <c r="B1776" s="3">
        <v>66</v>
      </c>
      <c r="C1776" s="3" t="s">
        <v>35</v>
      </c>
      <c r="D1776" s="3" t="s">
        <v>122</v>
      </c>
      <c r="E1776" s="3" t="s">
        <v>93</v>
      </c>
      <c r="F1776" s="4">
        <v>44495</v>
      </c>
      <c r="G1776" s="3" t="s">
        <v>5320</v>
      </c>
      <c r="H1776" s="3" t="s">
        <v>5321</v>
      </c>
      <c r="I1776" s="3" t="s">
        <v>21</v>
      </c>
      <c r="J1776" s="5">
        <v>8921.10984471148</v>
      </c>
      <c r="K1776" s="3">
        <v>428</v>
      </c>
      <c r="L1776" s="3" t="s">
        <v>22</v>
      </c>
      <c r="M1776" s="4">
        <v>44496</v>
      </c>
      <c r="N1776" s="3" t="s">
        <v>40</v>
      </c>
      <c r="O1776" s="3" t="s">
        <v>47</v>
      </c>
      <c r="P1776" s="3" t="str">
        <f>IF(Table1[[#This Row],[Billing Amount]]&lt;5000,"Low",IF(Table1[[#This Row],[Billing Amount]]&lt;=15000,"Medium","High"))</f>
        <v>Medium</v>
      </c>
      <c r="Q1776" s="3" t="str">
        <f>IF(Table1[[#This Row],[Discharge Date]]="Yes","Discharged","Under Treatment")</f>
        <v>Under Treatment</v>
      </c>
      <c r="R1776" s="3" t="str">
        <f>IF(Table1[[#This Row],[Test Results]]&gt;120,"High Risk","Normal")</f>
        <v>High Risk</v>
      </c>
      <c r="S1776" s="3" t="str">
        <f>IF(Table1[[#This Row],[Age]]&lt;=18,"0-18",IF(Table1[[#This Row],[Age]]&lt;=35,"19-35",IF(Table1[[#This Row],[Age]]&lt;=50,"36-50",IF(Table1[[#This Row],[Age]]&lt;=65,"51-65","65+"))))</f>
        <v>65+</v>
      </c>
    </row>
    <row r="1777" spans="1:19" x14ac:dyDescent="0.3">
      <c r="A1777" s="3" t="s">
        <v>5322</v>
      </c>
      <c r="B1777" s="3">
        <v>52</v>
      </c>
      <c r="C1777" s="3" t="s">
        <v>16</v>
      </c>
      <c r="D1777" s="3" t="s">
        <v>36</v>
      </c>
      <c r="E1777" s="3" t="s">
        <v>43</v>
      </c>
      <c r="F1777" s="4">
        <v>44646</v>
      </c>
      <c r="G1777" s="3" t="s">
        <v>5323</v>
      </c>
      <c r="H1777" s="3" t="s">
        <v>120</v>
      </c>
      <c r="I1777" s="3" t="s">
        <v>21</v>
      </c>
      <c r="J1777" s="5">
        <v>21511.043619436601</v>
      </c>
      <c r="K1777" s="3">
        <v>149</v>
      </c>
      <c r="L1777" s="3" t="s">
        <v>31</v>
      </c>
      <c r="M1777" s="4">
        <v>44656</v>
      </c>
      <c r="N1777" s="3" t="s">
        <v>32</v>
      </c>
      <c r="O1777" s="3" t="s">
        <v>33</v>
      </c>
      <c r="P1777" s="3" t="str">
        <f>IF(Table1[[#This Row],[Billing Amount]]&lt;5000,"Low",IF(Table1[[#This Row],[Billing Amount]]&lt;=15000,"Medium","High"))</f>
        <v>High</v>
      </c>
      <c r="Q1777" s="3" t="str">
        <f>IF(Table1[[#This Row],[Discharge Date]]="Yes","Discharged","Under Treatment")</f>
        <v>Under Treatment</v>
      </c>
      <c r="R1777" s="3" t="str">
        <f>IF(Table1[[#This Row],[Test Results]]&gt;120,"High Risk","Normal")</f>
        <v>High Risk</v>
      </c>
      <c r="S1777" s="3" t="str">
        <f>IF(Table1[[#This Row],[Age]]&lt;=18,"0-18",IF(Table1[[#This Row],[Age]]&lt;=35,"19-35",IF(Table1[[#This Row],[Age]]&lt;=50,"36-50",IF(Table1[[#This Row],[Age]]&lt;=65,"51-65","65+"))))</f>
        <v>51-65</v>
      </c>
    </row>
    <row r="1778" spans="1:19" x14ac:dyDescent="0.3">
      <c r="A1778" s="3" t="s">
        <v>5324</v>
      </c>
      <c r="B1778" s="3">
        <v>47</v>
      </c>
      <c r="C1778" s="3" t="s">
        <v>16</v>
      </c>
      <c r="D1778" s="3" t="s">
        <v>36</v>
      </c>
      <c r="E1778" s="3" t="s">
        <v>18</v>
      </c>
      <c r="F1778" s="4">
        <v>44534</v>
      </c>
      <c r="G1778" s="3" t="s">
        <v>5325</v>
      </c>
      <c r="H1778" s="3" t="s">
        <v>5326</v>
      </c>
      <c r="I1778" s="3" t="s">
        <v>39</v>
      </c>
      <c r="J1778" s="5">
        <v>11657.307963482601</v>
      </c>
      <c r="K1778" s="3">
        <v>102</v>
      </c>
      <c r="L1778" s="3" t="s">
        <v>22</v>
      </c>
      <c r="M1778" s="4">
        <v>44536</v>
      </c>
      <c r="N1778" s="3" t="s">
        <v>23</v>
      </c>
      <c r="O1778" s="3" t="s">
        <v>47</v>
      </c>
      <c r="P1778" s="3" t="str">
        <f>IF(Table1[[#This Row],[Billing Amount]]&lt;5000,"Low",IF(Table1[[#This Row],[Billing Amount]]&lt;=15000,"Medium","High"))</f>
        <v>Medium</v>
      </c>
      <c r="Q1778" s="3" t="str">
        <f>IF(Table1[[#This Row],[Discharge Date]]="Yes","Discharged","Under Treatment")</f>
        <v>Under Treatment</v>
      </c>
      <c r="R1778" s="3" t="str">
        <f>IF(Table1[[#This Row],[Test Results]]&gt;120,"High Risk","Normal")</f>
        <v>High Risk</v>
      </c>
      <c r="S1778" s="3" t="str">
        <f>IF(Table1[[#This Row],[Age]]&lt;=18,"0-18",IF(Table1[[#This Row],[Age]]&lt;=35,"19-35",IF(Table1[[#This Row],[Age]]&lt;=50,"36-50",IF(Table1[[#This Row],[Age]]&lt;=65,"51-65","65+"))))</f>
        <v>36-50</v>
      </c>
    </row>
    <row r="1779" spans="1:19" x14ac:dyDescent="0.3">
      <c r="A1779" s="3" t="s">
        <v>5327</v>
      </c>
      <c r="B1779" s="3">
        <v>53</v>
      </c>
      <c r="C1779" s="3" t="s">
        <v>16</v>
      </c>
      <c r="D1779" s="3" t="s">
        <v>36</v>
      </c>
      <c r="E1779" s="3" t="s">
        <v>43</v>
      </c>
      <c r="F1779" s="4">
        <v>44806</v>
      </c>
      <c r="G1779" s="3" t="s">
        <v>5328</v>
      </c>
      <c r="H1779" s="3" t="s">
        <v>5329</v>
      </c>
      <c r="I1779" s="3" t="s">
        <v>30</v>
      </c>
      <c r="J1779" s="5">
        <v>6760.6627330792298</v>
      </c>
      <c r="K1779" s="3">
        <v>104</v>
      </c>
      <c r="L1779" s="3" t="s">
        <v>31</v>
      </c>
      <c r="M1779" s="4">
        <v>44815</v>
      </c>
      <c r="N1779" s="3" t="s">
        <v>23</v>
      </c>
      <c r="O1779" s="3" t="s">
        <v>24</v>
      </c>
      <c r="P1779" s="3" t="str">
        <f>IF(Table1[[#This Row],[Billing Amount]]&lt;5000,"Low",IF(Table1[[#This Row],[Billing Amount]]&lt;=15000,"Medium","High"))</f>
        <v>Medium</v>
      </c>
      <c r="Q1779" s="3" t="str">
        <f>IF(Table1[[#This Row],[Discharge Date]]="Yes","Discharged","Under Treatment")</f>
        <v>Under Treatment</v>
      </c>
      <c r="R1779" s="3" t="str">
        <f>IF(Table1[[#This Row],[Test Results]]&gt;120,"High Risk","Normal")</f>
        <v>High Risk</v>
      </c>
      <c r="S1779" s="3" t="str">
        <f>IF(Table1[[#This Row],[Age]]&lt;=18,"0-18",IF(Table1[[#This Row],[Age]]&lt;=35,"19-35",IF(Table1[[#This Row],[Age]]&lt;=50,"36-50",IF(Table1[[#This Row],[Age]]&lt;=65,"51-65","65+"))))</f>
        <v>51-65</v>
      </c>
    </row>
    <row r="1780" spans="1:19" x14ac:dyDescent="0.3">
      <c r="A1780" s="3" t="s">
        <v>5330</v>
      </c>
      <c r="B1780" s="3">
        <v>28</v>
      </c>
      <c r="C1780" s="3" t="s">
        <v>16</v>
      </c>
      <c r="D1780" s="3" t="s">
        <v>36</v>
      </c>
      <c r="E1780" s="3" t="s">
        <v>43</v>
      </c>
      <c r="F1780" s="4">
        <v>44440</v>
      </c>
      <c r="G1780" s="3" t="s">
        <v>5331</v>
      </c>
      <c r="H1780" s="3" t="s">
        <v>5332</v>
      </c>
      <c r="I1780" s="3" t="s">
        <v>21</v>
      </c>
      <c r="J1780" s="5">
        <v>7994.8600685421397</v>
      </c>
      <c r="K1780" s="3">
        <v>154</v>
      </c>
      <c r="L1780" s="3" t="s">
        <v>22</v>
      </c>
      <c r="M1780" s="4">
        <v>44470</v>
      </c>
      <c r="N1780" s="3" t="s">
        <v>23</v>
      </c>
      <c r="O1780" s="3" t="s">
        <v>24</v>
      </c>
      <c r="P1780" s="3" t="str">
        <f>IF(Table1[[#This Row],[Billing Amount]]&lt;5000,"Low",IF(Table1[[#This Row],[Billing Amount]]&lt;=15000,"Medium","High"))</f>
        <v>Medium</v>
      </c>
      <c r="Q1780" s="3" t="str">
        <f>IF(Table1[[#This Row],[Discharge Date]]="Yes","Discharged","Under Treatment")</f>
        <v>Under Treatment</v>
      </c>
      <c r="R1780" s="3" t="str">
        <f>IF(Table1[[#This Row],[Test Results]]&gt;120,"High Risk","Normal")</f>
        <v>High Risk</v>
      </c>
      <c r="S1780" s="3" t="str">
        <f>IF(Table1[[#This Row],[Age]]&lt;=18,"0-18",IF(Table1[[#This Row],[Age]]&lt;=35,"19-35",IF(Table1[[#This Row],[Age]]&lt;=50,"36-50",IF(Table1[[#This Row],[Age]]&lt;=65,"51-65","65+"))))</f>
        <v>19-35</v>
      </c>
    </row>
    <row r="1781" spans="1:19" x14ac:dyDescent="0.3">
      <c r="A1781" s="3" t="s">
        <v>5333</v>
      </c>
      <c r="B1781" s="3">
        <v>76</v>
      </c>
      <c r="C1781" s="3" t="s">
        <v>16</v>
      </c>
      <c r="D1781" s="3" t="s">
        <v>26</v>
      </c>
      <c r="E1781" s="3" t="s">
        <v>43</v>
      </c>
      <c r="F1781" s="4">
        <v>44099</v>
      </c>
      <c r="G1781" s="3" t="s">
        <v>5334</v>
      </c>
      <c r="H1781" s="3" t="s">
        <v>5335</v>
      </c>
      <c r="I1781" s="3" t="s">
        <v>39</v>
      </c>
      <c r="J1781" s="5">
        <v>6586.96259219494</v>
      </c>
      <c r="K1781" s="3">
        <v>446</v>
      </c>
      <c r="L1781" s="3" t="s">
        <v>22</v>
      </c>
      <c r="M1781" s="4">
        <v>44127</v>
      </c>
      <c r="N1781" s="3" t="s">
        <v>40</v>
      </c>
      <c r="O1781" s="3" t="s">
        <v>33</v>
      </c>
      <c r="P1781" s="3" t="str">
        <f>IF(Table1[[#This Row],[Billing Amount]]&lt;5000,"Low",IF(Table1[[#This Row],[Billing Amount]]&lt;=15000,"Medium","High"))</f>
        <v>Medium</v>
      </c>
      <c r="Q1781" s="3" t="str">
        <f>IF(Table1[[#This Row],[Discharge Date]]="Yes","Discharged","Under Treatment")</f>
        <v>Under Treatment</v>
      </c>
      <c r="R1781" s="3" t="str">
        <f>IF(Table1[[#This Row],[Test Results]]&gt;120,"High Risk","Normal")</f>
        <v>High Risk</v>
      </c>
      <c r="S1781" s="3" t="str">
        <f>IF(Table1[[#This Row],[Age]]&lt;=18,"0-18",IF(Table1[[#This Row],[Age]]&lt;=35,"19-35",IF(Table1[[#This Row],[Age]]&lt;=50,"36-50",IF(Table1[[#This Row],[Age]]&lt;=65,"51-65","65+"))))</f>
        <v>65+</v>
      </c>
    </row>
    <row r="1782" spans="1:19" x14ac:dyDescent="0.3">
      <c r="A1782" s="3" t="s">
        <v>5336</v>
      </c>
      <c r="B1782" s="3">
        <v>38</v>
      </c>
      <c r="C1782" s="3" t="s">
        <v>35</v>
      </c>
      <c r="D1782" s="3" t="s">
        <v>122</v>
      </c>
      <c r="E1782" s="3" t="s">
        <v>76</v>
      </c>
      <c r="F1782" s="4">
        <v>43690</v>
      </c>
      <c r="G1782" s="3" t="s">
        <v>5337</v>
      </c>
      <c r="H1782" s="3" t="s">
        <v>5338</v>
      </c>
      <c r="I1782" s="3" t="s">
        <v>21</v>
      </c>
      <c r="J1782" s="5">
        <v>42048.2174495742</v>
      </c>
      <c r="K1782" s="3">
        <v>404</v>
      </c>
      <c r="L1782" s="3" t="s">
        <v>46</v>
      </c>
      <c r="M1782" s="4">
        <v>43711</v>
      </c>
      <c r="N1782" s="3" t="s">
        <v>79</v>
      </c>
      <c r="O1782" s="3" t="s">
        <v>24</v>
      </c>
      <c r="P1782" s="3" t="str">
        <f>IF(Table1[[#This Row],[Billing Amount]]&lt;5000,"Low",IF(Table1[[#This Row],[Billing Amount]]&lt;=15000,"Medium","High"))</f>
        <v>High</v>
      </c>
      <c r="Q1782" s="3" t="str">
        <f>IF(Table1[[#This Row],[Discharge Date]]="Yes","Discharged","Under Treatment")</f>
        <v>Under Treatment</v>
      </c>
      <c r="R1782" s="3" t="str">
        <f>IF(Table1[[#This Row],[Test Results]]&gt;120,"High Risk","Normal")</f>
        <v>High Risk</v>
      </c>
      <c r="S1782" s="3" t="str">
        <f>IF(Table1[[#This Row],[Age]]&lt;=18,"0-18",IF(Table1[[#This Row],[Age]]&lt;=35,"19-35",IF(Table1[[#This Row],[Age]]&lt;=50,"36-50",IF(Table1[[#This Row],[Age]]&lt;=65,"51-65","65+"))))</f>
        <v>36-50</v>
      </c>
    </row>
    <row r="1783" spans="1:19" x14ac:dyDescent="0.3">
      <c r="A1783" s="3" t="s">
        <v>5339</v>
      </c>
      <c r="B1783" s="3">
        <v>33</v>
      </c>
      <c r="C1783" s="3" t="s">
        <v>35</v>
      </c>
      <c r="D1783" s="3" t="s">
        <v>36</v>
      </c>
      <c r="E1783" s="3" t="s">
        <v>54</v>
      </c>
      <c r="F1783" s="4">
        <v>44448</v>
      </c>
      <c r="G1783" s="3" t="s">
        <v>5340</v>
      </c>
      <c r="H1783" s="3" t="s">
        <v>5341</v>
      </c>
      <c r="I1783" s="3" t="s">
        <v>30</v>
      </c>
      <c r="J1783" s="5">
        <v>8495.5523419925503</v>
      </c>
      <c r="K1783" s="3">
        <v>133</v>
      </c>
      <c r="L1783" s="3" t="s">
        <v>46</v>
      </c>
      <c r="M1783" s="4">
        <v>44467</v>
      </c>
      <c r="N1783" s="3" t="s">
        <v>23</v>
      </c>
      <c r="O1783" s="3" t="s">
        <v>47</v>
      </c>
      <c r="P1783" s="3" t="str">
        <f>IF(Table1[[#This Row],[Billing Amount]]&lt;5000,"Low",IF(Table1[[#This Row],[Billing Amount]]&lt;=15000,"Medium","High"))</f>
        <v>Medium</v>
      </c>
      <c r="Q1783" s="3" t="str">
        <f>IF(Table1[[#This Row],[Discharge Date]]="Yes","Discharged","Under Treatment")</f>
        <v>Under Treatment</v>
      </c>
      <c r="R1783" s="3" t="str">
        <f>IF(Table1[[#This Row],[Test Results]]&gt;120,"High Risk","Normal")</f>
        <v>High Risk</v>
      </c>
      <c r="S1783" s="3" t="str">
        <f>IF(Table1[[#This Row],[Age]]&lt;=18,"0-18",IF(Table1[[#This Row],[Age]]&lt;=35,"19-35",IF(Table1[[#This Row],[Age]]&lt;=50,"36-50",IF(Table1[[#This Row],[Age]]&lt;=65,"51-65","65+"))))</f>
        <v>19-35</v>
      </c>
    </row>
    <row r="1784" spans="1:19" x14ac:dyDescent="0.3">
      <c r="A1784" s="3" t="s">
        <v>5342</v>
      </c>
      <c r="B1784" s="3">
        <v>63</v>
      </c>
      <c r="C1784" s="3" t="s">
        <v>35</v>
      </c>
      <c r="D1784" s="3" t="s">
        <v>59</v>
      </c>
      <c r="E1784" s="3" t="s">
        <v>27</v>
      </c>
      <c r="F1784" s="4">
        <v>45012</v>
      </c>
      <c r="G1784" s="3" t="s">
        <v>5343</v>
      </c>
      <c r="H1784" s="3" t="s">
        <v>5344</v>
      </c>
      <c r="I1784" s="3" t="s">
        <v>65</v>
      </c>
      <c r="J1784" s="5">
        <v>5376.8302606696898</v>
      </c>
      <c r="K1784" s="3">
        <v>299</v>
      </c>
      <c r="L1784" s="3" t="s">
        <v>22</v>
      </c>
      <c r="M1784" s="4">
        <v>45013</v>
      </c>
      <c r="N1784" s="3" t="s">
        <v>40</v>
      </c>
      <c r="O1784" s="3" t="s">
        <v>24</v>
      </c>
      <c r="P1784" s="3" t="str">
        <f>IF(Table1[[#This Row],[Billing Amount]]&lt;5000,"Low",IF(Table1[[#This Row],[Billing Amount]]&lt;=15000,"Medium","High"))</f>
        <v>Medium</v>
      </c>
      <c r="Q1784" s="3" t="str">
        <f>IF(Table1[[#This Row],[Discharge Date]]="Yes","Discharged","Under Treatment")</f>
        <v>Under Treatment</v>
      </c>
      <c r="R1784" s="3" t="str">
        <f>IF(Table1[[#This Row],[Test Results]]&gt;120,"High Risk","Normal")</f>
        <v>High Risk</v>
      </c>
      <c r="S1784" s="3" t="str">
        <f>IF(Table1[[#This Row],[Age]]&lt;=18,"0-18",IF(Table1[[#This Row],[Age]]&lt;=35,"19-35",IF(Table1[[#This Row],[Age]]&lt;=50,"36-50",IF(Table1[[#This Row],[Age]]&lt;=65,"51-65","65+"))))</f>
        <v>51-65</v>
      </c>
    </row>
    <row r="1785" spans="1:19" x14ac:dyDescent="0.3">
      <c r="A1785" s="3" t="s">
        <v>5345</v>
      </c>
      <c r="B1785" s="3">
        <v>52</v>
      </c>
      <c r="C1785" s="3" t="s">
        <v>35</v>
      </c>
      <c r="D1785" s="3" t="s">
        <v>26</v>
      </c>
      <c r="E1785" s="3" t="s">
        <v>54</v>
      </c>
      <c r="F1785" s="4">
        <v>44486</v>
      </c>
      <c r="G1785" s="3" t="s">
        <v>5346</v>
      </c>
      <c r="H1785" s="3" t="s">
        <v>5347</v>
      </c>
      <c r="I1785" s="3" t="s">
        <v>57</v>
      </c>
      <c r="J1785" s="5">
        <v>25087.391480064201</v>
      </c>
      <c r="K1785" s="3">
        <v>332</v>
      </c>
      <c r="L1785" s="3" t="s">
        <v>46</v>
      </c>
      <c r="M1785" s="4">
        <v>44514</v>
      </c>
      <c r="N1785" s="3" t="s">
        <v>52</v>
      </c>
      <c r="O1785" s="3" t="s">
        <v>33</v>
      </c>
      <c r="P1785" s="3" t="str">
        <f>IF(Table1[[#This Row],[Billing Amount]]&lt;5000,"Low",IF(Table1[[#This Row],[Billing Amount]]&lt;=15000,"Medium","High"))</f>
        <v>High</v>
      </c>
      <c r="Q1785" s="3" t="str">
        <f>IF(Table1[[#This Row],[Discharge Date]]="Yes","Discharged","Under Treatment")</f>
        <v>Under Treatment</v>
      </c>
      <c r="R1785" s="3" t="str">
        <f>IF(Table1[[#This Row],[Test Results]]&gt;120,"High Risk","Normal")</f>
        <v>High Risk</v>
      </c>
      <c r="S1785" s="3" t="str">
        <f>IF(Table1[[#This Row],[Age]]&lt;=18,"0-18",IF(Table1[[#This Row],[Age]]&lt;=35,"19-35",IF(Table1[[#This Row],[Age]]&lt;=50,"36-50",IF(Table1[[#This Row],[Age]]&lt;=65,"51-65","65+"))))</f>
        <v>51-65</v>
      </c>
    </row>
    <row r="1786" spans="1:19" x14ac:dyDescent="0.3">
      <c r="A1786" s="3" t="s">
        <v>5348</v>
      </c>
      <c r="B1786" s="3">
        <v>30</v>
      </c>
      <c r="C1786" s="3" t="s">
        <v>35</v>
      </c>
      <c r="D1786" s="3" t="s">
        <v>42</v>
      </c>
      <c r="E1786" s="3" t="s">
        <v>54</v>
      </c>
      <c r="F1786" s="4">
        <v>44355</v>
      </c>
      <c r="G1786" s="3" t="s">
        <v>5349</v>
      </c>
      <c r="H1786" s="3" t="s">
        <v>5350</v>
      </c>
      <c r="I1786" s="3" t="s">
        <v>57</v>
      </c>
      <c r="J1786" s="5">
        <v>36769.4678870969</v>
      </c>
      <c r="K1786" s="3">
        <v>392</v>
      </c>
      <c r="L1786" s="3" t="s">
        <v>31</v>
      </c>
      <c r="M1786" s="4">
        <v>44377</v>
      </c>
      <c r="N1786" s="3" t="s">
        <v>23</v>
      </c>
      <c r="O1786" s="3" t="s">
        <v>33</v>
      </c>
      <c r="P1786" s="3" t="str">
        <f>IF(Table1[[#This Row],[Billing Amount]]&lt;5000,"Low",IF(Table1[[#This Row],[Billing Amount]]&lt;=15000,"Medium","High"))</f>
        <v>High</v>
      </c>
      <c r="Q1786" s="3" t="str">
        <f>IF(Table1[[#This Row],[Discharge Date]]="Yes","Discharged","Under Treatment")</f>
        <v>Under Treatment</v>
      </c>
      <c r="R1786" s="3" t="str">
        <f>IF(Table1[[#This Row],[Test Results]]&gt;120,"High Risk","Normal")</f>
        <v>High Risk</v>
      </c>
      <c r="S1786" s="3" t="str">
        <f>IF(Table1[[#This Row],[Age]]&lt;=18,"0-18",IF(Table1[[#This Row],[Age]]&lt;=35,"19-35",IF(Table1[[#This Row],[Age]]&lt;=50,"36-50",IF(Table1[[#This Row],[Age]]&lt;=65,"51-65","65+"))))</f>
        <v>19-35</v>
      </c>
    </row>
    <row r="1787" spans="1:19" x14ac:dyDescent="0.3">
      <c r="A1787" s="3" t="s">
        <v>5351</v>
      </c>
      <c r="B1787" s="3">
        <v>27</v>
      </c>
      <c r="C1787" s="3" t="s">
        <v>16</v>
      </c>
      <c r="D1787" s="3" t="s">
        <v>103</v>
      </c>
      <c r="E1787" s="3" t="s">
        <v>54</v>
      </c>
      <c r="F1787" s="4">
        <v>44813</v>
      </c>
      <c r="G1787" s="3" t="s">
        <v>5352</v>
      </c>
      <c r="H1787" s="3" t="s">
        <v>5353</v>
      </c>
      <c r="I1787" s="3" t="s">
        <v>21</v>
      </c>
      <c r="J1787" s="5">
        <v>37514.407845153502</v>
      </c>
      <c r="K1787" s="3">
        <v>169</v>
      </c>
      <c r="L1787" s="3" t="s">
        <v>22</v>
      </c>
      <c r="M1787" s="4">
        <v>44825</v>
      </c>
      <c r="N1787" s="3" t="s">
        <v>23</v>
      </c>
      <c r="O1787" s="3" t="s">
        <v>33</v>
      </c>
      <c r="P1787" s="3" t="str">
        <f>IF(Table1[[#This Row],[Billing Amount]]&lt;5000,"Low",IF(Table1[[#This Row],[Billing Amount]]&lt;=15000,"Medium","High"))</f>
        <v>High</v>
      </c>
      <c r="Q1787" s="3" t="str">
        <f>IF(Table1[[#This Row],[Discharge Date]]="Yes","Discharged","Under Treatment")</f>
        <v>Under Treatment</v>
      </c>
      <c r="R1787" s="3" t="str">
        <f>IF(Table1[[#This Row],[Test Results]]&gt;120,"High Risk","Normal")</f>
        <v>High Risk</v>
      </c>
      <c r="S1787" s="3" t="str">
        <f>IF(Table1[[#This Row],[Age]]&lt;=18,"0-18",IF(Table1[[#This Row],[Age]]&lt;=35,"19-35",IF(Table1[[#This Row],[Age]]&lt;=50,"36-50",IF(Table1[[#This Row],[Age]]&lt;=65,"51-65","65+"))))</f>
        <v>19-35</v>
      </c>
    </row>
    <row r="1788" spans="1:19" x14ac:dyDescent="0.3">
      <c r="A1788" s="3" t="s">
        <v>5354</v>
      </c>
      <c r="B1788" s="3">
        <v>51</v>
      </c>
      <c r="C1788" s="3" t="s">
        <v>16</v>
      </c>
      <c r="D1788" s="3" t="s">
        <v>49</v>
      </c>
      <c r="E1788" s="3" t="s">
        <v>27</v>
      </c>
      <c r="F1788" s="4">
        <v>44888</v>
      </c>
      <c r="G1788" s="3" t="s">
        <v>5355</v>
      </c>
      <c r="H1788" s="3" t="s">
        <v>5356</v>
      </c>
      <c r="I1788" s="3" t="s">
        <v>65</v>
      </c>
      <c r="J1788" s="5">
        <v>10006.736704127399</v>
      </c>
      <c r="K1788" s="3">
        <v>302</v>
      </c>
      <c r="L1788" s="3" t="s">
        <v>46</v>
      </c>
      <c r="M1788" s="4">
        <v>44906</v>
      </c>
      <c r="N1788" s="3" t="s">
        <v>79</v>
      </c>
      <c r="O1788" s="3" t="s">
        <v>47</v>
      </c>
      <c r="P1788" s="3" t="str">
        <f>IF(Table1[[#This Row],[Billing Amount]]&lt;5000,"Low",IF(Table1[[#This Row],[Billing Amount]]&lt;=15000,"Medium","High"))</f>
        <v>Medium</v>
      </c>
      <c r="Q1788" s="3" t="str">
        <f>IF(Table1[[#This Row],[Discharge Date]]="Yes","Discharged","Under Treatment")</f>
        <v>Under Treatment</v>
      </c>
      <c r="R1788" s="3" t="str">
        <f>IF(Table1[[#This Row],[Test Results]]&gt;120,"High Risk","Normal")</f>
        <v>High Risk</v>
      </c>
      <c r="S1788" s="3" t="str">
        <f>IF(Table1[[#This Row],[Age]]&lt;=18,"0-18",IF(Table1[[#This Row],[Age]]&lt;=35,"19-35",IF(Table1[[#This Row],[Age]]&lt;=50,"36-50",IF(Table1[[#This Row],[Age]]&lt;=65,"51-65","65+"))))</f>
        <v>51-65</v>
      </c>
    </row>
    <row r="1789" spans="1:19" x14ac:dyDescent="0.3">
      <c r="A1789" s="3" t="s">
        <v>5357</v>
      </c>
      <c r="B1789" s="3">
        <v>43</v>
      </c>
      <c r="C1789" s="3" t="s">
        <v>35</v>
      </c>
      <c r="D1789" s="3" t="s">
        <v>49</v>
      </c>
      <c r="E1789" s="3" t="s">
        <v>54</v>
      </c>
      <c r="F1789" s="4">
        <v>44179</v>
      </c>
      <c r="G1789" s="3" t="s">
        <v>186</v>
      </c>
      <c r="H1789" s="3" t="s">
        <v>1780</v>
      </c>
      <c r="I1789" s="3" t="s">
        <v>39</v>
      </c>
      <c r="J1789" s="5">
        <v>33048.927517253003</v>
      </c>
      <c r="K1789" s="3">
        <v>433</v>
      </c>
      <c r="L1789" s="3" t="s">
        <v>22</v>
      </c>
      <c r="M1789" s="4">
        <v>44191</v>
      </c>
      <c r="N1789" s="3" t="s">
        <v>23</v>
      </c>
      <c r="O1789" s="3" t="s">
        <v>47</v>
      </c>
      <c r="P1789" s="3" t="str">
        <f>IF(Table1[[#This Row],[Billing Amount]]&lt;5000,"Low",IF(Table1[[#This Row],[Billing Amount]]&lt;=15000,"Medium","High"))</f>
        <v>High</v>
      </c>
      <c r="Q1789" s="3" t="str">
        <f>IF(Table1[[#This Row],[Discharge Date]]="Yes","Discharged","Under Treatment")</f>
        <v>Under Treatment</v>
      </c>
      <c r="R1789" s="3" t="str">
        <f>IF(Table1[[#This Row],[Test Results]]&gt;120,"High Risk","Normal")</f>
        <v>High Risk</v>
      </c>
      <c r="S1789" s="3" t="str">
        <f>IF(Table1[[#This Row],[Age]]&lt;=18,"0-18",IF(Table1[[#This Row],[Age]]&lt;=35,"19-35",IF(Table1[[#This Row],[Age]]&lt;=50,"36-50",IF(Table1[[#This Row],[Age]]&lt;=65,"51-65","65+"))))</f>
        <v>36-50</v>
      </c>
    </row>
    <row r="1790" spans="1:19" x14ac:dyDescent="0.3">
      <c r="A1790" s="3" t="s">
        <v>5358</v>
      </c>
      <c r="B1790" s="3">
        <v>55</v>
      </c>
      <c r="C1790" s="3" t="s">
        <v>35</v>
      </c>
      <c r="D1790" s="3" t="s">
        <v>103</v>
      </c>
      <c r="E1790" s="3" t="s">
        <v>18</v>
      </c>
      <c r="F1790" s="4">
        <v>45143</v>
      </c>
      <c r="G1790" s="3" t="s">
        <v>5359</v>
      </c>
      <c r="H1790" s="3" t="s">
        <v>5311</v>
      </c>
      <c r="I1790" s="3" t="s">
        <v>65</v>
      </c>
      <c r="J1790" s="5">
        <v>25094.2962124031</v>
      </c>
      <c r="K1790" s="3">
        <v>144</v>
      </c>
      <c r="L1790" s="3" t="s">
        <v>31</v>
      </c>
      <c r="M1790" s="4">
        <v>45171</v>
      </c>
      <c r="N1790" s="3" t="s">
        <v>32</v>
      </c>
      <c r="O1790" s="3" t="s">
        <v>47</v>
      </c>
      <c r="P1790" s="3" t="str">
        <f>IF(Table1[[#This Row],[Billing Amount]]&lt;5000,"Low",IF(Table1[[#This Row],[Billing Amount]]&lt;=15000,"Medium","High"))</f>
        <v>High</v>
      </c>
      <c r="Q1790" s="3" t="str">
        <f>IF(Table1[[#This Row],[Discharge Date]]="Yes","Discharged","Under Treatment")</f>
        <v>Under Treatment</v>
      </c>
      <c r="R1790" s="3" t="str">
        <f>IF(Table1[[#This Row],[Test Results]]&gt;120,"High Risk","Normal")</f>
        <v>High Risk</v>
      </c>
      <c r="S1790" s="3" t="str">
        <f>IF(Table1[[#This Row],[Age]]&lt;=18,"0-18",IF(Table1[[#This Row],[Age]]&lt;=35,"19-35",IF(Table1[[#This Row],[Age]]&lt;=50,"36-50",IF(Table1[[#This Row],[Age]]&lt;=65,"51-65","65+"))))</f>
        <v>51-65</v>
      </c>
    </row>
    <row r="1791" spans="1:19" x14ac:dyDescent="0.3">
      <c r="A1791" s="3" t="s">
        <v>5360</v>
      </c>
      <c r="B1791" s="3">
        <v>45</v>
      </c>
      <c r="C1791" s="3" t="s">
        <v>35</v>
      </c>
      <c r="D1791" s="3" t="s">
        <v>49</v>
      </c>
      <c r="E1791" s="3" t="s">
        <v>93</v>
      </c>
      <c r="F1791" s="4">
        <v>45218</v>
      </c>
      <c r="G1791" s="3" t="s">
        <v>5361</v>
      </c>
      <c r="H1791" s="3" t="s">
        <v>5362</v>
      </c>
      <c r="I1791" s="3" t="s">
        <v>39</v>
      </c>
      <c r="J1791" s="5">
        <v>2586.6243383778301</v>
      </c>
      <c r="K1791" s="3">
        <v>202</v>
      </c>
      <c r="L1791" s="3" t="s">
        <v>46</v>
      </c>
      <c r="M1791" s="4">
        <v>45248</v>
      </c>
      <c r="N1791" s="3" t="s">
        <v>32</v>
      </c>
      <c r="O1791" s="3" t="s">
        <v>33</v>
      </c>
      <c r="P1791" s="3" t="str">
        <f>IF(Table1[[#This Row],[Billing Amount]]&lt;5000,"Low",IF(Table1[[#This Row],[Billing Amount]]&lt;=15000,"Medium","High"))</f>
        <v>Low</v>
      </c>
      <c r="Q1791" s="3" t="str">
        <f>IF(Table1[[#This Row],[Discharge Date]]="Yes","Discharged","Under Treatment")</f>
        <v>Under Treatment</v>
      </c>
      <c r="R1791" s="3" t="str">
        <f>IF(Table1[[#This Row],[Test Results]]&gt;120,"High Risk","Normal")</f>
        <v>High Risk</v>
      </c>
      <c r="S1791" s="3" t="str">
        <f>IF(Table1[[#This Row],[Age]]&lt;=18,"0-18",IF(Table1[[#This Row],[Age]]&lt;=35,"19-35",IF(Table1[[#This Row],[Age]]&lt;=50,"36-50",IF(Table1[[#This Row],[Age]]&lt;=65,"51-65","65+"))))</f>
        <v>36-50</v>
      </c>
    </row>
    <row r="1792" spans="1:19" x14ac:dyDescent="0.3">
      <c r="A1792" s="3" t="s">
        <v>5364</v>
      </c>
      <c r="B1792" s="3">
        <v>29</v>
      </c>
      <c r="C1792" s="3" t="s">
        <v>35</v>
      </c>
      <c r="D1792" s="3" t="s">
        <v>59</v>
      </c>
      <c r="E1792" s="3" t="s">
        <v>93</v>
      </c>
      <c r="F1792" s="4">
        <v>44596</v>
      </c>
      <c r="G1792" s="3" t="s">
        <v>5365</v>
      </c>
      <c r="H1792" s="3" t="s">
        <v>5366</v>
      </c>
      <c r="I1792" s="3" t="s">
        <v>57</v>
      </c>
      <c r="J1792" s="5">
        <v>8951.3810240730909</v>
      </c>
      <c r="K1792" s="3">
        <v>412</v>
      </c>
      <c r="L1792" s="3" t="s">
        <v>31</v>
      </c>
      <c r="M1792" s="4">
        <v>44622</v>
      </c>
      <c r="N1792" s="3" t="s">
        <v>79</v>
      </c>
      <c r="O1792" s="3" t="s">
        <v>24</v>
      </c>
      <c r="P1792" s="3" t="str">
        <f>IF(Table1[[#This Row],[Billing Amount]]&lt;5000,"Low",IF(Table1[[#This Row],[Billing Amount]]&lt;=15000,"Medium","High"))</f>
        <v>Medium</v>
      </c>
      <c r="Q1792" s="3" t="str">
        <f>IF(Table1[[#This Row],[Discharge Date]]="Yes","Discharged","Under Treatment")</f>
        <v>Under Treatment</v>
      </c>
      <c r="R1792" s="3" t="str">
        <f>IF(Table1[[#This Row],[Test Results]]&gt;120,"High Risk","Normal")</f>
        <v>High Risk</v>
      </c>
      <c r="S1792" s="3" t="str">
        <f>IF(Table1[[#This Row],[Age]]&lt;=18,"0-18",IF(Table1[[#This Row],[Age]]&lt;=35,"19-35",IF(Table1[[#This Row],[Age]]&lt;=50,"36-50",IF(Table1[[#This Row],[Age]]&lt;=65,"51-65","65+"))))</f>
        <v>19-35</v>
      </c>
    </row>
    <row r="1793" spans="1:19" x14ac:dyDescent="0.3">
      <c r="A1793" s="3" t="s">
        <v>5367</v>
      </c>
      <c r="B1793" s="3">
        <v>80</v>
      </c>
      <c r="C1793" s="3" t="s">
        <v>35</v>
      </c>
      <c r="D1793" s="3" t="s">
        <v>49</v>
      </c>
      <c r="E1793" s="3" t="s">
        <v>54</v>
      </c>
      <c r="F1793" s="4">
        <v>44343</v>
      </c>
      <c r="G1793" s="3" t="s">
        <v>5368</v>
      </c>
      <c r="H1793" s="3" t="s">
        <v>5369</v>
      </c>
      <c r="I1793" s="3" t="s">
        <v>30</v>
      </c>
      <c r="J1793" s="5">
        <v>34072.350413662098</v>
      </c>
      <c r="K1793" s="3">
        <v>219</v>
      </c>
      <c r="L1793" s="3" t="s">
        <v>22</v>
      </c>
      <c r="M1793" s="4">
        <v>44345</v>
      </c>
      <c r="N1793" s="3" t="s">
        <v>52</v>
      </c>
      <c r="O1793" s="3" t="s">
        <v>24</v>
      </c>
      <c r="P1793" s="3" t="str">
        <f>IF(Table1[[#This Row],[Billing Amount]]&lt;5000,"Low",IF(Table1[[#This Row],[Billing Amount]]&lt;=15000,"Medium","High"))</f>
        <v>High</v>
      </c>
      <c r="Q1793" s="3" t="str">
        <f>IF(Table1[[#This Row],[Discharge Date]]="Yes","Discharged","Under Treatment")</f>
        <v>Under Treatment</v>
      </c>
      <c r="R1793" s="3" t="str">
        <f>IF(Table1[[#This Row],[Test Results]]&gt;120,"High Risk","Normal")</f>
        <v>High Risk</v>
      </c>
      <c r="S1793" s="3" t="str">
        <f>IF(Table1[[#This Row],[Age]]&lt;=18,"0-18",IF(Table1[[#This Row],[Age]]&lt;=35,"19-35",IF(Table1[[#This Row],[Age]]&lt;=50,"36-50",IF(Table1[[#This Row],[Age]]&lt;=65,"51-65","65+"))))</f>
        <v>65+</v>
      </c>
    </row>
    <row r="1794" spans="1:19" x14ac:dyDescent="0.3">
      <c r="A1794" s="3" t="s">
        <v>5370</v>
      </c>
      <c r="B1794" s="3">
        <v>83</v>
      </c>
      <c r="C1794" s="3" t="s">
        <v>16</v>
      </c>
      <c r="D1794" s="3" t="s">
        <v>26</v>
      </c>
      <c r="E1794" s="3" t="s">
        <v>76</v>
      </c>
      <c r="F1794" s="4">
        <v>44450</v>
      </c>
      <c r="G1794" s="3" t="s">
        <v>5371</v>
      </c>
      <c r="H1794" s="3" t="s">
        <v>5372</v>
      </c>
      <c r="I1794" s="3" t="s">
        <v>21</v>
      </c>
      <c r="J1794" s="5">
        <v>22861.191028751899</v>
      </c>
      <c r="K1794" s="3">
        <v>228</v>
      </c>
      <c r="L1794" s="3" t="s">
        <v>22</v>
      </c>
      <c r="M1794" s="4">
        <v>44453</v>
      </c>
      <c r="N1794" s="3" t="s">
        <v>40</v>
      </c>
      <c r="O1794" s="3" t="s">
        <v>33</v>
      </c>
      <c r="P1794" s="3" t="str">
        <f>IF(Table1[[#This Row],[Billing Amount]]&lt;5000,"Low",IF(Table1[[#This Row],[Billing Amount]]&lt;=15000,"Medium","High"))</f>
        <v>High</v>
      </c>
      <c r="Q1794" s="3" t="str">
        <f>IF(Table1[[#This Row],[Discharge Date]]="Yes","Discharged","Under Treatment")</f>
        <v>Under Treatment</v>
      </c>
      <c r="R1794" s="3" t="str">
        <f>IF(Table1[[#This Row],[Test Results]]&gt;120,"High Risk","Normal")</f>
        <v>High Risk</v>
      </c>
      <c r="S1794" s="3" t="str">
        <f>IF(Table1[[#This Row],[Age]]&lt;=18,"0-18",IF(Table1[[#This Row],[Age]]&lt;=35,"19-35",IF(Table1[[#This Row],[Age]]&lt;=50,"36-50",IF(Table1[[#This Row],[Age]]&lt;=65,"51-65","65+"))))</f>
        <v>65+</v>
      </c>
    </row>
    <row r="1795" spans="1:19" x14ac:dyDescent="0.3">
      <c r="A1795" s="3" t="s">
        <v>5373</v>
      </c>
      <c r="B1795" s="3">
        <v>45</v>
      </c>
      <c r="C1795" s="3" t="s">
        <v>35</v>
      </c>
      <c r="D1795" s="3" t="s">
        <v>49</v>
      </c>
      <c r="E1795" s="3" t="s">
        <v>27</v>
      </c>
      <c r="F1795" s="4">
        <v>44161</v>
      </c>
      <c r="G1795" s="3" t="s">
        <v>5374</v>
      </c>
      <c r="H1795" s="3" t="s">
        <v>5375</v>
      </c>
      <c r="I1795" s="3" t="s">
        <v>21</v>
      </c>
      <c r="J1795" s="5">
        <v>29844.494307471701</v>
      </c>
      <c r="K1795" s="3">
        <v>321</v>
      </c>
      <c r="L1795" s="3" t="s">
        <v>31</v>
      </c>
      <c r="M1795" s="4">
        <v>44171</v>
      </c>
      <c r="N1795" s="3" t="s">
        <v>52</v>
      </c>
      <c r="O1795" s="3" t="s">
        <v>24</v>
      </c>
      <c r="P1795" s="3" t="str">
        <f>IF(Table1[[#This Row],[Billing Amount]]&lt;5000,"Low",IF(Table1[[#This Row],[Billing Amount]]&lt;=15000,"Medium","High"))</f>
        <v>High</v>
      </c>
      <c r="Q1795" s="3" t="str">
        <f>IF(Table1[[#This Row],[Discharge Date]]="Yes","Discharged","Under Treatment")</f>
        <v>Under Treatment</v>
      </c>
      <c r="R1795" s="3" t="str">
        <f>IF(Table1[[#This Row],[Test Results]]&gt;120,"High Risk","Normal")</f>
        <v>High Risk</v>
      </c>
      <c r="S1795" s="3" t="str">
        <f>IF(Table1[[#This Row],[Age]]&lt;=18,"0-18",IF(Table1[[#This Row],[Age]]&lt;=35,"19-35",IF(Table1[[#This Row],[Age]]&lt;=50,"36-50",IF(Table1[[#This Row],[Age]]&lt;=65,"51-65","65+"))))</f>
        <v>36-50</v>
      </c>
    </row>
    <row r="1796" spans="1:19" x14ac:dyDescent="0.3">
      <c r="A1796" s="3" t="s">
        <v>5376</v>
      </c>
      <c r="B1796" s="3">
        <v>27</v>
      </c>
      <c r="C1796" s="3" t="s">
        <v>16</v>
      </c>
      <c r="D1796" s="3" t="s">
        <v>59</v>
      </c>
      <c r="E1796" s="3" t="s">
        <v>18</v>
      </c>
      <c r="F1796" s="4">
        <v>43733</v>
      </c>
      <c r="G1796" s="3" t="s">
        <v>5377</v>
      </c>
      <c r="H1796" s="3" t="s">
        <v>5378</v>
      </c>
      <c r="I1796" s="3" t="s">
        <v>21</v>
      </c>
      <c r="J1796" s="5">
        <v>11437.321300973899</v>
      </c>
      <c r="K1796" s="3">
        <v>395</v>
      </c>
      <c r="L1796" s="3" t="s">
        <v>22</v>
      </c>
      <c r="M1796" s="4">
        <v>43745</v>
      </c>
      <c r="N1796" s="3" t="s">
        <v>32</v>
      </c>
      <c r="O1796" s="3" t="s">
        <v>47</v>
      </c>
      <c r="P1796" s="3" t="str">
        <f>IF(Table1[[#This Row],[Billing Amount]]&lt;5000,"Low",IF(Table1[[#This Row],[Billing Amount]]&lt;=15000,"Medium","High"))</f>
        <v>Medium</v>
      </c>
      <c r="Q1796" s="3" t="str">
        <f>IF(Table1[[#This Row],[Discharge Date]]="Yes","Discharged","Under Treatment")</f>
        <v>Under Treatment</v>
      </c>
      <c r="R1796" s="3" t="str">
        <f>IF(Table1[[#This Row],[Test Results]]&gt;120,"High Risk","Normal")</f>
        <v>High Risk</v>
      </c>
      <c r="S1796" s="3" t="str">
        <f>IF(Table1[[#This Row],[Age]]&lt;=18,"0-18",IF(Table1[[#This Row],[Age]]&lt;=35,"19-35",IF(Table1[[#This Row],[Age]]&lt;=50,"36-50",IF(Table1[[#This Row],[Age]]&lt;=65,"51-65","65+"))))</f>
        <v>19-35</v>
      </c>
    </row>
    <row r="1797" spans="1:19" x14ac:dyDescent="0.3">
      <c r="A1797" s="3" t="s">
        <v>5379</v>
      </c>
      <c r="B1797" s="3">
        <v>66</v>
      </c>
      <c r="C1797" s="3" t="s">
        <v>16</v>
      </c>
      <c r="D1797" s="3" t="s">
        <v>103</v>
      </c>
      <c r="E1797" s="3" t="s">
        <v>18</v>
      </c>
      <c r="F1797" s="4">
        <v>45316</v>
      </c>
      <c r="G1797" s="3" t="s">
        <v>5380</v>
      </c>
      <c r="H1797" s="3" t="s">
        <v>5381</v>
      </c>
      <c r="I1797" s="3" t="s">
        <v>39</v>
      </c>
      <c r="J1797" s="5">
        <v>12652.086831102901</v>
      </c>
      <c r="K1797" s="3">
        <v>342</v>
      </c>
      <c r="L1797" s="3" t="s">
        <v>46</v>
      </c>
      <c r="M1797" s="4">
        <v>45320</v>
      </c>
      <c r="N1797" s="3" t="s">
        <v>32</v>
      </c>
      <c r="O1797" s="3" t="s">
        <v>24</v>
      </c>
      <c r="P1797" s="3" t="str">
        <f>IF(Table1[[#This Row],[Billing Amount]]&lt;5000,"Low",IF(Table1[[#This Row],[Billing Amount]]&lt;=15000,"Medium","High"))</f>
        <v>Medium</v>
      </c>
      <c r="Q1797" s="3" t="str">
        <f>IF(Table1[[#This Row],[Discharge Date]]="Yes","Discharged","Under Treatment")</f>
        <v>Under Treatment</v>
      </c>
      <c r="R1797" s="3" t="str">
        <f>IF(Table1[[#This Row],[Test Results]]&gt;120,"High Risk","Normal")</f>
        <v>High Risk</v>
      </c>
      <c r="S1797" s="3" t="str">
        <f>IF(Table1[[#This Row],[Age]]&lt;=18,"0-18",IF(Table1[[#This Row],[Age]]&lt;=35,"19-35",IF(Table1[[#This Row],[Age]]&lt;=50,"36-50",IF(Table1[[#This Row],[Age]]&lt;=65,"51-65","65+"))))</f>
        <v>65+</v>
      </c>
    </row>
    <row r="1798" spans="1:19" x14ac:dyDescent="0.3">
      <c r="A1798" s="3" t="s">
        <v>5382</v>
      </c>
      <c r="B1798" s="3">
        <v>63</v>
      </c>
      <c r="C1798" s="3" t="s">
        <v>16</v>
      </c>
      <c r="D1798" s="3" t="s">
        <v>103</v>
      </c>
      <c r="E1798" s="3" t="s">
        <v>54</v>
      </c>
      <c r="F1798" s="4">
        <v>44364</v>
      </c>
      <c r="G1798" s="3" t="s">
        <v>5383</v>
      </c>
      <c r="H1798" s="3" t="s">
        <v>5226</v>
      </c>
      <c r="I1798" s="3" t="s">
        <v>39</v>
      </c>
      <c r="J1798" s="5">
        <v>23276.994789415701</v>
      </c>
      <c r="K1798" s="3">
        <v>140</v>
      </c>
      <c r="L1798" s="3" t="s">
        <v>31</v>
      </c>
      <c r="M1798" s="4">
        <v>44365</v>
      </c>
      <c r="N1798" s="3" t="s">
        <v>40</v>
      </c>
      <c r="O1798" s="3" t="s">
        <v>33</v>
      </c>
      <c r="P1798" s="3" t="str">
        <f>IF(Table1[[#This Row],[Billing Amount]]&lt;5000,"Low",IF(Table1[[#This Row],[Billing Amount]]&lt;=15000,"Medium","High"))</f>
        <v>High</v>
      </c>
      <c r="Q1798" s="3" t="str">
        <f>IF(Table1[[#This Row],[Discharge Date]]="Yes","Discharged","Under Treatment")</f>
        <v>Under Treatment</v>
      </c>
      <c r="R1798" s="3" t="str">
        <f>IF(Table1[[#This Row],[Test Results]]&gt;120,"High Risk","Normal")</f>
        <v>High Risk</v>
      </c>
      <c r="S1798" s="3" t="str">
        <f>IF(Table1[[#This Row],[Age]]&lt;=18,"0-18",IF(Table1[[#This Row],[Age]]&lt;=35,"19-35",IF(Table1[[#This Row],[Age]]&lt;=50,"36-50",IF(Table1[[#This Row],[Age]]&lt;=65,"51-65","65+"))))</f>
        <v>51-65</v>
      </c>
    </row>
    <row r="1799" spans="1:19" x14ac:dyDescent="0.3">
      <c r="A1799" s="3" t="s">
        <v>5384</v>
      </c>
      <c r="B1799" s="3">
        <v>52</v>
      </c>
      <c r="C1799" s="3" t="s">
        <v>16</v>
      </c>
      <c r="D1799" s="3" t="s">
        <v>26</v>
      </c>
      <c r="E1799" s="3" t="s">
        <v>54</v>
      </c>
      <c r="F1799" s="4">
        <v>44557</v>
      </c>
      <c r="G1799" s="3" t="s">
        <v>5385</v>
      </c>
      <c r="H1799" s="3" t="s">
        <v>5386</v>
      </c>
      <c r="I1799" s="3" t="s">
        <v>57</v>
      </c>
      <c r="J1799" s="5">
        <v>3201.8099760156701</v>
      </c>
      <c r="K1799" s="3">
        <v>167</v>
      </c>
      <c r="L1799" s="3" t="s">
        <v>31</v>
      </c>
      <c r="M1799" s="4">
        <v>44559</v>
      </c>
      <c r="N1799" s="3" t="s">
        <v>40</v>
      </c>
      <c r="O1799" s="3" t="s">
        <v>47</v>
      </c>
      <c r="P1799" s="3" t="str">
        <f>IF(Table1[[#This Row],[Billing Amount]]&lt;5000,"Low",IF(Table1[[#This Row],[Billing Amount]]&lt;=15000,"Medium","High"))</f>
        <v>Low</v>
      </c>
      <c r="Q1799" s="3" t="str">
        <f>IF(Table1[[#This Row],[Discharge Date]]="Yes","Discharged","Under Treatment")</f>
        <v>Under Treatment</v>
      </c>
      <c r="R1799" s="3" t="str">
        <f>IF(Table1[[#This Row],[Test Results]]&gt;120,"High Risk","Normal")</f>
        <v>High Risk</v>
      </c>
      <c r="S1799" s="3" t="str">
        <f>IF(Table1[[#This Row],[Age]]&lt;=18,"0-18",IF(Table1[[#This Row],[Age]]&lt;=35,"19-35",IF(Table1[[#This Row],[Age]]&lt;=50,"36-50",IF(Table1[[#This Row],[Age]]&lt;=65,"51-65","65+"))))</f>
        <v>51-65</v>
      </c>
    </row>
    <row r="1800" spans="1:19" x14ac:dyDescent="0.3">
      <c r="A1800" s="3" t="s">
        <v>5387</v>
      </c>
      <c r="B1800" s="3">
        <v>66</v>
      </c>
      <c r="C1800" s="3" t="s">
        <v>16</v>
      </c>
      <c r="D1800" s="3" t="s">
        <v>17</v>
      </c>
      <c r="E1800" s="3" t="s">
        <v>43</v>
      </c>
      <c r="F1800" s="4">
        <v>43916</v>
      </c>
      <c r="G1800" s="3" t="s">
        <v>5388</v>
      </c>
      <c r="H1800" s="3" t="s">
        <v>5389</v>
      </c>
      <c r="I1800" s="3" t="s">
        <v>30</v>
      </c>
      <c r="J1800" s="5">
        <v>34188.597675824501</v>
      </c>
      <c r="K1800" s="3">
        <v>131</v>
      </c>
      <c r="L1800" s="3" t="s">
        <v>31</v>
      </c>
      <c r="M1800" s="4">
        <v>43922</v>
      </c>
      <c r="N1800" s="3" t="s">
        <v>79</v>
      </c>
      <c r="O1800" s="3" t="s">
        <v>33</v>
      </c>
      <c r="P1800" s="3" t="str">
        <f>IF(Table1[[#This Row],[Billing Amount]]&lt;5000,"Low",IF(Table1[[#This Row],[Billing Amount]]&lt;=15000,"Medium","High"))</f>
        <v>High</v>
      </c>
      <c r="Q1800" s="3" t="str">
        <f>IF(Table1[[#This Row],[Discharge Date]]="Yes","Discharged","Under Treatment")</f>
        <v>Under Treatment</v>
      </c>
      <c r="R1800" s="3" t="str">
        <f>IF(Table1[[#This Row],[Test Results]]&gt;120,"High Risk","Normal")</f>
        <v>High Risk</v>
      </c>
      <c r="S1800" s="3" t="str">
        <f>IF(Table1[[#This Row],[Age]]&lt;=18,"0-18",IF(Table1[[#This Row],[Age]]&lt;=35,"19-35",IF(Table1[[#This Row],[Age]]&lt;=50,"36-50",IF(Table1[[#This Row],[Age]]&lt;=65,"51-65","65+"))))</f>
        <v>65+</v>
      </c>
    </row>
    <row r="1801" spans="1:19" x14ac:dyDescent="0.3">
      <c r="A1801" s="3" t="s">
        <v>5390</v>
      </c>
      <c r="B1801" s="3">
        <v>42</v>
      </c>
      <c r="C1801" s="3" t="s">
        <v>16</v>
      </c>
      <c r="D1801" s="3" t="s">
        <v>122</v>
      </c>
      <c r="E1801" s="3" t="s">
        <v>27</v>
      </c>
      <c r="F1801" s="4">
        <v>45324</v>
      </c>
      <c r="G1801" s="3" t="s">
        <v>5391</v>
      </c>
      <c r="H1801" s="3" t="s">
        <v>5392</v>
      </c>
      <c r="I1801" s="3" t="s">
        <v>57</v>
      </c>
      <c r="J1801" s="5">
        <v>35483.298010153499</v>
      </c>
      <c r="K1801" s="3">
        <v>124</v>
      </c>
      <c r="L1801" s="3" t="s">
        <v>46</v>
      </c>
      <c r="M1801" s="4">
        <v>45343</v>
      </c>
      <c r="N1801" s="3" t="s">
        <v>79</v>
      </c>
      <c r="O1801" s="3" t="s">
        <v>24</v>
      </c>
      <c r="P1801" s="3" t="str">
        <f>IF(Table1[[#This Row],[Billing Amount]]&lt;5000,"Low",IF(Table1[[#This Row],[Billing Amount]]&lt;=15000,"Medium","High"))</f>
        <v>High</v>
      </c>
      <c r="Q1801" s="3" t="str">
        <f>IF(Table1[[#This Row],[Discharge Date]]="Yes","Discharged","Under Treatment")</f>
        <v>Under Treatment</v>
      </c>
      <c r="R1801" s="3" t="str">
        <f>IF(Table1[[#This Row],[Test Results]]&gt;120,"High Risk","Normal")</f>
        <v>High Risk</v>
      </c>
      <c r="S1801" s="3" t="str">
        <f>IF(Table1[[#This Row],[Age]]&lt;=18,"0-18",IF(Table1[[#This Row],[Age]]&lt;=35,"19-35",IF(Table1[[#This Row],[Age]]&lt;=50,"36-50",IF(Table1[[#This Row],[Age]]&lt;=65,"51-65","65+"))))</f>
        <v>36-50</v>
      </c>
    </row>
    <row r="1802" spans="1:19" x14ac:dyDescent="0.3">
      <c r="A1802" s="3" t="s">
        <v>5393</v>
      </c>
      <c r="B1802" s="3">
        <v>79</v>
      </c>
      <c r="C1802" s="3" t="s">
        <v>35</v>
      </c>
      <c r="D1802" s="3" t="s">
        <v>122</v>
      </c>
      <c r="E1802" s="3" t="s">
        <v>43</v>
      </c>
      <c r="F1802" s="4">
        <v>44295</v>
      </c>
      <c r="G1802" s="3" t="s">
        <v>5394</v>
      </c>
      <c r="H1802" s="3" t="s">
        <v>5395</v>
      </c>
      <c r="I1802" s="3" t="s">
        <v>57</v>
      </c>
      <c r="J1802" s="5">
        <v>24512.330721143298</v>
      </c>
      <c r="K1802" s="3">
        <v>407</v>
      </c>
      <c r="L1802" s="3" t="s">
        <v>46</v>
      </c>
      <c r="M1802" s="4">
        <v>44316</v>
      </c>
      <c r="N1802" s="3" t="s">
        <v>52</v>
      </c>
      <c r="O1802" s="3" t="s">
        <v>24</v>
      </c>
      <c r="P1802" s="3" t="str">
        <f>IF(Table1[[#This Row],[Billing Amount]]&lt;5000,"Low",IF(Table1[[#This Row],[Billing Amount]]&lt;=15000,"Medium","High"))</f>
        <v>High</v>
      </c>
      <c r="Q1802" s="3" t="str">
        <f>IF(Table1[[#This Row],[Discharge Date]]="Yes","Discharged","Under Treatment")</f>
        <v>Under Treatment</v>
      </c>
      <c r="R1802" s="3" t="str">
        <f>IF(Table1[[#This Row],[Test Results]]&gt;120,"High Risk","Normal")</f>
        <v>High Risk</v>
      </c>
      <c r="S1802" s="3" t="str">
        <f>IF(Table1[[#This Row],[Age]]&lt;=18,"0-18",IF(Table1[[#This Row],[Age]]&lt;=35,"19-35",IF(Table1[[#This Row],[Age]]&lt;=50,"36-50",IF(Table1[[#This Row],[Age]]&lt;=65,"51-65","65+"))))</f>
        <v>65+</v>
      </c>
    </row>
    <row r="1803" spans="1:19" x14ac:dyDescent="0.3">
      <c r="A1803" s="3" t="s">
        <v>5396</v>
      </c>
      <c r="B1803" s="3">
        <v>60</v>
      </c>
      <c r="C1803" s="3" t="s">
        <v>16</v>
      </c>
      <c r="D1803" s="3" t="s">
        <v>49</v>
      </c>
      <c r="E1803" s="3" t="s">
        <v>18</v>
      </c>
      <c r="F1803" s="4">
        <v>44142</v>
      </c>
      <c r="G1803" s="3" t="s">
        <v>5397</v>
      </c>
      <c r="H1803" s="3" t="s">
        <v>5398</v>
      </c>
      <c r="I1803" s="3" t="s">
        <v>39</v>
      </c>
      <c r="J1803" s="5">
        <v>11201.9598085581</v>
      </c>
      <c r="K1803" s="3">
        <v>382</v>
      </c>
      <c r="L1803" s="3" t="s">
        <v>31</v>
      </c>
      <c r="M1803" s="4">
        <v>44163</v>
      </c>
      <c r="N1803" s="3" t="s">
        <v>23</v>
      </c>
      <c r="O1803" s="3" t="s">
        <v>33</v>
      </c>
      <c r="P1803" s="3" t="str">
        <f>IF(Table1[[#This Row],[Billing Amount]]&lt;5000,"Low",IF(Table1[[#This Row],[Billing Amount]]&lt;=15000,"Medium","High"))</f>
        <v>Medium</v>
      </c>
      <c r="Q1803" s="3" t="str">
        <f>IF(Table1[[#This Row],[Discharge Date]]="Yes","Discharged","Under Treatment")</f>
        <v>Under Treatment</v>
      </c>
      <c r="R1803" s="3" t="str">
        <f>IF(Table1[[#This Row],[Test Results]]&gt;120,"High Risk","Normal")</f>
        <v>High Risk</v>
      </c>
      <c r="S1803" s="3" t="str">
        <f>IF(Table1[[#This Row],[Age]]&lt;=18,"0-18",IF(Table1[[#This Row],[Age]]&lt;=35,"19-35",IF(Table1[[#This Row],[Age]]&lt;=50,"36-50",IF(Table1[[#This Row],[Age]]&lt;=65,"51-65","65+"))))</f>
        <v>51-65</v>
      </c>
    </row>
    <row r="1804" spans="1:19" x14ac:dyDescent="0.3">
      <c r="A1804" s="3" t="s">
        <v>5399</v>
      </c>
      <c r="B1804" s="3">
        <v>72</v>
      </c>
      <c r="C1804" s="3" t="s">
        <v>35</v>
      </c>
      <c r="D1804" s="3" t="s">
        <v>36</v>
      </c>
      <c r="E1804" s="3" t="s">
        <v>18</v>
      </c>
      <c r="F1804" s="4">
        <v>45386</v>
      </c>
      <c r="G1804" s="3" t="s">
        <v>5400</v>
      </c>
      <c r="H1804" s="3" t="s">
        <v>5401</v>
      </c>
      <c r="I1804" s="3" t="s">
        <v>57</v>
      </c>
      <c r="J1804" s="5">
        <v>26921.985624403002</v>
      </c>
      <c r="K1804" s="3">
        <v>304</v>
      </c>
      <c r="L1804" s="3" t="s">
        <v>31</v>
      </c>
      <c r="M1804" s="4">
        <v>45412</v>
      </c>
      <c r="N1804" s="3" t="s">
        <v>79</v>
      </c>
      <c r="O1804" s="3" t="s">
        <v>24</v>
      </c>
      <c r="P1804" s="3" t="str">
        <f>IF(Table1[[#This Row],[Billing Amount]]&lt;5000,"Low",IF(Table1[[#This Row],[Billing Amount]]&lt;=15000,"Medium","High"))</f>
        <v>High</v>
      </c>
      <c r="Q1804" s="3" t="str">
        <f>IF(Table1[[#This Row],[Discharge Date]]="Yes","Discharged","Under Treatment")</f>
        <v>Under Treatment</v>
      </c>
      <c r="R1804" s="3" t="str">
        <f>IF(Table1[[#This Row],[Test Results]]&gt;120,"High Risk","Normal")</f>
        <v>High Risk</v>
      </c>
      <c r="S1804" s="3" t="str">
        <f>IF(Table1[[#This Row],[Age]]&lt;=18,"0-18",IF(Table1[[#This Row],[Age]]&lt;=35,"19-35",IF(Table1[[#This Row],[Age]]&lt;=50,"36-50",IF(Table1[[#This Row],[Age]]&lt;=65,"51-65","65+"))))</f>
        <v>65+</v>
      </c>
    </row>
    <row r="1805" spans="1:19" x14ac:dyDescent="0.3">
      <c r="A1805" s="3" t="s">
        <v>5402</v>
      </c>
      <c r="B1805" s="3">
        <v>77</v>
      </c>
      <c r="C1805" s="3" t="s">
        <v>35</v>
      </c>
      <c r="D1805" s="3" t="s">
        <v>49</v>
      </c>
      <c r="E1805" s="3" t="s">
        <v>93</v>
      </c>
      <c r="F1805" s="4">
        <v>44836</v>
      </c>
      <c r="G1805" s="3" t="s">
        <v>5403</v>
      </c>
      <c r="H1805" s="3" t="s">
        <v>5404</v>
      </c>
      <c r="I1805" s="3" t="s">
        <v>65</v>
      </c>
      <c r="J1805" s="5">
        <v>18046.406001748299</v>
      </c>
      <c r="K1805" s="3">
        <v>444</v>
      </c>
      <c r="L1805" s="3" t="s">
        <v>31</v>
      </c>
      <c r="M1805" s="4">
        <v>44857</v>
      </c>
      <c r="N1805" s="3" t="s">
        <v>79</v>
      </c>
      <c r="O1805" s="3" t="s">
        <v>33</v>
      </c>
      <c r="P1805" s="3" t="str">
        <f>IF(Table1[[#This Row],[Billing Amount]]&lt;5000,"Low",IF(Table1[[#This Row],[Billing Amount]]&lt;=15000,"Medium","High"))</f>
        <v>High</v>
      </c>
      <c r="Q1805" s="3" t="str">
        <f>IF(Table1[[#This Row],[Discharge Date]]="Yes","Discharged","Under Treatment")</f>
        <v>Under Treatment</v>
      </c>
      <c r="R1805" s="3" t="str">
        <f>IF(Table1[[#This Row],[Test Results]]&gt;120,"High Risk","Normal")</f>
        <v>High Risk</v>
      </c>
      <c r="S1805" s="3" t="str">
        <f>IF(Table1[[#This Row],[Age]]&lt;=18,"0-18",IF(Table1[[#This Row],[Age]]&lt;=35,"19-35",IF(Table1[[#This Row],[Age]]&lt;=50,"36-50",IF(Table1[[#This Row],[Age]]&lt;=65,"51-65","65+"))))</f>
        <v>65+</v>
      </c>
    </row>
    <row r="1806" spans="1:19" x14ac:dyDescent="0.3">
      <c r="A1806" s="3" t="s">
        <v>5405</v>
      </c>
      <c r="B1806" s="3">
        <v>26</v>
      </c>
      <c r="C1806" s="3" t="s">
        <v>35</v>
      </c>
      <c r="D1806" s="3" t="s">
        <v>49</v>
      </c>
      <c r="E1806" s="3" t="s">
        <v>76</v>
      </c>
      <c r="F1806" s="4">
        <v>43610</v>
      </c>
      <c r="G1806" s="3" t="s">
        <v>4730</v>
      </c>
      <c r="H1806" s="3" t="s">
        <v>5406</v>
      </c>
      <c r="I1806" s="3" t="s">
        <v>21</v>
      </c>
      <c r="J1806" s="5">
        <v>13952.4845480846</v>
      </c>
      <c r="K1806" s="3">
        <v>267</v>
      </c>
      <c r="L1806" s="3" t="s">
        <v>31</v>
      </c>
      <c r="M1806" s="4">
        <v>43621</v>
      </c>
      <c r="N1806" s="3" t="s">
        <v>23</v>
      </c>
      <c r="O1806" s="3" t="s">
        <v>47</v>
      </c>
      <c r="P1806" s="3" t="str">
        <f>IF(Table1[[#This Row],[Billing Amount]]&lt;5000,"Low",IF(Table1[[#This Row],[Billing Amount]]&lt;=15000,"Medium","High"))</f>
        <v>Medium</v>
      </c>
      <c r="Q1806" s="3" t="str">
        <f>IF(Table1[[#This Row],[Discharge Date]]="Yes","Discharged","Under Treatment")</f>
        <v>Under Treatment</v>
      </c>
      <c r="R1806" s="3" t="str">
        <f>IF(Table1[[#This Row],[Test Results]]&gt;120,"High Risk","Normal")</f>
        <v>High Risk</v>
      </c>
      <c r="S1806" s="3" t="str">
        <f>IF(Table1[[#This Row],[Age]]&lt;=18,"0-18",IF(Table1[[#This Row],[Age]]&lt;=35,"19-35",IF(Table1[[#This Row],[Age]]&lt;=50,"36-50",IF(Table1[[#This Row],[Age]]&lt;=65,"51-65","65+"))))</f>
        <v>19-35</v>
      </c>
    </row>
    <row r="1807" spans="1:19" x14ac:dyDescent="0.3">
      <c r="A1807" s="3" t="s">
        <v>5407</v>
      </c>
      <c r="B1807" s="3">
        <v>24</v>
      </c>
      <c r="C1807" s="3" t="s">
        <v>35</v>
      </c>
      <c r="D1807" s="3" t="s">
        <v>103</v>
      </c>
      <c r="E1807" s="3" t="s">
        <v>43</v>
      </c>
      <c r="F1807" s="4">
        <v>45013</v>
      </c>
      <c r="G1807" s="3" t="s">
        <v>5408</v>
      </c>
      <c r="H1807" s="3" t="s">
        <v>5409</v>
      </c>
      <c r="I1807" s="3" t="s">
        <v>39</v>
      </c>
      <c r="J1807" s="5">
        <v>26860.211342292099</v>
      </c>
      <c r="K1807" s="3">
        <v>109</v>
      </c>
      <c r="L1807" s="3" t="s">
        <v>46</v>
      </c>
      <c r="M1807" s="4">
        <v>45019</v>
      </c>
      <c r="N1807" s="3" t="s">
        <v>52</v>
      </c>
      <c r="O1807" s="3" t="s">
        <v>24</v>
      </c>
      <c r="P1807" s="3" t="str">
        <f>IF(Table1[[#This Row],[Billing Amount]]&lt;5000,"Low",IF(Table1[[#This Row],[Billing Amount]]&lt;=15000,"Medium","High"))</f>
        <v>High</v>
      </c>
      <c r="Q1807" s="3" t="str">
        <f>IF(Table1[[#This Row],[Discharge Date]]="Yes","Discharged","Under Treatment")</f>
        <v>Under Treatment</v>
      </c>
      <c r="R1807" s="3" t="str">
        <f>IF(Table1[[#This Row],[Test Results]]&gt;120,"High Risk","Normal")</f>
        <v>High Risk</v>
      </c>
      <c r="S1807" s="3" t="str">
        <f>IF(Table1[[#This Row],[Age]]&lt;=18,"0-18",IF(Table1[[#This Row],[Age]]&lt;=35,"19-35",IF(Table1[[#This Row],[Age]]&lt;=50,"36-50",IF(Table1[[#This Row],[Age]]&lt;=65,"51-65","65+"))))</f>
        <v>19-35</v>
      </c>
    </row>
    <row r="1808" spans="1:19" x14ac:dyDescent="0.3">
      <c r="A1808" s="3" t="s">
        <v>5410</v>
      </c>
      <c r="B1808" s="3">
        <v>18</v>
      </c>
      <c r="C1808" s="3" t="s">
        <v>35</v>
      </c>
      <c r="D1808" s="3" t="s">
        <v>49</v>
      </c>
      <c r="E1808" s="3" t="s">
        <v>43</v>
      </c>
      <c r="F1808" s="4">
        <v>43923</v>
      </c>
      <c r="G1808" s="3" t="s">
        <v>5411</v>
      </c>
      <c r="H1808" s="3" t="s">
        <v>1921</v>
      </c>
      <c r="I1808" s="3" t="s">
        <v>21</v>
      </c>
      <c r="J1808" s="5">
        <v>22066.457139374001</v>
      </c>
      <c r="K1808" s="3">
        <v>298</v>
      </c>
      <c r="L1808" s="3" t="s">
        <v>31</v>
      </c>
      <c r="M1808" s="4">
        <v>43948</v>
      </c>
      <c r="N1808" s="3" t="s">
        <v>23</v>
      </c>
      <c r="O1808" s="3" t="s">
        <v>24</v>
      </c>
      <c r="P1808" s="3" t="str">
        <f>IF(Table1[[#This Row],[Billing Amount]]&lt;5000,"Low",IF(Table1[[#This Row],[Billing Amount]]&lt;=15000,"Medium","High"))</f>
        <v>High</v>
      </c>
      <c r="Q1808" s="3" t="str">
        <f>IF(Table1[[#This Row],[Discharge Date]]="Yes","Discharged","Under Treatment")</f>
        <v>Under Treatment</v>
      </c>
      <c r="R1808" s="3" t="str">
        <f>IF(Table1[[#This Row],[Test Results]]&gt;120,"High Risk","Normal")</f>
        <v>High Risk</v>
      </c>
      <c r="S1808" s="3" t="str">
        <f>IF(Table1[[#This Row],[Age]]&lt;=18,"0-18",IF(Table1[[#This Row],[Age]]&lt;=35,"19-35",IF(Table1[[#This Row],[Age]]&lt;=50,"36-50",IF(Table1[[#This Row],[Age]]&lt;=65,"51-65","65+"))))</f>
        <v>0-18</v>
      </c>
    </row>
    <row r="1809" spans="1:19" x14ac:dyDescent="0.3">
      <c r="A1809" s="3" t="s">
        <v>5413</v>
      </c>
      <c r="B1809" s="3">
        <v>30</v>
      </c>
      <c r="C1809" s="3" t="s">
        <v>16</v>
      </c>
      <c r="D1809" s="3" t="s">
        <v>26</v>
      </c>
      <c r="E1809" s="3" t="s">
        <v>54</v>
      </c>
      <c r="F1809" s="4">
        <v>44613</v>
      </c>
      <c r="G1809" s="3" t="s">
        <v>5414</v>
      </c>
      <c r="H1809" s="3" t="s">
        <v>5023</v>
      </c>
      <c r="I1809" s="3" t="s">
        <v>57</v>
      </c>
      <c r="J1809" s="5">
        <v>17128.056417010299</v>
      </c>
      <c r="K1809" s="3">
        <v>171</v>
      </c>
      <c r="L1809" s="3" t="s">
        <v>31</v>
      </c>
      <c r="M1809" s="4">
        <v>44620</v>
      </c>
      <c r="N1809" s="3" t="s">
        <v>79</v>
      </c>
      <c r="O1809" s="3" t="s">
        <v>24</v>
      </c>
      <c r="P1809" s="3" t="str">
        <f>IF(Table1[[#This Row],[Billing Amount]]&lt;5000,"Low",IF(Table1[[#This Row],[Billing Amount]]&lt;=15000,"Medium","High"))</f>
        <v>High</v>
      </c>
      <c r="Q1809" s="3" t="str">
        <f>IF(Table1[[#This Row],[Discharge Date]]="Yes","Discharged","Under Treatment")</f>
        <v>Under Treatment</v>
      </c>
      <c r="R1809" s="3" t="str">
        <f>IF(Table1[[#This Row],[Test Results]]&gt;120,"High Risk","Normal")</f>
        <v>High Risk</v>
      </c>
      <c r="S1809" s="3" t="str">
        <f>IF(Table1[[#This Row],[Age]]&lt;=18,"0-18",IF(Table1[[#This Row],[Age]]&lt;=35,"19-35",IF(Table1[[#This Row],[Age]]&lt;=50,"36-50",IF(Table1[[#This Row],[Age]]&lt;=65,"51-65","65+"))))</f>
        <v>19-35</v>
      </c>
    </row>
    <row r="1810" spans="1:19" x14ac:dyDescent="0.3">
      <c r="A1810" s="3" t="s">
        <v>5415</v>
      </c>
      <c r="B1810" s="3">
        <v>71</v>
      </c>
      <c r="C1810" s="3" t="s">
        <v>16</v>
      </c>
      <c r="D1810" s="3" t="s">
        <v>26</v>
      </c>
      <c r="E1810" s="3" t="s">
        <v>76</v>
      </c>
      <c r="F1810" s="4">
        <v>43736</v>
      </c>
      <c r="G1810" s="3" t="s">
        <v>5416</v>
      </c>
      <c r="H1810" s="3" t="s">
        <v>5417</v>
      </c>
      <c r="I1810" s="3" t="s">
        <v>30</v>
      </c>
      <c r="J1810" s="5">
        <v>46539.4378084376</v>
      </c>
      <c r="K1810" s="3">
        <v>423</v>
      </c>
      <c r="L1810" s="3" t="s">
        <v>22</v>
      </c>
      <c r="M1810" s="4">
        <v>43765</v>
      </c>
      <c r="N1810" s="3" t="s">
        <v>40</v>
      </c>
      <c r="O1810" s="3" t="s">
        <v>47</v>
      </c>
      <c r="P1810" s="3" t="str">
        <f>IF(Table1[[#This Row],[Billing Amount]]&lt;5000,"Low",IF(Table1[[#This Row],[Billing Amount]]&lt;=15000,"Medium","High"))</f>
        <v>High</v>
      </c>
      <c r="Q1810" s="3" t="str">
        <f>IF(Table1[[#This Row],[Discharge Date]]="Yes","Discharged","Under Treatment")</f>
        <v>Under Treatment</v>
      </c>
      <c r="R1810" s="3" t="str">
        <f>IF(Table1[[#This Row],[Test Results]]&gt;120,"High Risk","Normal")</f>
        <v>High Risk</v>
      </c>
      <c r="S1810" s="3" t="str">
        <f>IF(Table1[[#This Row],[Age]]&lt;=18,"0-18",IF(Table1[[#This Row],[Age]]&lt;=35,"19-35",IF(Table1[[#This Row],[Age]]&lt;=50,"36-50",IF(Table1[[#This Row],[Age]]&lt;=65,"51-65","65+"))))</f>
        <v>65+</v>
      </c>
    </row>
    <row r="1811" spans="1:19" x14ac:dyDescent="0.3">
      <c r="A1811" s="3" t="s">
        <v>5418</v>
      </c>
      <c r="B1811" s="3">
        <v>47</v>
      </c>
      <c r="C1811" s="3" t="s">
        <v>35</v>
      </c>
      <c r="D1811" s="3" t="s">
        <v>42</v>
      </c>
      <c r="E1811" s="3" t="s">
        <v>43</v>
      </c>
      <c r="F1811" s="4">
        <v>44233</v>
      </c>
      <c r="G1811" s="3" t="s">
        <v>5419</v>
      </c>
      <c r="H1811" s="3" t="s">
        <v>5420</v>
      </c>
      <c r="I1811" s="3" t="s">
        <v>30</v>
      </c>
      <c r="J1811" s="5">
        <v>15981.0970163121</v>
      </c>
      <c r="K1811" s="3">
        <v>470</v>
      </c>
      <c r="L1811" s="3" t="s">
        <v>22</v>
      </c>
      <c r="M1811" s="4">
        <v>44251</v>
      </c>
      <c r="N1811" s="3" t="s">
        <v>79</v>
      </c>
      <c r="O1811" s="3" t="s">
        <v>24</v>
      </c>
      <c r="P1811" s="3" t="str">
        <f>IF(Table1[[#This Row],[Billing Amount]]&lt;5000,"Low",IF(Table1[[#This Row],[Billing Amount]]&lt;=15000,"Medium","High"))</f>
        <v>High</v>
      </c>
      <c r="Q1811" s="3" t="str">
        <f>IF(Table1[[#This Row],[Discharge Date]]="Yes","Discharged","Under Treatment")</f>
        <v>Under Treatment</v>
      </c>
      <c r="R1811" s="3" t="str">
        <f>IF(Table1[[#This Row],[Test Results]]&gt;120,"High Risk","Normal")</f>
        <v>High Risk</v>
      </c>
      <c r="S1811" s="3" t="str">
        <f>IF(Table1[[#This Row],[Age]]&lt;=18,"0-18",IF(Table1[[#This Row],[Age]]&lt;=35,"19-35",IF(Table1[[#This Row],[Age]]&lt;=50,"36-50",IF(Table1[[#This Row],[Age]]&lt;=65,"51-65","65+"))))</f>
        <v>36-50</v>
      </c>
    </row>
    <row r="1812" spans="1:19" x14ac:dyDescent="0.3">
      <c r="A1812" s="3" t="s">
        <v>5421</v>
      </c>
      <c r="B1812" s="3">
        <v>63</v>
      </c>
      <c r="C1812" s="3" t="s">
        <v>16</v>
      </c>
      <c r="D1812" s="3" t="s">
        <v>49</v>
      </c>
      <c r="E1812" s="3" t="s">
        <v>54</v>
      </c>
      <c r="F1812" s="4">
        <v>43877</v>
      </c>
      <c r="G1812" s="3" t="s">
        <v>5363</v>
      </c>
      <c r="H1812" s="3" t="s">
        <v>5422</v>
      </c>
      <c r="I1812" s="3" t="s">
        <v>65</v>
      </c>
      <c r="J1812" s="5">
        <v>40071.509711246501</v>
      </c>
      <c r="K1812" s="3">
        <v>159</v>
      </c>
      <c r="L1812" s="3" t="s">
        <v>46</v>
      </c>
      <c r="M1812" s="4">
        <v>43897</v>
      </c>
      <c r="N1812" s="3" t="s">
        <v>52</v>
      </c>
      <c r="O1812" s="3" t="s">
        <v>24</v>
      </c>
      <c r="P1812" s="3" t="str">
        <f>IF(Table1[[#This Row],[Billing Amount]]&lt;5000,"Low",IF(Table1[[#This Row],[Billing Amount]]&lt;=15000,"Medium","High"))</f>
        <v>High</v>
      </c>
      <c r="Q1812" s="3" t="str">
        <f>IF(Table1[[#This Row],[Discharge Date]]="Yes","Discharged","Under Treatment")</f>
        <v>Under Treatment</v>
      </c>
      <c r="R1812" s="3" t="str">
        <f>IF(Table1[[#This Row],[Test Results]]&gt;120,"High Risk","Normal")</f>
        <v>High Risk</v>
      </c>
      <c r="S1812" s="3" t="str">
        <f>IF(Table1[[#This Row],[Age]]&lt;=18,"0-18",IF(Table1[[#This Row],[Age]]&lt;=35,"19-35",IF(Table1[[#This Row],[Age]]&lt;=50,"36-50",IF(Table1[[#This Row],[Age]]&lt;=65,"51-65","65+"))))</f>
        <v>51-65</v>
      </c>
    </row>
    <row r="1813" spans="1:19" x14ac:dyDescent="0.3">
      <c r="A1813" s="3" t="s">
        <v>5423</v>
      </c>
      <c r="B1813" s="3">
        <v>18</v>
      </c>
      <c r="C1813" s="3" t="s">
        <v>35</v>
      </c>
      <c r="D1813" s="3" t="s">
        <v>103</v>
      </c>
      <c r="E1813" s="3" t="s">
        <v>18</v>
      </c>
      <c r="F1813" s="4">
        <v>44399</v>
      </c>
      <c r="G1813" s="3" t="s">
        <v>5424</v>
      </c>
      <c r="H1813" s="3" t="s">
        <v>2400</v>
      </c>
      <c r="I1813" s="3" t="s">
        <v>30</v>
      </c>
      <c r="J1813" s="5">
        <v>28975.6264269204</v>
      </c>
      <c r="K1813" s="3">
        <v>488</v>
      </c>
      <c r="L1813" s="3" t="s">
        <v>22</v>
      </c>
      <c r="M1813" s="4">
        <v>44425</v>
      </c>
      <c r="N1813" s="3" t="s">
        <v>32</v>
      </c>
      <c r="O1813" s="3" t="s">
        <v>47</v>
      </c>
      <c r="P1813" s="3" t="str">
        <f>IF(Table1[[#This Row],[Billing Amount]]&lt;5000,"Low",IF(Table1[[#This Row],[Billing Amount]]&lt;=15000,"Medium","High"))</f>
        <v>High</v>
      </c>
      <c r="Q1813" s="3" t="str">
        <f>IF(Table1[[#This Row],[Discharge Date]]="Yes","Discharged","Under Treatment")</f>
        <v>Under Treatment</v>
      </c>
      <c r="R1813" s="3" t="str">
        <f>IF(Table1[[#This Row],[Test Results]]&gt;120,"High Risk","Normal")</f>
        <v>High Risk</v>
      </c>
      <c r="S1813" s="3" t="str">
        <f>IF(Table1[[#This Row],[Age]]&lt;=18,"0-18",IF(Table1[[#This Row],[Age]]&lt;=35,"19-35",IF(Table1[[#This Row],[Age]]&lt;=50,"36-50",IF(Table1[[#This Row],[Age]]&lt;=65,"51-65","65+"))))</f>
        <v>0-18</v>
      </c>
    </row>
    <row r="1814" spans="1:19" x14ac:dyDescent="0.3">
      <c r="A1814" s="3" t="s">
        <v>5425</v>
      </c>
      <c r="B1814" s="3">
        <v>50</v>
      </c>
      <c r="C1814" s="3" t="s">
        <v>16</v>
      </c>
      <c r="D1814" s="3" t="s">
        <v>17</v>
      </c>
      <c r="E1814" s="3" t="s">
        <v>27</v>
      </c>
      <c r="F1814" s="4">
        <v>44133</v>
      </c>
      <c r="G1814" s="3" t="s">
        <v>5426</v>
      </c>
      <c r="H1814" s="3" t="s">
        <v>5427</v>
      </c>
      <c r="I1814" s="3" t="s">
        <v>21</v>
      </c>
      <c r="J1814" s="5">
        <v>9235.2550046567394</v>
      </c>
      <c r="K1814" s="3">
        <v>476</v>
      </c>
      <c r="L1814" s="3" t="s">
        <v>22</v>
      </c>
      <c r="M1814" s="4">
        <v>44156</v>
      </c>
      <c r="N1814" s="3" t="s">
        <v>52</v>
      </c>
      <c r="O1814" s="3" t="s">
        <v>24</v>
      </c>
      <c r="P1814" s="3" t="str">
        <f>IF(Table1[[#This Row],[Billing Amount]]&lt;5000,"Low",IF(Table1[[#This Row],[Billing Amount]]&lt;=15000,"Medium","High"))</f>
        <v>Medium</v>
      </c>
      <c r="Q1814" s="3" t="str">
        <f>IF(Table1[[#This Row],[Discharge Date]]="Yes","Discharged","Under Treatment")</f>
        <v>Under Treatment</v>
      </c>
      <c r="R1814" s="3" t="str">
        <f>IF(Table1[[#This Row],[Test Results]]&gt;120,"High Risk","Normal")</f>
        <v>High Risk</v>
      </c>
      <c r="S1814" s="3" t="str">
        <f>IF(Table1[[#This Row],[Age]]&lt;=18,"0-18",IF(Table1[[#This Row],[Age]]&lt;=35,"19-35",IF(Table1[[#This Row],[Age]]&lt;=50,"36-50",IF(Table1[[#This Row],[Age]]&lt;=65,"51-65","65+"))))</f>
        <v>36-50</v>
      </c>
    </row>
    <row r="1815" spans="1:19" x14ac:dyDescent="0.3">
      <c r="A1815" s="3" t="s">
        <v>5428</v>
      </c>
      <c r="B1815" s="3">
        <v>29</v>
      </c>
      <c r="C1815" s="3" t="s">
        <v>35</v>
      </c>
      <c r="D1815" s="3" t="s">
        <v>36</v>
      </c>
      <c r="E1815" s="3" t="s">
        <v>93</v>
      </c>
      <c r="F1815" s="4">
        <v>43645</v>
      </c>
      <c r="G1815" s="3" t="s">
        <v>5429</v>
      </c>
      <c r="H1815" s="3" t="s">
        <v>2645</v>
      </c>
      <c r="I1815" s="3" t="s">
        <v>57</v>
      </c>
      <c r="J1815" s="5">
        <v>4569.7333059809398</v>
      </c>
      <c r="K1815" s="3">
        <v>376</v>
      </c>
      <c r="L1815" s="3" t="s">
        <v>22</v>
      </c>
      <c r="M1815" s="4">
        <v>43663</v>
      </c>
      <c r="N1815" s="3" t="s">
        <v>79</v>
      </c>
      <c r="O1815" s="3" t="s">
        <v>33</v>
      </c>
      <c r="P1815" s="3" t="str">
        <f>IF(Table1[[#This Row],[Billing Amount]]&lt;5000,"Low",IF(Table1[[#This Row],[Billing Amount]]&lt;=15000,"Medium","High"))</f>
        <v>Low</v>
      </c>
      <c r="Q1815" s="3" t="str">
        <f>IF(Table1[[#This Row],[Discharge Date]]="Yes","Discharged","Under Treatment")</f>
        <v>Under Treatment</v>
      </c>
      <c r="R1815" s="3" t="str">
        <f>IF(Table1[[#This Row],[Test Results]]&gt;120,"High Risk","Normal")</f>
        <v>High Risk</v>
      </c>
      <c r="S1815" s="3" t="str">
        <f>IF(Table1[[#This Row],[Age]]&lt;=18,"0-18",IF(Table1[[#This Row],[Age]]&lt;=35,"19-35",IF(Table1[[#This Row],[Age]]&lt;=50,"36-50",IF(Table1[[#This Row],[Age]]&lt;=65,"51-65","65+"))))</f>
        <v>19-35</v>
      </c>
    </row>
    <row r="1816" spans="1:19" x14ac:dyDescent="0.3">
      <c r="A1816" s="3" t="s">
        <v>5430</v>
      </c>
      <c r="B1816" s="3">
        <v>19</v>
      </c>
      <c r="C1816" s="3" t="s">
        <v>16</v>
      </c>
      <c r="D1816" s="3" t="s">
        <v>26</v>
      </c>
      <c r="E1816" s="3" t="s">
        <v>54</v>
      </c>
      <c r="F1816" s="4">
        <v>43745</v>
      </c>
      <c r="G1816" s="3" t="s">
        <v>5431</v>
      </c>
      <c r="H1816" s="3" t="s">
        <v>5432</v>
      </c>
      <c r="I1816" s="3" t="s">
        <v>57</v>
      </c>
      <c r="J1816" s="5">
        <v>18100.433078296301</v>
      </c>
      <c r="K1816" s="3">
        <v>201</v>
      </c>
      <c r="L1816" s="3" t="s">
        <v>22</v>
      </c>
      <c r="M1816" s="4">
        <v>43764</v>
      </c>
      <c r="N1816" s="3" t="s">
        <v>79</v>
      </c>
      <c r="O1816" s="3" t="s">
        <v>24</v>
      </c>
      <c r="P1816" s="3" t="str">
        <f>IF(Table1[[#This Row],[Billing Amount]]&lt;5000,"Low",IF(Table1[[#This Row],[Billing Amount]]&lt;=15000,"Medium","High"))</f>
        <v>High</v>
      </c>
      <c r="Q1816" s="3" t="str">
        <f>IF(Table1[[#This Row],[Discharge Date]]="Yes","Discharged","Under Treatment")</f>
        <v>Under Treatment</v>
      </c>
      <c r="R1816" s="3" t="str">
        <f>IF(Table1[[#This Row],[Test Results]]&gt;120,"High Risk","Normal")</f>
        <v>High Risk</v>
      </c>
      <c r="S1816" s="3" t="str">
        <f>IF(Table1[[#This Row],[Age]]&lt;=18,"0-18",IF(Table1[[#This Row],[Age]]&lt;=35,"19-35",IF(Table1[[#This Row],[Age]]&lt;=50,"36-50",IF(Table1[[#This Row],[Age]]&lt;=65,"51-65","65+"))))</f>
        <v>19-35</v>
      </c>
    </row>
    <row r="1817" spans="1:19" x14ac:dyDescent="0.3">
      <c r="A1817" s="3" t="s">
        <v>5433</v>
      </c>
      <c r="B1817" s="3">
        <v>83</v>
      </c>
      <c r="C1817" s="3" t="s">
        <v>16</v>
      </c>
      <c r="D1817" s="3" t="s">
        <v>42</v>
      </c>
      <c r="E1817" s="3" t="s">
        <v>76</v>
      </c>
      <c r="F1817" s="4">
        <v>44895</v>
      </c>
      <c r="G1817" s="3" t="s">
        <v>5434</v>
      </c>
      <c r="H1817" s="3" t="s">
        <v>5435</v>
      </c>
      <c r="I1817" s="3" t="s">
        <v>57</v>
      </c>
      <c r="J1817" s="5">
        <v>15546.283962134001</v>
      </c>
      <c r="K1817" s="3">
        <v>279</v>
      </c>
      <c r="L1817" s="3" t="s">
        <v>22</v>
      </c>
      <c r="M1817" s="4">
        <v>44910</v>
      </c>
      <c r="N1817" s="3" t="s">
        <v>32</v>
      </c>
      <c r="O1817" s="3" t="s">
        <v>33</v>
      </c>
      <c r="P1817" s="3" t="str">
        <f>IF(Table1[[#This Row],[Billing Amount]]&lt;5000,"Low",IF(Table1[[#This Row],[Billing Amount]]&lt;=15000,"Medium","High"))</f>
        <v>High</v>
      </c>
      <c r="Q1817" s="3" t="str">
        <f>IF(Table1[[#This Row],[Discharge Date]]="Yes","Discharged","Under Treatment")</f>
        <v>Under Treatment</v>
      </c>
      <c r="R1817" s="3" t="str">
        <f>IF(Table1[[#This Row],[Test Results]]&gt;120,"High Risk","Normal")</f>
        <v>High Risk</v>
      </c>
      <c r="S1817" s="3" t="str">
        <f>IF(Table1[[#This Row],[Age]]&lt;=18,"0-18",IF(Table1[[#This Row],[Age]]&lt;=35,"19-35",IF(Table1[[#This Row],[Age]]&lt;=50,"36-50",IF(Table1[[#This Row],[Age]]&lt;=65,"51-65","65+"))))</f>
        <v>65+</v>
      </c>
    </row>
    <row r="1818" spans="1:19" x14ac:dyDescent="0.3">
      <c r="A1818" s="3" t="s">
        <v>5436</v>
      </c>
      <c r="B1818" s="3">
        <v>77</v>
      </c>
      <c r="C1818" s="3" t="s">
        <v>16</v>
      </c>
      <c r="D1818" s="3" t="s">
        <v>42</v>
      </c>
      <c r="E1818" s="3" t="s">
        <v>54</v>
      </c>
      <c r="F1818" s="4">
        <v>44990</v>
      </c>
      <c r="G1818" s="3" t="s">
        <v>5437</v>
      </c>
      <c r="H1818" s="3" t="s">
        <v>5438</v>
      </c>
      <c r="I1818" s="3" t="s">
        <v>65</v>
      </c>
      <c r="J1818" s="5">
        <v>36273.7035525631</v>
      </c>
      <c r="K1818" s="3">
        <v>360</v>
      </c>
      <c r="L1818" s="3" t="s">
        <v>31</v>
      </c>
      <c r="M1818" s="4">
        <v>45019</v>
      </c>
      <c r="N1818" s="3" t="s">
        <v>40</v>
      </c>
      <c r="O1818" s="3" t="s">
        <v>33</v>
      </c>
      <c r="P1818" s="3" t="str">
        <f>IF(Table1[[#This Row],[Billing Amount]]&lt;5000,"Low",IF(Table1[[#This Row],[Billing Amount]]&lt;=15000,"Medium","High"))</f>
        <v>High</v>
      </c>
      <c r="Q1818" s="3" t="str">
        <f>IF(Table1[[#This Row],[Discharge Date]]="Yes","Discharged","Under Treatment")</f>
        <v>Under Treatment</v>
      </c>
      <c r="R1818" s="3" t="str">
        <f>IF(Table1[[#This Row],[Test Results]]&gt;120,"High Risk","Normal")</f>
        <v>High Risk</v>
      </c>
      <c r="S1818" s="3" t="str">
        <f>IF(Table1[[#This Row],[Age]]&lt;=18,"0-18",IF(Table1[[#This Row],[Age]]&lt;=35,"19-35",IF(Table1[[#This Row],[Age]]&lt;=50,"36-50",IF(Table1[[#This Row],[Age]]&lt;=65,"51-65","65+"))))</f>
        <v>65+</v>
      </c>
    </row>
    <row r="1819" spans="1:19" x14ac:dyDescent="0.3">
      <c r="A1819" s="3" t="s">
        <v>5439</v>
      </c>
      <c r="B1819" s="3">
        <v>82</v>
      </c>
      <c r="C1819" s="3" t="s">
        <v>16</v>
      </c>
      <c r="D1819" s="3" t="s">
        <v>49</v>
      </c>
      <c r="E1819" s="3" t="s">
        <v>18</v>
      </c>
      <c r="F1819" s="4">
        <v>45384</v>
      </c>
      <c r="G1819" s="3" t="s">
        <v>5440</v>
      </c>
      <c r="H1819" s="3" t="s">
        <v>5441</v>
      </c>
      <c r="I1819" s="3" t="s">
        <v>21</v>
      </c>
      <c r="J1819" s="5">
        <v>32004.820772266201</v>
      </c>
      <c r="K1819" s="3">
        <v>279</v>
      </c>
      <c r="L1819" s="3" t="s">
        <v>31</v>
      </c>
      <c r="M1819" s="4">
        <v>45394</v>
      </c>
      <c r="N1819" s="3" t="s">
        <v>79</v>
      </c>
      <c r="O1819" s="3" t="s">
        <v>24</v>
      </c>
      <c r="P1819" s="3" t="str">
        <f>IF(Table1[[#This Row],[Billing Amount]]&lt;5000,"Low",IF(Table1[[#This Row],[Billing Amount]]&lt;=15000,"Medium","High"))</f>
        <v>High</v>
      </c>
      <c r="Q1819" s="3" t="str">
        <f>IF(Table1[[#This Row],[Discharge Date]]="Yes","Discharged","Under Treatment")</f>
        <v>Under Treatment</v>
      </c>
      <c r="R1819" s="3" t="str">
        <f>IF(Table1[[#This Row],[Test Results]]&gt;120,"High Risk","Normal")</f>
        <v>High Risk</v>
      </c>
      <c r="S1819" s="3" t="str">
        <f>IF(Table1[[#This Row],[Age]]&lt;=18,"0-18",IF(Table1[[#This Row],[Age]]&lt;=35,"19-35",IF(Table1[[#This Row],[Age]]&lt;=50,"36-50",IF(Table1[[#This Row],[Age]]&lt;=65,"51-65","65+"))))</f>
        <v>65+</v>
      </c>
    </row>
    <row r="1820" spans="1:19" x14ac:dyDescent="0.3">
      <c r="A1820" s="3" t="s">
        <v>5442</v>
      </c>
      <c r="B1820" s="3">
        <v>74</v>
      </c>
      <c r="C1820" s="3" t="s">
        <v>16</v>
      </c>
      <c r="D1820" s="3" t="s">
        <v>42</v>
      </c>
      <c r="E1820" s="3" t="s">
        <v>76</v>
      </c>
      <c r="F1820" s="4">
        <v>45045</v>
      </c>
      <c r="G1820" s="3" t="s">
        <v>5443</v>
      </c>
      <c r="H1820" s="3" t="s">
        <v>5444</v>
      </c>
      <c r="I1820" s="3" t="s">
        <v>65</v>
      </c>
      <c r="J1820" s="5">
        <v>42505.203990775699</v>
      </c>
      <c r="K1820" s="3">
        <v>235</v>
      </c>
      <c r="L1820" s="3" t="s">
        <v>46</v>
      </c>
      <c r="M1820" s="4">
        <v>45073</v>
      </c>
      <c r="N1820" s="3" t="s">
        <v>79</v>
      </c>
      <c r="O1820" s="3" t="s">
        <v>47</v>
      </c>
      <c r="P1820" s="3" t="str">
        <f>IF(Table1[[#This Row],[Billing Amount]]&lt;5000,"Low",IF(Table1[[#This Row],[Billing Amount]]&lt;=15000,"Medium","High"))</f>
        <v>High</v>
      </c>
      <c r="Q1820" s="3" t="str">
        <f>IF(Table1[[#This Row],[Discharge Date]]="Yes","Discharged","Under Treatment")</f>
        <v>Under Treatment</v>
      </c>
      <c r="R1820" s="3" t="str">
        <f>IF(Table1[[#This Row],[Test Results]]&gt;120,"High Risk","Normal")</f>
        <v>High Risk</v>
      </c>
      <c r="S1820" s="3" t="str">
        <f>IF(Table1[[#This Row],[Age]]&lt;=18,"0-18",IF(Table1[[#This Row],[Age]]&lt;=35,"19-35",IF(Table1[[#This Row],[Age]]&lt;=50,"36-50",IF(Table1[[#This Row],[Age]]&lt;=65,"51-65","65+"))))</f>
        <v>65+</v>
      </c>
    </row>
    <row r="1821" spans="1:19" x14ac:dyDescent="0.3">
      <c r="A1821" s="3" t="s">
        <v>5445</v>
      </c>
      <c r="B1821" s="3">
        <v>64</v>
      </c>
      <c r="C1821" s="3" t="s">
        <v>16</v>
      </c>
      <c r="D1821" s="3" t="s">
        <v>49</v>
      </c>
      <c r="E1821" s="3" t="s">
        <v>18</v>
      </c>
      <c r="F1821" s="4">
        <v>43643</v>
      </c>
      <c r="G1821" s="3" t="s">
        <v>5446</v>
      </c>
      <c r="H1821" s="3" t="s">
        <v>5447</v>
      </c>
      <c r="I1821" s="3" t="s">
        <v>57</v>
      </c>
      <c r="J1821" s="5">
        <v>18664.3731111009</v>
      </c>
      <c r="K1821" s="3">
        <v>496</v>
      </c>
      <c r="L1821" s="3" t="s">
        <v>46</v>
      </c>
      <c r="M1821" s="4">
        <v>43668</v>
      </c>
      <c r="N1821" s="3" t="s">
        <v>32</v>
      </c>
      <c r="O1821" s="3" t="s">
        <v>24</v>
      </c>
      <c r="P1821" s="3" t="str">
        <f>IF(Table1[[#This Row],[Billing Amount]]&lt;5000,"Low",IF(Table1[[#This Row],[Billing Amount]]&lt;=15000,"Medium","High"))</f>
        <v>High</v>
      </c>
      <c r="Q1821" s="3" t="str">
        <f>IF(Table1[[#This Row],[Discharge Date]]="Yes","Discharged","Under Treatment")</f>
        <v>Under Treatment</v>
      </c>
      <c r="R1821" s="3" t="str">
        <f>IF(Table1[[#This Row],[Test Results]]&gt;120,"High Risk","Normal")</f>
        <v>High Risk</v>
      </c>
      <c r="S1821" s="3" t="str">
        <f>IF(Table1[[#This Row],[Age]]&lt;=18,"0-18",IF(Table1[[#This Row],[Age]]&lt;=35,"19-35",IF(Table1[[#This Row],[Age]]&lt;=50,"36-50",IF(Table1[[#This Row],[Age]]&lt;=65,"51-65","65+"))))</f>
        <v>51-65</v>
      </c>
    </row>
    <row r="1822" spans="1:19" x14ac:dyDescent="0.3">
      <c r="A1822" s="3" t="s">
        <v>5448</v>
      </c>
      <c r="B1822" s="3">
        <v>67</v>
      </c>
      <c r="C1822" s="3" t="s">
        <v>16</v>
      </c>
      <c r="D1822" s="3" t="s">
        <v>42</v>
      </c>
      <c r="E1822" s="3" t="s">
        <v>43</v>
      </c>
      <c r="F1822" s="4">
        <v>44984</v>
      </c>
      <c r="G1822" s="3" t="s">
        <v>5449</v>
      </c>
      <c r="H1822" s="3" t="s">
        <v>5450</v>
      </c>
      <c r="I1822" s="3" t="s">
        <v>65</v>
      </c>
      <c r="J1822" s="5">
        <v>13676.1092819599</v>
      </c>
      <c r="K1822" s="3">
        <v>154</v>
      </c>
      <c r="L1822" s="3" t="s">
        <v>31</v>
      </c>
      <c r="M1822" s="4">
        <v>45006</v>
      </c>
      <c r="N1822" s="3" t="s">
        <v>32</v>
      </c>
      <c r="O1822" s="3" t="s">
        <v>24</v>
      </c>
      <c r="P1822" s="3" t="str">
        <f>IF(Table1[[#This Row],[Billing Amount]]&lt;5000,"Low",IF(Table1[[#This Row],[Billing Amount]]&lt;=15000,"Medium","High"))</f>
        <v>Medium</v>
      </c>
      <c r="Q1822" s="3" t="str">
        <f>IF(Table1[[#This Row],[Discharge Date]]="Yes","Discharged","Under Treatment")</f>
        <v>Under Treatment</v>
      </c>
      <c r="R1822" s="3" t="str">
        <f>IF(Table1[[#This Row],[Test Results]]&gt;120,"High Risk","Normal")</f>
        <v>High Risk</v>
      </c>
      <c r="S1822" s="3" t="str">
        <f>IF(Table1[[#This Row],[Age]]&lt;=18,"0-18",IF(Table1[[#This Row],[Age]]&lt;=35,"19-35",IF(Table1[[#This Row],[Age]]&lt;=50,"36-50",IF(Table1[[#This Row],[Age]]&lt;=65,"51-65","65+"))))</f>
        <v>65+</v>
      </c>
    </row>
    <row r="1823" spans="1:19" x14ac:dyDescent="0.3">
      <c r="A1823" s="3" t="s">
        <v>5451</v>
      </c>
      <c r="B1823" s="3">
        <v>78</v>
      </c>
      <c r="C1823" s="3" t="s">
        <v>16</v>
      </c>
      <c r="D1823" s="3" t="s">
        <v>103</v>
      </c>
      <c r="E1823" s="3" t="s">
        <v>43</v>
      </c>
      <c r="F1823" s="4">
        <v>45282</v>
      </c>
      <c r="G1823" s="3" t="s">
        <v>5452</v>
      </c>
      <c r="H1823" s="3" t="s">
        <v>5453</v>
      </c>
      <c r="I1823" s="3" t="s">
        <v>57</v>
      </c>
      <c r="J1823" s="5">
        <v>12650.365030703701</v>
      </c>
      <c r="K1823" s="3">
        <v>368</v>
      </c>
      <c r="L1823" s="3" t="s">
        <v>31</v>
      </c>
      <c r="M1823" s="4">
        <v>45308</v>
      </c>
      <c r="N1823" s="3" t="s">
        <v>79</v>
      </c>
      <c r="O1823" s="3" t="s">
        <v>33</v>
      </c>
      <c r="P1823" s="3" t="str">
        <f>IF(Table1[[#This Row],[Billing Amount]]&lt;5000,"Low",IF(Table1[[#This Row],[Billing Amount]]&lt;=15000,"Medium","High"))</f>
        <v>Medium</v>
      </c>
      <c r="Q1823" s="3" t="str">
        <f>IF(Table1[[#This Row],[Discharge Date]]="Yes","Discharged","Under Treatment")</f>
        <v>Under Treatment</v>
      </c>
      <c r="R1823" s="3" t="str">
        <f>IF(Table1[[#This Row],[Test Results]]&gt;120,"High Risk","Normal")</f>
        <v>High Risk</v>
      </c>
      <c r="S1823" s="3" t="str">
        <f>IF(Table1[[#This Row],[Age]]&lt;=18,"0-18",IF(Table1[[#This Row],[Age]]&lt;=35,"19-35",IF(Table1[[#This Row],[Age]]&lt;=50,"36-50",IF(Table1[[#This Row],[Age]]&lt;=65,"51-65","65+"))))</f>
        <v>65+</v>
      </c>
    </row>
    <row r="1824" spans="1:19" x14ac:dyDescent="0.3">
      <c r="A1824" s="3" t="s">
        <v>5454</v>
      </c>
      <c r="B1824" s="3">
        <v>63</v>
      </c>
      <c r="C1824" s="3" t="s">
        <v>16</v>
      </c>
      <c r="D1824" s="3" t="s">
        <v>26</v>
      </c>
      <c r="E1824" s="3" t="s">
        <v>43</v>
      </c>
      <c r="F1824" s="4">
        <v>44610</v>
      </c>
      <c r="G1824" s="3" t="s">
        <v>5455</v>
      </c>
      <c r="H1824" s="3" t="s">
        <v>5456</v>
      </c>
      <c r="I1824" s="3" t="s">
        <v>21</v>
      </c>
      <c r="J1824" s="5">
        <v>17255.789902997702</v>
      </c>
      <c r="K1824" s="3">
        <v>387</v>
      </c>
      <c r="L1824" s="3" t="s">
        <v>22</v>
      </c>
      <c r="M1824" s="4">
        <v>44636</v>
      </c>
      <c r="N1824" s="3" t="s">
        <v>79</v>
      </c>
      <c r="O1824" s="3" t="s">
        <v>47</v>
      </c>
      <c r="P1824" s="3" t="str">
        <f>IF(Table1[[#This Row],[Billing Amount]]&lt;5000,"Low",IF(Table1[[#This Row],[Billing Amount]]&lt;=15000,"Medium","High"))</f>
        <v>High</v>
      </c>
      <c r="Q1824" s="3" t="str">
        <f>IF(Table1[[#This Row],[Discharge Date]]="Yes","Discharged","Under Treatment")</f>
        <v>Under Treatment</v>
      </c>
      <c r="R1824" s="3" t="str">
        <f>IF(Table1[[#This Row],[Test Results]]&gt;120,"High Risk","Normal")</f>
        <v>High Risk</v>
      </c>
      <c r="S1824" s="3" t="str">
        <f>IF(Table1[[#This Row],[Age]]&lt;=18,"0-18",IF(Table1[[#This Row],[Age]]&lt;=35,"19-35",IF(Table1[[#This Row],[Age]]&lt;=50,"36-50",IF(Table1[[#This Row],[Age]]&lt;=65,"51-65","65+"))))</f>
        <v>51-65</v>
      </c>
    </row>
    <row r="1825" spans="1:19" x14ac:dyDescent="0.3">
      <c r="A1825" s="3" t="s">
        <v>5457</v>
      </c>
      <c r="B1825" s="3">
        <v>38</v>
      </c>
      <c r="C1825" s="3" t="s">
        <v>16</v>
      </c>
      <c r="D1825" s="3" t="s">
        <v>26</v>
      </c>
      <c r="E1825" s="3" t="s">
        <v>43</v>
      </c>
      <c r="F1825" s="4">
        <v>45317</v>
      </c>
      <c r="G1825" s="3" t="s">
        <v>5458</v>
      </c>
      <c r="H1825" s="3" t="s">
        <v>5459</v>
      </c>
      <c r="I1825" s="3" t="s">
        <v>39</v>
      </c>
      <c r="J1825" s="5">
        <v>31905.4803692471</v>
      </c>
      <c r="K1825" s="3">
        <v>180</v>
      </c>
      <c r="L1825" s="3" t="s">
        <v>46</v>
      </c>
      <c r="M1825" s="4">
        <v>45329</v>
      </c>
      <c r="N1825" s="3" t="s">
        <v>40</v>
      </c>
      <c r="O1825" s="3" t="s">
        <v>33</v>
      </c>
      <c r="P1825" s="3" t="str">
        <f>IF(Table1[[#This Row],[Billing Amount]]&lt;5000,"Low",IF(Table1[[#This Row],[Billing Amount]]&lt;=15000,"Medium","High"))</f>
        <v>High</v>
      </c>
      <c r="Q1825" s="3" t="str">
        <f>IF(Table1[[#This Row],[Discharge Date]]="Yes","Discharged","Under Treatment")</f>
        <v>Under Treatment</v>
      </c>
      <c r="R1825" s="3" t="str">
        <f>IF(Table1[[#This Row],[Test Results]]&gt;120,"High Risk","Normal")</f>
        <v>High Risk</v>
      </c>
      <c r="S1825" s="3" t="str">
        <f>IF(Table1[[#This Row],[Age]]&lt;=18,"0-18",IF(Table1[[#This Row],[Age]]&lt;=35,"19-35",IF(Table1[[#This Row],[Age]]&lt;=50,"36-50",IF(Table1[[#This Row],[Age]]&lt;=65,"51-65","65+"))))</f>
        <v>36-50</v>
      </c>
    </row>
    <row r="1826" spans="1:19" x14ac:dyDescent="0.3">
      <c r="A1826" s="3" t="s">
        <v>5460</v>
      </c>
      <c r="B1826" s="3">
        <v>59</v>
      </c>
      <c r="C1826" s="3" t="s">
        <v>35</v>
      </c>
      <c r="D1826" s="3" t="s">
        <v>26</v>
      </c>
      <c r="E1826" s="3" t="s">
        <v>27</v>
      </c>
      <c r="F1826" s="4">
        <v>43616</v>
      </c>
      <c r="G1826" s="3" t="s">
        <v>5412</v>
      </c>
      <c r="H1826" s="3" t="s">
        <v>5461</v>
      </c>
      <c r="I1826" s="3" t="s">
        <v>57</v>
      </c>
      <c r="J1826" s="5">
        <v>24014.590500122202</v>
      </c>
      <c r="K1826" s="3">
        <v>307</v>
      </c>
      <c r="L1826" s="3" t="s">
        <v>22</v>
      </c>
      <c r="M1826" s="4">
        <v>43627</v>
      </c>
      <c r="N1826" s="3" t="s">
        <v>79</v>
      </c>
      <c r="O1826" s="3" t="s">
        <v>33</v>
      </c>
      <c r="P1826" s="3" t="str">
        <f>IF(Table1[[#This Row],[Billing Amount]]&lt;5000,"Low",IF(Table1[[#This Row],[Billing Amount]]&lt;=15000,"Medium","High"))</f>
        <v>High</v>
      </c>
      <c r="Q1826" s="3" t="str">
        <f>IF(Table1[[#This Row],[Discharge Date]]="Yes","Discharged","Under Treatment")</f>
        <v>Under Treatment</v>
      </c>
      <c r="R1826" s="3" t="str">
        <f>IF(Table1[[#This Row],[Test Results]]&gt;120,"High Risk","Normal")</f>
        <v>High Risk</v>
      </c>
      <c r="S1826" s="3" t="str">
        <f>IF(Table1[[#This Row],[Age]]&lt;=18,"0-18",IF(Table1[[#This Row],[Age]]&lt;=35,"19-35",IF(Table1[[#This Row],[Age]]&lt;=50,"36-50",IF(Table1[[#This Row],[Age]]&lt;=65,"51-65","65+"))))</f>
        <v>51-65</v>
      </c>
    </row>
    <row r="1827" spans="1:19" x14ac:dyDescent="0.3">
      <c r="A1827" s="3" t="s">
        <v>5462</v>
      </c>
      <c r="B1827" s="3">
        <v>84</v>
      </c>
      <c r="C1827" s="3" t="s">
        <v>35</v>
      </c>
      <c r="D1827" s="3" t="s">
        <v>42</v>
      </c>
      <c r="E1827" s="3" t="s">
        <v>27</v>
      </c>
      <c r="F1827" s="4">
        <v>45211</v>
      </c>
      <c r="G1827" s="3" t="s">
        <v>5463</v>
      </c>
      <c r="H1827" s="3" t="s">
        <v>5464</v>
      </c>
      <c r="I1827" s="3" t="s">
        <v>65</v>
      </c>
      <c r="J1827" s="5">
        <v>22900.084749282501</v>
      </c>
      <c r="K1827" s="3">
        <v>241</v>
      </c>
      <c r="L1827" s="3" t="s">
        <v>22</v>
      </c>
      <c r="M1827" s="4">
        <v>45235</v>
      </c>
      <c r="N1827" s="3" t="s">
        <v>79</v>
      </c>
      <c r="O1827" s="3" t="s">
        <v>47</v>
      </c>
      <c r="P1827" s="3" t="str">
        <f>IF(Table1[[#This Row],[Billing Amount]]&lt;5000,"Low",IF(Table1[[#This Row],[Billing Amount]]&lt;=15000,"Medium","High"))</f>
        <v>High</v>
      </c>
      <c r="Q1827" s="3" t="str">
        <f>IF(Table1[[#This Row],[Discharge Date]]="Yes","Discharged","Under Treatment")</f>
        <v>Under Treatment</v>
      </c>
      <c r="R1827" s="3" t="str">
        <f>IF(Table1[[#This Row],[Test Results]]&gt;120,"High Risk","Normal")</f>
        <v>High Risk</v>
      </c>
      <c r="S1827" s="3" t="str">
        <f>IF(Table1[[#This Row],[Age]]&lt;=18,"0-18",IF(Table1[[#This Row],[Age]]&lt;=35,"19-35",IF(Table1[[#This Row],[Age]]&lt;=50,"36-50",IF(Table1[[#This Row],[Age]]&lt;=65,"51-65","65+"))))</f>
        <v>65+</v>
      </c>
    </row>
    <row r="1828" spans="1:19" x14ac:dyDescent="0.3">
      <c r="A1828" s="3" t="s">
        <v>5465</v>
      </c>
      <c r="B1828" s="3">
        <v>85</v>
      </c>
      <c r="C1828" s="3" t="s">
        <v>35</v>
      </c>
      <c r="D1828" s="3" t="s">
        <v>42</v>
      </c>
      <c r="E1828" s="3" t="s">
        <v>93</v>
      </c>
      <c r="F1828" s="4">
        <v>44269</v>
      </c>
      <c r="G1828" s="3" t="s">
        <v>5466</v>
      </c>
      <c r="H1828" s="3" t="s">
        <v>5467</v>
      </c>
      <c r="I1828" s="3" t="s">
        <v>57</v>
      </c>
      <c r="J1828" s="5">
        <v>9643.5802905099499</v>
      </c>
      <c r="K1828" s="3">
        <v>319</v>
      </c>
      <c r="L1828" s="3" t="s">
        <v>22</v>
      </c>
      <c r="M1828" s="4">
        <v>44283</v>
      </c>
      <c r="N1828" s="3" t="s">
        <v>79</v>
      </c>
      <c r="O1828" s="3" t="s">
        <v>33</v>
      </c>
      <c r="P1828" s="3" t="str">
        <f>IF(Table1[[#This Row],[Billing Amount]]&lt;5000,"Low",IF(Table1[[#This Row],[Billing Amount]]&lt;=15000,"Medium","High"))</f>
        <v>Medium</v>
      </c>
      <c r="Q1828" s="3" t="str">
        <f>IF(Table1[[#This Row],[Discharge Date]]="Yes","Discharged","Under Treatment")</f>
        <v>Under Treatment</v>
      </c>
      <c r="R1828" s="3" t="str">
        <f>IF(Table1[[#This Row],[Test Results]]&gt;120,"High Risk","Normal")</f>
        <v>High Risk</v>
      </c>
      <c r="S1828" s="3" t="str">
        <f>IF(Table1[[#This Row],[Age]]&lt;=18,"0-18",IF(Table1[[#This Row],[Age]]&lt;=35,"19-35",IF(Table1[[#This Row],[Age]]&lt;=50,"36-50",IF(Table1[[#This Row],[Age]]&lt;=65,"51-65","65+"))))</f>
        <v>65+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E6D7-30CA-40B8-BC1E-8B57A639E1E9}">
  <dimension ref="B7:L37"/>
  <sheetViews>
    <sheetView showGridLines="0" topLeftCell="C6" workbookViewId="0">
      <selection activeCell="F26" sqref="F26"/>
    </sheetView>
  </sheetViews>
  <sheetFormatPr defaultRowHeight="14.4" x14ac:dyDescent="0.3"/>
  <cols>
    <col min="2" max="2" width="12.5546875" bestFit="1" customWidth="1"/>
    <col min="3" max="3" width="20" bestFit="1" customWidth="1"/>
    <col min="5" max="5" width="15.44140625" bestFit="1" customWidth="1"/>
    <col min="6" max="6" width="20" bestFit="1" customWidth="1"/>
    <col min="8" max="8" width="15.88671875" bestFit="1" customWidth="1"/>
    <col min="9" max="9" width="13.88671875" bestFit="1" customWidth="1"/>
    <col min="11" max="11" width="12.5546875" bestFit="1" customWidth="1"/>
    <col min="12" max="12" width="23.21875" bestFit="1" customWidth="1"/>
  </cols>
  <sheetData>
    <row r="7" spans="2:12" x14ac:dyDescent="0.3">
      <c r="B7" s="6" t="s">
        <v>5471</v>
      </c>
      <c r="C7" s="7" t="s">
        <v>5480</v>
      </c>
      <c r="E7" s="6" t="s">
        <v>5471</v>
      </c>
      <c r="F7" s="7" t="s">
        <v>5472</v>
      </c>
      <c r="H7" s="6" t="s">
        <v>5471</v>
      </c>
      <c r="I7" s="7" t="s">
        <v>5472</v>
      </c>
      <c r="K7" s="6" t="s">
        <v>5471</v>
      </c>
      <c r="L7" s="7" t="s">
        <v>5472</v>
      </c>
    </row>
    <row r="8" spans="2:12" x14ac:dyDescent="0.3">
      <c r="B8" s="8" t="s">
        <v>5478</v>
      </c>
      <c r="C8" s="7">
        <v>30</v>
      </c>
      <c r="E8" s="8" t="s">
        <v>35</v>
      </c>
      <c r="F8" s="7">
        <v>920</v>
      </c>
      <c r="H8" s="8" t="s">
        <v>46</v>
      </c>
      <c r="I8" s="7">
        <v>624</v>
      </c>
      <c r="K8" s="8" t="s">
        <v>93</v>
      </c>
      <c r="L8" s="7">
        <v>295</v>
      </c>
    </row>
    <row r="9" spans="2:12" x14ac:dyDescent="0.3">
      <c r="B9" s="8" t="s">
        <v>5474</v>
      </c>
      <c r="C9" s="7">
        <v>444</v>
      </c>
      <c r="E9" s="8" t="s">
        <v>16</v>
      </c>
      <c r="F9" s="7">
        <v>907</v>
      </c>
      <c r="H9" s="8" t="s">
        <v>31</v>
      </c>
      <c r="I9" s="7">
        <v>615</v>
      </c>
      <c r="K9" s="8" t="s">
        <v>54</v>
      </c>
      <c r="L9" s="7">
        <v>310</v>
      </c>
    </row>
    <row r="10" spans="2:12" x14ac:dyDescent="0.3">
      <c r="B10" s="8" t="s">
        <v>5476</v>
      </c>
      <c r="C10" s="7">
        <v>417</v>
      </c>
      <c r="H10" s="8" t="s">
        <v>22</v>
      </c>
      <c r="I10" s="7">
        <v>588</v>
      </c>
      <c r="K10" s="8" t="s">
        <v>18</v>
      </c>
      <c r="L10" s="7">
        <v>316</v>
      </c>
    </row>
    <row r="11" spans="2:12" x14ac:dyDescent="0.3">
      <c r="B11" s="8" t="s">
        <v>5477</v>
      </c>
      <c r="C11" s="7">
        <v>398</v>
      </c>
      <c r="K11" s="8" t="s">
        <v>43</v>
      </c>
      <c r="L11" s="7">
        <v>302</v>
      </c>
    </row>
    <row r="12" spans="2:12" x14ac:dyDescent="0.3">
      <c r="B12" s="8" t="s">
        <v>5475</v>
      </c>
      <c r="C12" s="7">
        <v>538</v>
      </c>
      <c r="K12" s="8" t="s">
        <v>76</v>
      </c>
      <c r="L12" s="7">
        <v>296</v>
      </c>
    </row>
    <row r="13" spans="2:12" x14ac:dyDescent="0.3">
      <c r="K13" s="8" t="s">
        <v>27</v>
      </c>
      <c r="L13" s="7">
        <v>308</v>
      </c>
    </row>
    <row r="17" spans="2:12" x14ac:dyDescent="0.3">
      <c r="E17" s="6" t="s">
        <v>5471</v>
      </c>
      <c r="F17" s="7" t="s">
        <v>5479</v>
      </c>
    </row>
    <row r="18" spans="2:12" x14ac:dyDescent="0.3">
      <c r="B18" s="6" t="s">
        <v>5471</v>
      </c>
      <c r="C18" s="7" t="s">
        <v>5479</v>
      </c>
      <c r="E18" s="8" t="s">
        <v>39</v>
      </c>
      <c r="F18" s="10">
        <v>9231920.7849489655</v>
      </c>
      <c r="H18" s="6" t="s">
        <v>5471</v>
      </c>
      <c r="I18" s="7" t="s">
        <v>5472</v>
      </c>
      <c r="K18" s="6" t="s">
        <v>5471</v>
      </c>
      <c r="L18" s="7" t="s">
        <v>5481</v>
      </c>
    </row>
    <row r="19" spans="2:12" x14ac:dyDescent="0.3">
      <c r="B19" s="8" t="s">
        <v>93</v>
      </c>
      <c r="C19" s="10">
        <v>7437899.6433799239</v>
      </c>
      <c r="E19" s="8" t="s">
        <v>21</v>
      </c>
      <c r="F19" s="10">
        <v>9694160.7982948478</v>
      </c>
      <c r="H19" s="8" t="s">
        <v>1138</v>
      </c>
      <c r="I19" s="7">
        <v>2</v>
      </c>
      <c r="K19" s="8" t="s">
        <v>46</v>
      </c>
      <c r="L19" s="9">
        <v>26049.60672144558</v>
      </c>
    </row>
    <row r="20" spans="2:12" x14ac:dyDescent="0.3">
      <c r="B20" s="8" t="s">
        <v>54</v>
      </c>
      <c r="C20" s="10">
        <v>8371716.2760570953</v>
      </c>
      <c r="E20" s="8" t="s">
        <v>65</v>
      </c>
      <c r="F20" s="10">
        <v>9839353.1100384966</v>
      </c>
      <c r="H20" s="8" t="s">
        <v>2748</v>
      </c>
      <c r="I20" s="7">
        <v>2</v>
      </c>
      <c r="K20" s="8" t="s">
        <v>31</v>
      </c>
      <c r="L20" s="9">
        <v>24287.631681171766</v>
      </c>
    </row>
    <row r="21" spans="2:12" x14ac:dyDescent="0.3">
      <c r="B21" s="8" t="s">
        <v>18</v>
      </c>
      <c r="C21" s="10">
        <v>7870749.9566562036</v>
      </c>
      <c r="E21" s="8" t="s">
        <v>30</v>
      </c>
      <c r="F21" s="10">
        <v>8828082.219277868</v>
      </c>
      <c r="H21" s="8" t="s">
        <v>1948</v>
      </c>
      <c r="I21" s="7">
        <v>2</v>
      </c>
      <c r="K21" s="8" t="s">
        <v>22</v>
      </c>
      <c r="L21" s="9">
        <v>25846.569980085937</v>
      </c>
    </row>
    <row r="22" spans="2:12" x14ac:dyDescent="0.3">
      <c r="B22" s="8" t="s">
        <v>43</v>
      </c>
      <c r="C22" s="10">
        <v>7241361.2901875256</v>
      </c>
      <c r="E22" s="8" t="s">
        <v>57</v>
      </c>
      <c r="F22" s="10">
        <v>8796114.3138330132</v>
      </c>
      <c r="H22" s="8" t="s">
        <v>1192</v>
      </c>
      <c r="I22" s="7">
        <v>2</v>
      </c>
    </row>
    <row r="23" spans="2:12" x14ac:dyDescent="0.3">
      <c r="B23" s="8" t="s">
        <v>76</v>
      </c>
      <c r="C23" s="10">
        <v>7643644.3953778036</v>
      </c>
      <c r="H23" s="8" t="s">
        <v>2555</v>
      </c>
      <c r="I23" s="7">
        <v>2</v>
      </c>
    </row>
    <row r="24" spans="2:12" x14ac:dyDescent="0.3">
      <c r="B24" s="8" t="s">
        <v>27</v>
      </c>
      <c r="C24" s="10">
        <v>7824259.6647346411</v>
      </c>
      <c r="H24" s="8" t="s">
        <v>186</v>
      </c>
      <c r="I24" s="7">
        <v>2</v>
      </c>
    </row>
    <row r="25" spans="2:12" x14ac:dyDescent="0.3">
      <c r="H25" s="8" t="s">
        <v>2970</v>
      </c>
      <c r="I25" s="7">
        <v>2</v>
      </c>
    </row>
    <row r="26" spans="2:12" x14ac:dyDescent="0.3">
      <c r="H26" s="8" t="s">
        <v>3839</v>
      </c>
      <c r="I26" s="7">
        <v>2</v>
      </c>
    </row>
    <row r="27" spans="2:12" x14ac:dyDescent="0.3">
      <c r="H27" s="8" t="s">
        <v>612</v>
      </c>
      <c r="I27" s="7">
        <v>2</v>
      </c>
    </row>
    <row r="28" spans="2:12" x14ac:dyDescent="0.3">
      <c r="H28" s="8" t="s">
        <v>189</v>
      </c>
      <c r="I28" s="7">
        <v>2</v>
      </c>
    </row>
    <row r="29" spans="2:12" x14ac:dyDescent="0.3">
      <c r="H29" s="8" t="s">
        <v>3435</v>
      </c>
      <c r="I29" s="7">
        <v>2</v>
      </c>
    </row>
    <row r="30" spans="2:12" x14ac:dyDescent="0.3">
      <c r="H30" s="8" t="s">
        <v>534</v>
      </c>
      <c r="I30" s="7">
        <v>2</v>
      </c>
    </row>
    <row r="31" spans="2:12" x14ac:dyDescent="0.3">
      <c r="H31" s="8" t="s">
        <v>3566</v>
      </c>
      <c r="I31" s="7">
        <v>2</v>
      </c>
    </row>
    <row r="32" spans="2:12" x14ac:dyDescent="0.3">
      <c r="H32" s="8" t="s">
        <v>978</v>
      </c>
      <c r="I32" s="7">
        <v>2</v>
      </c>
    </row>
    <row r="33" spans="8:9" x14ac:dyDescent="0.3">
      <c r="H33" s="8" t="s">
        <v>845</v>
      </c>
      <c r="I33" s="7">
        <v>2</v>
      </c>
    </row>
    <row r="34" spans="8:9" x14ac:dyDescent="0.3">
      <c r="H34" s="8" t="s">
        <v>3027</v>
      </c>
      <c r="I34" s="7">
        <v>3</v>
      </c>
    </row>
    <row r="35" spans="8:9" x14ac:dyDescent="0.3">
      <c r="H35" s="8" t="s">
        <v>3734</v>
      </c>
      <c r="I35" s="7">
        <v>2</v>
      </c>
    </row>
    <row r="36" spans="8:9" x14ac:dyDescent="0.3">
      <c r="H36" s="8" t="s">
        <v>1376</v>
      </c>
      <c r="I36" s="7">
        <v>2</v>
      </c>
    </row>
    <row r="37" spans="8:9" x14ac:dyDescent="0.3">
      <c r="H37" s="8" t="s">
        <v>4344</v>
      </c>
      <c r="I37" s="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9E480A-BE3C-4658-BB2D-C446DCBCFA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healthcare_dataset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ROY</dc:creator>
  <cp:lastModifiedBy>SHILPA ROY</cp:lastModifiedBy>
  <dcterms:created xsi:type="dcterms:W3CDTF">2026-02-25T15:01:36Z</dcterms:created>
  <dcterms:modified xsi:type="dcterms:W3CDTF">2026-02-27T06:37:32Z</dcterms:modified>
</cp:coreProperties>
</file>